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essica.rose\Documents\TOPSoccer_jess\"/>
    </mc:Choice>
  </mc:AlternateContent>
  <xr:revisionPtr revIDLastSave="0" documentId="13_ncr:1_{68FEF3FD-51C0-4A33-BAC2-AA426113A468}" xr6:coauthVersionLast="47" xr6:coauthVersionMax="47" xr10:uidLastSave="{00000000-0000-0000-0000-000000000000}"/>
  <bookViews>
    <workbookView xWindow="20370" yWindow="-120" windowWidth="21840" windowHeight="12825" tabRatio="956" xr2:uid="{00000000-000D-0000-FFFF-FFFF00000000}"/>
  </bookViews>
  <sheets>
    <sheet name="Master" sheetId="1" r:id="rId1"/>
    <sheet name="Coaches" sheetId="8" r:id="rId2"/>
    <sheet name="Rosters" sheetId="2" r:id="rId3"/>
    <sheet name="Name Tags" sheetId="3" r:id="rId4"/>
    <sheet name="Address Labels - All" sheetId="9" state="hidden" r:id="rId5"/>
    <sheet name="Address Labels - This Year" sheetId="16" state="hidden" r:id="rId6"/>
    <sheet name="Address Labels - Last Year" sheetId="15" state="hidden" r:id="rId7"/>
    <sheet name="Uniforms" sheetId="10" r:id="rId8"/>
    <sheet name="Team Assignments" sheetId="13" r:id="rId9"/>
    <sheet name="Notes" sheetId="14" r:id="rId10"/>
  </sheets>
  <definedNames>
    <definedName name="_xlnm._FilterDatabase" localSheetId="5" hidden="1">'Address Labels - This Year'!$A$1:$C$276</definedName>
    <definedName name="_xlnm._FilterDatabase" localSheetId="0" hidden="1">Master!$A$1:$AJ$275</definedName>
    <definedName name="_xlnm._FilterDatabase" localSheetId="8" hidden="1">'Team Assignments'!$A$1:$F$271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59" i="3" l="1"/>
  <c r="B59" i="3"/>
  <c r="C59" i="3"/>
  <c r="A145" i="3"/>
  <c r="B145" i="3"/>
  <c r="C145" i="3"/>
  <c r="A146" i="3"/>
  <c r="B146" i="3"/>
  <c r="C146" i="3"/>
  <c r="A72" i="3"/>
  <c r="B72" i="3"/>
  <c r="C72" i="3"/>
  <c r="A73" i="3"/>
  <c r="B73" i="3"/>
  <c r="C73" i="3"/>
  <c r="A270" i="3"/>
  <c r="B270" i="3"/>
  <c r="C270" i="3"/>
  <c r="A26" i="3"/>
  <c r="B26" i="3"/>
  <c r="C26" i="3"/>
  <c r="A147" i="3"/>
  <c r="B147" i="3"/>
  <c r="C147" i="3"/>
  <c r="A148" i="3"/>
  <c r="B148" i="3"/>
  <c r="C148" i="3"/>
  <c r="A2" i="3"/>
  <c r="B2" i="3"/>
  <c r="C2" i="3"/>
  <c r="A3" i="3"/>
  <c r="B3" i="3"/>
  <c r="C3" i="3"/>
  <c r="A149" i="3"/>
  <c r="B149" i="3"/>
  <c r="C149" i="3"/>
  <c r="A150" i="3"/>
  <c r="B150" i="3"/>
  <c r="C150" i="3"/>
  <c r="A151" i="3"/>
  <c r="B151" i="3"/>
  <c r="C151" i="3"/>
  <c r="A152" i="3"/>
  <c r="B152" i="3"/>
  <c r="C152" i="3"/>
  <c r="A4" i="3"/>
  <c r="B4" i="3"/>
  <c r="C4" i="3"/>
  <c r="A153" i="3"/>
  <c r="B153" i="3"/>
  <c r="C153" i="3"/>
  <c r="A154" i="3"/>
  <c r="B154" i="3"/>
  <c r="C154" i="3"/>
  <c r="A74" i="3"/>
  <c r="B74" i="3"/>
  <c r="C74" i="3"/>
  <c r="A123" i="3"/>
  <c r="B123" i="3"/>
  <c r="C123" i="3"/>
  <c r="A27" i="3"/>
  <c r="B27" i="3"/>
  <c r="C27" i="3"/>
  <c r="A5" i="3"/>
  <c r="B5" i="3"/>
  <c r="C5" i="3"/>
  <c r="A75" i="3"/>
  <c r="B75" i="3"/>
  <c r="C75" i="3"/>
  <c r="A155" i="3"/>
  <c r="B155" i="3"/>
  <c r="C155" i="3"/>
  <c r="A6" i="3"/>
  <c r="B6" i="3"/>
  <c r="C6" i="3"/>
  <c r="A7" i="3"/>
  <c r="B7" i="3"/>
  <c r="C7" i="3"/>
  <c r="A41" i="3"/>
  <c r="B41" i="3"/>
  <c r="C41" i="3"/>
  <c r="A124" i="3"/>
  <c r="B124" i="3"/>
  <c r="C124" i="3"/>
  <c r="A91" i="3"/>
  <c r="B91" i="3"/>
  <c r="C91" i="3"/>
  <c r="A156" i="3"/>
  <c r="B156" i="3"/>
  <c r="C156" i="3"/>
  <c r="A157" i="3"/>
  <c r="B157" i="3"/>
  <c r="C157" i="3"/>
  <c r="A158" i="3"/>
  <c r="B158" i="3"/>
  <c r="C158" i="3"/>
  <c r="A92" i="3"/>
  <c r="B92" i="3"/>
  <c r="C92" i="3"/>
  <c r="A159" i="3"/>
  <c r="B159" i="3"/>
  <c r="C159" i="3"/>
  <c r="A93" i="3"/>
  <c r="B93" i="3"/>
  <c r="C93" i="3"/>
  <c r="A160" i="3"/>
  <c r="B160" i="3"/>
  <c r="C160" i="3"/>
  <c r="A161" i="3"/>
  <c r="B161" i="3"/>
  <c r="C161" i="3"/>
  <c r="A108" i="3"/>
  <c r="B108" i="3"/>
  <c r="C108" i="3"/>
  <c r="A162" i="3"/>
  <c r="B162" i="3"/>
  <c r="C162" i="3"/>
  <c r="A94" i="3"/>
  <c r="B94" i="3"/>
  <c r="C94" i="3"/>
  <c r="A8" i="3"/>
  <c r="B8" i="3"/>
  <c r="C8" i="3"/>
  <c r="A109" i="3"/>
  <c r="B109" i="3"/>
  <c r="C109" i="3"/>
  <c r="A9" i="3"/>
  <c r="B9" i="3"/>
  <c r="C9" i="3"/>
  <c r="A42" i="3"/>
  <c r="B42" i="3"/>
  <c r="C42" i="3"/>
  <c r="A163" i="3"/>
  <c r="B163" i="3"/>
  <c r="C163" i="3"/>
  <c r="A76" i="3"/>
  <c r="B76" i="3"/>
  <c r="C76" i="3"/>
  <c r="A43" i="3"/>
  <c r="B43" i="3"/>
  <c r="C43" i="3"/>
  <c r="A28" i="3"/>
  <c r="B28" i="3"/>
  <c r="C28" i="3"/>
  <c r="A125" i="3"/>
  <c r="B125" i="3"/>
  <c r="C125" i="3"/>
  <c r="A126" i="3"/>
  <c r="B126" i="3"/>
  <c r="C126" i="3"/>
  <c r="A10" i="3"/>
  <c r="B10" i="3"/>
  <c r="C10" i="3"/>
  <c r="A164" i="3"/>
  <c r="B164" i="3"/>
  <c r="C164" i="3"/>
  <c r="A127" i="3"/>
  <c r="B127" i="3"/>
  <c r="C127" i="3"/>
  <c r="A110" i="3"/>
  <c r="B110" i="3"/>
  <c r="C110" i="3"/>
  <c r="A95" i="3"/>
  <c r="B95" i="3"/>
  <c r="C95" i="3"/>
  <c r="A111" i="3"/>
  <c r="B111" i="3"/>
  <c r="C111" i="3"/>
  <c r="A112" i="3"/>
  <c r="B112" i="3"/>
  <c r="C112" i="3"/>
  <c r="A77" i="3"/>
  <c r="B77" i="3"/>
  <c r="C77" i="3"/>
  <c r="A165" i="3"/>
  <c r="B165" i="3"/>
  <c r="C165" i="3"/>
  <c r="A166" i="3"/>
  <c r="B166" i="3"/>
  <c r="C166" i="3"/>
  <c r="A128" i="3"/>
  <c r="B128" i="3"/>
  <c r="C128" i="3"/>
  <c r="A167" i="3"/>
  <c r="B167" i="3"/>
  <c r="C167" i="3"/>
  <c r="A168" i="3"/>
  <c r="B168" i="3"/>
  <c r="C168" i="3"/>
  <c r="A169" i="3"/>
  <c r="B169" i="3"/>
  <c r="C169" i="3"/>
  <c r="A113" i="3"/>
  <c r="B113" i="3"/>
  <c r="C113" i="3"/>
  <c r="A170" i="3"/>
  <c r="B170" i="3"/>
  <c r="C170" i="3"/>
  <c r="A171" i="3"/>
  <c r="B171" i="3"/>
  <c r="C171" i="3"/>
  <c r="A172" i="3"/>
  <c r="B172" i="3"/>
  <c r="C172" i="3"/>
  <c r="A173" i="3"/>
  <c r="B173" i="3"/>
  <c r="C173" i="3"/>
  <c r="A174" i="3"/>
  <c r="B174" i="3"/>
  <c r="C174" i="3"/>
  <c r="A175" i="3"/>
  <c r="B175" i="3"/>
  <c r="C175" i="3"/>
  <c r="A129" i="3"/>
  <c r="B129" i="3"/>
  <c r="C129" i="3"/>
  <c r="A11" i="3"/>
  <c r="B11" i="3"/>
  <c r="C11" i="3"/>
  <c r="A96" i="3"/>
  <c r="B96" i="3"/>
  <c r="C96" i="3"/>
  <c r="A60" i="3"/>
  <c r="B60" i="3"/>
  <c r="C60" i="3"/>
  <c r="A97" i="3"/>
  <c r="B97" i="3"/>
  <c r="C97" i="3"/>
  <c r="A176" i="3"/>
  <c r="B176" i="3"/>
  <c r="C176" i="3"/>
  <c r="A177" i="3"/>
  <c r="B177" i="3"/>
  <c r="C177" i="3"/>
  <c r="A78" i="3"/>
  <c r="B78" i="3"/>
  <c r="C78" i="3"/>
  <c r="A178" i="3"/>
  <c r="B178" i="3"/>
  <c r="C178" i="3"/>
  <c r="A44" i="3"/>
  <c r="B44" i="3"/>
  <c r="C44" i="3"/>
  <c r="A179" i="3"/>
  <c r="B179" i="3"/>
  <c r="C179" i="3"/>
  <c r="A45" i="3"/>
  <c r="B45" i="3"/>
  <c r="C45" i="3"/>
  <c r="A180" i="3"/>
  <c r="B180" i="3"/>
  <c r="C180" i="3"/>
  <c r="A181" i="3"/>
  <c r="B181" i="3"/>
  <c r="C181" i="3"/>
  <c r="A182" i="3"/>
  <c r="B182" i="3"/>
  <c r="C182" i="3"/>
  <c r="A183" i="3"/>
  <c r="B183" i="3"/>
  <c r="C183" i="3"/>
  <c r="A12" i="3"/>
  <c r="B12" i="3"/>
  <c r="C12" i="3"/>
  <c r="A114" i="3"/>
  <c r="B114" i="3"/>
  <c r="C114" i="3"/>
  <c r="A115" i="3"/>
  <c r="B115" i="3"/>
  <c r="C115" i="3"/>
  <c r="A61" i="3"/>
  <c r="B61" i="3"/>
  <c r="C61" i="3"/>
  <c r="A79" i="3"/>
  <c r="B79" i="3"/>
  <c r="C79" i="3"/>
  <c r="A62" i="3"/>
  <c r="B62" i="3"/>
  <c r="C62" i="3"/>
  <c r="A184" i="3"/>
  <c r="B184" i="3"/>
  <c r="C184" i="3"/>
  <c r="A29" i="3"/>
  <c r="B29" i="3"/>
  <c r="C29" i="3"/>
  <c r="A185" i="3"/>
  <c r="B185" i="3"/>
  <c r="C185" i="3"/>
  <c r="A130" i="3"/>
  <c r="B130" i="3"/>
  <c r="C130" i="3"/>
  <c r="A186" i="3"/>
  <c r="B186" i="3"/>
  <c r="C186" i="3"/>
  <c r="A187" i="3"/>
  <c r="B187" i="3"/>
  <c r="C187" i="3"/>
  <c r="A13" i="3"/>
  <c r="B13" i="3"/>
  <c r="C13" i="3"/>
  <c r="A14" i="3"/>
  <c r="B14" i="3"/>
  <c r="C14" i="3"/>
  <c r="A46" i="3"/>
  <c r="B46" i="3"/>
  <c r="C46" i="3"/>
  <c r="A80" i="3"/>
  <c r="B80" i="3"/>
  <c r="C80" i="3"/>
  <c r="A188" i="3"/>
  <c r="B188" i="3"/>
  <c r="C188" i="3"/>
  <c r="A131" i="3"/>
  <c r="B131" i="3"/>
  <c r="C131" i="3"/>
  <c r="A47" i="3"/>
  <c r="B47" i="3"/>
  <c r="C47" i="3"/>
  <c r="A189" i="3"/>
  <c r="B189" i="3"/>
  <c r="C189" i="3"/>
  <c r="A190" i="3"/>
  <c r="B190" i="3"/>
  <c r="C190" i="3"/>
  <c r="A81" i="3"/>
  <c r="B81" i="3"/>
  <c r="C81" i="3"/>
  <c r="A15" i="3"/>
  <c r="B15" i="3"/>
  <c r="C15" i="3"/>
  <c r="A191" i="3"/>
  <c r="B191" i="3"/>
  <c r="C191" i="3"/>
  <c r="A16" i="3"/>
  <c r="B16" i="3"/>
  <c r="C16" i="3"/>
  <c r="A98" i="3"/>
  <c r="B98" i="3"/>
  <c r="C98" i="3"/>
  <c r="A192" i="3"/>
  <c r="B192" i="3"/>
  <c r="C192" i="3"/>
  <c r="A193" i="3"/>
  <c r="B193" i="3"/>
  <c r="C193" i="3"/>
  <c r="A48" i="3"/>
  <c r="B48" i="3"/>
  <c r="C48" i="3"/>
  <c r="A194" i="3"/>
  <c r="B194" i="3"/>
  <c r="C194" i="3"/>
  <c r="A195" i="3"/>
  <c r="B195" i="3"/>
  <c r="C195" i="3"/>
  <c r="A196" i="3"/>
  <c r="B196" i="3"/>
  <c r="C196" i="3"/>
  <c r="A197" i="3"/>
  <c r="B197" i="3"/>
  <c r="C197" i="3"/>
  <c r="A198" i="3"/>
  <c r="B198" i="3"/>
  <c r="C198" i="3"/>
  <c r="A30" i="3"/>
  <c r="B30" i="3"/>
  <c r="C30" i="3"/>
  <c r="A31" i="3"/>
  <c r="B31" i="3"/>
  <c r="C31" i="3"/>
  <c r="A63" i="3"/>
  <c r="B63" i="3"/>
  <c r="C63" i="3"/>
  <c r="A82" i="3"/>
  <c r="B82" i="3"/>
  <c r="C82" i="3"/>
  <c r="A199" i="3"/>
  <c r="B199" i="3"/>
  <c r="C199" i="3"/>
  <c r="A200" i="3"/>
  <c r="B200" i="3"/>
  <c r="C200" i="3"/>
  <c r="A201" i="3"/>
  <c r="B201" i="3"/>
  <c r="C201" i="3"/>
  <c r="A202" i="3"/>
  <c r="B202" i="3"/>
  <c r="C202" i="3"/>
  <c r="A203" i="3"/>
  <c r="B203" i="3"/>
  <c r="C203" i="3"/>
  <c r="A204" i="3"/>
  <c r="B204" i="3"/>
  <c r="C204" i="3"/>
  <c r="A205" i="3"/>
  <c r="B205" i="3"/>
  <c r="C205" i="3"/>
  <c r="A206" i="3"/>
  <c r="B206" i="3"/>
  <c r="C206" i="3"/>
  <c r="A64" i="3"/>
  <c r="B64" i="3"/>
  <c r="C64" i="3"/>
  <c r="A207" i="3"/>
  <c r="B207" i="3"/>
  <c r="C207" i="3"/>
  <c r="A208" i="3"/>
  <c r="B208" i="3"/>
  <c r="C208" i="3"/>
  <c r="A209" i="3"/>
  <c r="B209" i="3"/>
  <c r="C209" i="3"/>
  <c r="A210" i="3"/>
  <c r="B210" i="3"/>
  <c r="C210" i="3"/>
  <c r="A211" i="3"/>
  <c r="B211" i="3"/>
  <c r="C211" i="3"/>
  <c r="A132" i="3"/>
  <c r="B132" i="3"/>
  <c r="C132" i="3"/>
  <c r="A99" i="3"/>
  <c r="B99" i="3"/>
  <c r="C99" i="3"/>
  <c r="A100" i="3"/>
  <c r="B100" i="3"/>
  <c r="C100" i="3"/>
  <c r="A212" i="3"/>
  <c r="B212" i="3"/>
  <c r="C212" i="3"/>
  <c r="A213" i="3"/>
  <c r="B213" i="3"/>
  <c r="C213" i="3"/>
  <c r="A214" i="3"/>
  <c r="B214" i="3"/>
  <c r="C214" i="3"/>
  <c r="A49" i="3"/>
  <c r="B49" i="3"/>
  <c r="C49" i="3"/>
  <c r="A215" i="3"/>
  <c r="B215" i="3"/>
  <c r="C215" i="3"/>
  <c r="A32" i="3"/>
  <c r="B32" i="3"/>
  <c r="C32" i="3"/>
  <c r="A101" i="3"/>
  <c r="B101" i="3"/>
  <c r="C101" i="3"/>
  <c r="A17" i="3"/>
  <c r="B17" i="3"/>
  <c r="C17" i="3"/>
  <c r="A102" i="3"/>
  <c r="B102" i="3"/>
  <c r="C102" i="3"/>
  <c r="A216" i="3"/>
  <c r="B216" i="3"/>
  <c r="C216" i="3"/>
  <c r="A33" i="3"/>
  <c r="B33" i="3"/>
  <c r="C33" i="3"/>
  <c r="A217" i="3"/>
  <c r="B217" i="3"/>
  <c r="C217" i="3"/>
  <c r="A65" i="3"/>
  <c r="B65" i="3"/>
  <c r="C65" i="3"/>
  <c r="A18" i="3"/>
  <c r="B18" i="3"/>
  <c r="C18" i="3"/>
  <c r="A218" i="3"/>
  <c r="B218" i="3"/>
  <c r="C218" i="3"/>
  <c r="A219" i="3"/>
  <c r="B219" i="3"/>
  <c r="C219" i="3"/>
  <c r="A133" i="3"/>
  <c r="B133" i="3"/>
  <c r="C133" i="3"/>
  <c r="A220" i="3"/>
  <c r="B220" i="3"/>
  <c r="C220" i="3"/>
  <c r="A221" i="3"/>
  <c r="B221" i="3"/>
  <c r="C221" i="3"/>
  <c r="A83" i="3"/>
  <c r="B83" i="3"/>
  <c r="C83" i="3"/>
  <c r="A134" i="3"/>
  <c r="B134" i="3"/>
  <c r="C134" i="3"/>
  <c r="A84" i="3"/>
  <c r="B84" i="3"/>
  <c r="C84" i="3"/>
  <c r="A222" i="3"/>
  <c r="B222" i="3"/>
  <c r="C222" i="3"/>
  <c r="A223" i="3"/>
  <c r="B223" i="3"/>
  <c r="C223" i="3"/>
  <c r="A224" i="3"/>
  <c r="B224" i="3"/>
  <c r="C224" i="3"/>
  <c r="A66" i="3"/>
  <c r="B66" i="3"/>
  <c r="C66" i="3"/>
  <c r="A225" i="3"/>
  <c r="B225" i="3"/>
  <c r="C225" i="3"/>
  <c r="A34" i="3"/>
  <c r="B34" i="3"/>
  <c r="C34" i="3"/>
  <c r="A226" i="3"/>
  <c r="B226" i="3"/>
  <c r="C226" i="3"/>
  <c r="A19" i="3"/>
  <c r="B19" i="3"/>
  <c r="C19" i="3"/>
  <c r="A227" i="3"/>
  <c r="B227" i="3"/>
  <c r="C227" i="3"/>
  <c r="A85" i="3"/>
  <c r="B85" i="3"/>
  <c r="C85" i="3"/>
  <c r="A228" i="3"/>
  <c r="B228" i="3"/>
  <c r="C228" i="3"/>
  <c r="A67" i="3"/>
  <c r="B67" i="3"/>
  <c r="C67" i="3"/>
  <c r="A229" i="3"/>
  <c r="B229" i="3"/>
  <c r="C229" i="3"/>
  <c r="A230" i="3"/>
  <c r="B230" i="3"/>
  <c r="C230" i="3"/>
  <c r="A231" i="3"/>
  <c r="B231" i="3"/>
  <c r="C231" i="3"/>
  <c r="A232" i="3"/>
  <c r="B232" i="3"/>
  <c r="C232" i="3"/>
  <c r="A233" i="3"/>
  <c r="B233" i="3"/>
  <c r="C233" i="3"/>
  <c r="A234" i="3"/>
  <c r="B234" i="3"/>
  <c r="C234" i="3"/>
  <c r="A86" i="3"/>
  <c r="B86" i="3"/>
  <c r="C86" i="3"/>
  <c r="A50" i="3"/>
  <c r="B50" i="3"/>
  <c r="C50" i="3"/>
  <c r="A35" i="3"/>
  <c r="B35" i="3"/>
  <c r="C35" i="3"/>
  <c r="A36" i="3"/>
  <c r="B36" i="3"/>
  <c r="C36" i="3"/>
  <c r="A235" i="3"/>
  <c r="B235" i="3"/>
  <c r="C235" i="3"/>
  <c r="A116" i="3"/>
  <c r="B116" i="3"/>
  <c r="C116" i="3"/>
  <c r="A68" i="3"/>
  <c r="B68" i="3"/>
  <c r="C68" i="3"/>
  <c r="A236" i="3"/>
  <c r="B236" i="3"/>
  <c r="C236" i="3"/>
  <c r="A237" i="3"/>
  <c r="B237" i="3"/>
  <c r="C237" i="3"/>
  <c r="A51" i="3"/>
  <c r="B51" i="3"/>
  <c r="C51" i="3"/>
  <c r="A238" i="3"/>
  <c r="B238" i="3"/>
  <c r="C238" i="3"/>
  <c r="A239" i="3"/>
  <c r="B239" i="3"/>
  <c r="C239" i="3"/>
  <c r="A37" i="3"/>
  <c r="B37" i="3"/>
  <c r="C37" i="3"/>
  <c r="A240" i="3"/>
  <c r="B240" i="3"/>
  <c r="C240" i="3"/>
  <c r="A241" i="3"/>
  <c r="B241" i="3"/>
  <c r="C241" i="3"/>
  <c r="A242" i="3"/>
  <c r="B242" i="3"/>
  <c r="C242" i="3"/>
  <c r="A52" i="3"/>
  <c r="B52" i="3"/>
  <c r="C52" i="3"/>
  <c r="A243" i="3"/>
  <c r="B243" i="3"/>
  <c r="C243" i="3"/>
  <c r="A244" i="3"/>
  <c r="B244" i="3"/>
  <c r="C244" i="3"/>
  <c r="A53" i="3"/>
  <c r="B53" i="3"/>
  <c r="C53" i="3"/>
  <c r="A20" i="3"/>
  <c r="B20" i="3"/>
  <c r="C20" i="3"/>
  <c r="A21" i="3"/>
  <c r="B21" i="3"/>
  <c r="C21" i="3"/>
  <c r="A135" i="3"/>
  <c r="B135" i="3"/>
  <c r="C135" i="3"/>
  <c r="A54" i="3"/>
  <c r="B54" i="3"/>
  <c r="C54" i="3"/>
  <c r="A103" i="3"/>
  <c r="B103" i="3"/>
  <c r="C103" i="3"/>
  <c r="A104" i="3"/>
  <c r="B104" i="3"/>
  <c r="C104" i="3"/>
  <c r="A245" i="3"/>
  <c r="B245" i="3"/>
  <c r="C245" i="3"/>
  <c r="A246" i="3"/>
  <c r="B246" i="3"/>
  <c r="C246" i="3"/>
  <c r="A247" i="3"/>
  <c r="B247" i="3"/>
  <c r="C247" i="3"/>
  <c r="A248" i="3"/>
  <c r="B248" i="3"/>
  <c r="C248" i="3"/>
  <c r="A22" i="3"/>
  <c r="B22" i="3"/>
  <c r="C22" i="3"/>
  <c r="A117" i="3"/>
  <c r="B117" i="3"/>
  <c r="C117" i="3"/>
  <c r="A38" i="3"/>
  <c r="B38" i="3"/>
  <c r="C38" i="3"/>
  <c r="A136" i="3"/>
  <c r="B136" i="3"/>
  <c r="C136" i="3"/>
  <c r="A249" i="3"/>
  <c r="B249" i="3"/>
  <c r="C249" i="3"/>
  <c r="A137" i="3"/>
  <c r="B137" i="3"/>
  <c r="C137" i="3"/>
  <c r="A69" i="3"/>
  <c r="B69" i="3"/>
  <c r="C69" i="3"/>
  <c r="A250" i="3"/>
  <c r="B250" i="3"/>
  <c r="C250" i="3"/>
  <c r="A118" i="3"/>
  <c r="B118" i="3"/>
  <c r="C118" i="3"/>
  <c r="A23" i="3"/>
  <c r="B23" i="3"/>
  <c r="C23" i="3"/>
  <c r="A87" i="3"/>
  <c r="B87" i="3"/>
  <c r="C87" i="3"/>
  <c r="A24" i="3"/>
  <c r="B24" i="3"/>
  <c r="C24" i="3"/>
  <c r="A251" i="3"/>
  <c r="B251" i="3"/>
  <c r="C251" i="3"/>
  <c r="A55" i="3"/>
  <c r="B55" i="3"/>
  <c r="C55" i="3"/>
  <c r="A56" i="3"/>
  <c r="B56" i="3"/>
  <c r="C56" i="3"/>
  <c r="A105" i="3"/>
  <c r="B105" i="3"/>
  <c r="C105" i="3"/>
  <c r="A252" i="3"/>
  <c r="B252" i="3"/>
  <c r="C252" i="3"/>
  <c r="A25" i="3"/>
  <c r="B25" i="3"/>
  <c r="C25" i="3"/>
  <c r="A138" i="3"/>
  <c r="B138" i="3"/>
  <c r="C138" i="3"/>
  <c r="A88" i="3"/>
  <c r="B88" i="3"/>
  <c r="C88" i="3"/>
  <c r="A253" i="3"/>
  <c r="B253" i="3"/>
  <c r="C253" i="3"/>
  <c r="A254" i="3"/>
  <c r="B254" i="3"/>
  <c r="C254" i="3"/>
  <c r="A119" i="3"/>
  <c r="B119" i="3"/>
  <c r="C119" i="3"/>
  <c r="A255" i="3"/>
  <c r="B255" i="3"/>
  <c r="C255" i="3"/>
  <c r="A256" i="3"/>
  <c r="B256" i="3"/>
  <c r="C256" i="3"/>
  <c r="A89" i="3"/>
  <c r="B89" i="3"/>
  <c r="C89" i="3"/>
  <c r="A257" i="3"/>
  <c r="B257" i="3"/>
  <c r="C257" i="3"/>
  <c r="A70" i="3"/>
  <c r="B70" i="3"/>
  <c r="C70" i="3"/>
  <c r="A106" i="3"/>
  <c r="B106" i="3"/>
  <c r="C106" i="3"/>
  <c r="A139" i="3"/>
  <c r="B139" i="3"/>
  <c r="C139" i="3"/>
  <c r="A120" i="3"/>
  <c r="B120" i="3"/>
  <c r="C120" i="3"/>
  <c r="A258" i="3"/>
  <c r="B258" i="3"/>
  <c r="C258" i="3"/>
  <c r="A259" i="3"/>
  <c r="B259" i="3"/>
  <c r="C259" i="3"/>
  <c r="A260" i="3"/>
  <c r="B260" i="3"/>
  <c r="C260" i="3"/>
  <c r="A57" i="3"/>
  <c r="B57" i="3"/>
  <c r="C57" i="3"/>
  <c r="A71" i="3"/>
  <c r="B71" i="3"/>
  <c r="C71" i="3"/>
  <c r="A121" i="3"/>
  <c r="B121" i="3"/>
  <c r="C121" i="3"/>
  <c r="A261" i="3"/>
  <c r="B261" i="3"/>
  <c r="C261" i="3"/>
  <c r="A107" i="3"/>
  <c r="B107" i="3"/>
  <c r="C107" i="3"/>
  <c r="A262" i="3"/>
  <c r="B262" i="3"/>
  <c r="C262" i="3"/>
  <c r="A263" i="3"/>
  <c r="B263" i="3"/>
  <c r="C263" i="3"/>
  <c r="A264" i="3"/>
  <c r="B264" i="3"/>
  <c r="C264" i="3"/>
  <c r="A140" i="3"/>
  <c r="B140" i="3"/>
  <c r="C140" i="3"/>
  <c r="A39" i="3"/>
  <c r="B39" i="3"/>
  <c r="C39" i="3"/>
  <c r="A141" i="3"/>
  <c r="B141" i="3"/>
  <c r="C141" i="3"/>
  <c r="A265" i="3"/>
  <c r="B265" i="3"/>
  <c r="C265" i="3"/>
  <c r="A266" i="3"/>
  <c r="B266" i="3"/>
  <c r="C266" i="3"/>
  <c r="A142" i="3"/>
  <c r="B142" i="3"/>
  <c r="C142" i="3"/>
  <c r="A143" i="3"/>
  <c r="B143" i="3"/>
  <c r="C143" i="3"/>
  <c r="A122" i="3"/>
  <c r="B122" i="3"/>
  <c r="C122" i="3"/>
  <c r="A90" i="3"/>
  <c r="B90" i="3"/>
  <c r="C90" i="3"/>
  <c r="A144" i="3"/>
  <c r="B144" i="3"/>
  <c r="C144" i="3"/>
  <c r="A40" i="3"/>
  <c r="B40" i="3"/>
  <c r="C40" i="3"/>
  <c r="A267" i="3"/>
  <c r="B267" i="3"/>
  <c r="C267" i="3"/>
  <c r="A268" i="3"/>
  <c r="B268" i="3"/>
  <c r="C268" i="3"/>
  <c r="A269" i="3"/>
  <c r="B269" i="3"/>
  <c r="C269" i="3"/>
  <c r="G2" i="3"/>
  <c r="G3" i="3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F2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E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C58" i="3"/>
  <c r="B58" i="3"/>
  <c r="A58" i="3"/>
  <c r="A59" i="10"/>
  <c r="B59" i="10"/>
  <c r="C59" i="10"/>
  <c r="D59" i="10"/>
  <c r="E59" i="10"/>
  <c r="F59" i="10"/>
  <c r="A145" i="10"/>
  <c r="B145" i="10"/>
  <c r="C145" i="10"/>
  <c r="D145" i="10"/>
  <c r="E145" i="10"/>
  <c r="F145" i="10"/>
  <c r="A146" i="10"/>
  <c r="B146" i="10"/>
  <c r="C146" i="10"/>
  <c r="D146" i="10"/>
  <c r="E146" i="10"/>
  <c r="F146" i="10"/>
  <c r="A72" i="10"/>
  <c r="B72" i="10"/>
  <c r="C72" i="10"/>
  <c r="D72" i="10"/>
  <c r="E72" i="10"/>
  <c r="F72" i="10"/>
  <c r="A73" i="10"/>
  <c r="B73" i="10"/>
  <c r="C73" i="10"/>
  <c r="D73" i="10"/>
  <c r="E73" i="10"/>
  <c r="F73" i="10"/>
  <c r="A270" i="10"/>
  <c r="B270" i="10"/>
  <c r="C270" i="10"/>
  <c r="D270" i="10"/>
  <c r="E270" i="10"/>
  <c r="F270" i="10"/>
  <c r="A26" i="10"/>
  <c r="B26" i="10"/>
  <c r="C26" i="10"/>
  <c r="D26" i="10"/>
  <c r="E26" i="10"/>
  <c r="F26" i="10"/>
  <c r="A147" i="10"/>
  <c r="B147" i="10"/>
  <c r="C147" i="10"/>
  <c r="D147" i="10"/>
  <c r="E147" i="10"/>
  <c r="F147" i="10"/>
  <c r="A148" i="10"/>
  <c r="B148" i="10"/>
  <c r="C148" i="10"/>
  <c r="D148" i="10"/>
  <c r="E148" i="10"/>
  <c r="F148" i="10"/>
  <c r="A2" i="10"/>
  <c r="B2" i="10"/>
  <c r="C2" i="10"/>
  <c r="D2" i="10"/>
  <c r="E2" i="10"/>
  <c r="F2" i="10"/>
  <c r="A3" i="10"/>
  <c r="B3" i="10"/>
  <c r="C3" i="10"/>
  <c r="D3" i="10"/>
  <c r="E3" i="10"/>
  <c r="F3" i="10"/>
  <c r="A149" i="10"/>
  <c r="B149" i="10"/>
  <c r="C149" i="10"/>
  <c r="D149" i="10"/>
  <c r="E149" i="10"/>
  <c r="F149" i="10"/>
  <c r="A150" i="10"/>
  <c r="B150" i="10"/>
  <c r="C150" i="10"/>
  <c r="D150" i="10"/>
  <c r="E150" i="10"/>
  <c r="F150" i="10"/>
  <c r="A151" i="10"/>
  <c r="B151" i="10"/>
  <c r="C151" i="10"/>
  <c r="D151" i="10"/>
  <c r="E151" i="10"/>
  <c r="F151" i="10"/>
  <c r="A152" i="10"/>
  <c r="B152" i="10"/>
  <c r="C152" i="10"/>
  <c r="D152" i="10"/>
  <c r="E152" i="10"/>
  <c r="F152" i="10"/>
  <c r="A4" i="10"/>
  <c r="B4" i="10"/>
  <c r="C4" i="10"/>
  <c r="D4" i="10"/>
  <c r="E4" i="10"/>
  <c r="F4" i="10"/>
  <c r="A153" i="10"/>
  <c r="B153" i="10"/>
  <c r="C153" i="10"/>
  <c r="D153" i="10"/>
  <c r="E153" i="10"/>
  <c r="F153" i="10"/>
  <c r="A154" i="10"/>
  <c r="B154" i="10"/>
  <c r="C154" i="10"/>
  <c r="D154" i="10"/>
  <c r="E154" i="10"/>
  <c r="F154" i="10"/>
  <c r="A74" i="10"/>
  <c r="B74" i="10"/>
  <c r="C74" i="10"/>
  <c r="D74" i="10"/>
  <c r="E74" i="10"/>
  <c r="F74" i="10"/>
  <c r="A123" i="10"/>
  <c r="B123" i="10"/>
  <c r="C123" i="10"/>
  <c r="D123" i="10"/>
  <c r="E123" i="10"/>
  <c r="F123" i="10"/>
  <c r="A27" i="10"/>
  <c r="B27" i="10"/>
  <c r="C27" i="10"/>
  <c r="D27" i="10"/>
  <c r="E27" i="10"/>
  <c r="F27" i="10"/>
  <c r="A5" i="10"/>
  <c r="B5" i="10"/>
  <c r="C5" i="10"/>
  <c r="D5" i="10"/>
  <c r="E5" i="10"/>
  <c r="F5" i="10"/>
  <c r="A75" i="10"/>
  <c r="B75" i="10"/>
  <c r="C75" i="10"/>
  <c r="D75" i="10"/>
  <c r="E75" i="10"/>
  <c r="F75" i="10"/>
  <c r="A155" i="10"/>
  <c r="B155" i="10"/>
  <c r="C155" i="10"/>
  <c r="D155" i="10"/>
  <c r="E155" i="10"/>
  <c r="F155" i="10"/>
  <c r="A6" i="10"/>
  <c r="B6" i="10"/>
  <c r="C6" i="10"/>
  <c r="D6" i="10"/>
  <c r="E6" i="10"/>
  <c r="F6" i="10"/>
  <c r="A7" i="10"/>
  <c r="B7" i="10"/>
  <c r="C7" i="10"/>
  <c r="D7" i="10"/>
  <c r="E7" i="10"/>
  <c r="F7" i="10"/>
  <c r="A41" i="10"/>
  <c r="B41" i="10"/>
  <c r="C41" i="10"/>
  <c r="D41" i="10"/>
  <c r="E41" i="10"/>
  <c r="F41" i="10"/>
  <c r="A124" i="10"/>
  <c r="B124" i="10"/>
  <c r="C124" i="10"/>
  <c r="D124" i="10"/>
  <c r="E124" i="10"/>
  <c r="F124" i="10"/>
  <c r="A91" i="10"/>
  <c r="B91" i="10"/>
  <c r="C91" i="10"/>
  <c r="D91" i="10"/>
  <c r="E91" i="10"/>
  <c r="F91" i="10"/>
  <c r="A156" i="10"/>
  <c r="B156" i="10"/>
  <c r="C156" i="10"/>
  <c r="D156" i="10"/>
  <c r="E156" i="10"/>
  <c r="F156" i="10"/>
  <c r="A157" i="10"/>
  <c r="B157" i="10"/>
  <c r="C157" i="10"/>
  <c r="D157" i="10"/>
  <c r="E157" i="10"/>
  <c r="F157" i="10"/>
  <c r="A158" i="10"/>
  <c r="B158" i="10"/>
  <c r="C158" i="10"/>
  <c r="D158" i="10"/>
  <c r="E158" i="10"/>
  <c r="F158" i="10"/>
  <c r="A92" i="10"/>
  <c r="B92" i="10"/>
  <c r="C92" i="10"/>
  <c r="D92" i="10"/>
  <c r="E92" i="10"/>
  <c r="F92" i="10"/>
  <c r="A159" i="10"/>
  <c r="B159" i="10"/>
  <c r="C159" i="10"/>
  <c r="D159" i="10"/>
  <c r="E159" i="10"/>
  <c r="F159" i="10"/>
  <c r="A93" i="10"/>
  <c r="B93" i="10"/>
  <c r="C93" i="10"/>
  <c r="D93" i="10"/>
  <c r="E93" i="10"/>
  <c r="F93" i="10"/>
  <c r="A160" i="10"/>
  <c r="B160" i="10"/>
  <c r="C160" i="10"/>
  <c r="D160" i="10"/>
  <c r="E160" i="10"/>
  <c r="F160" i="10"/>
  <c r="A161" i="10"/>
  <c r="B161" i="10"/>
  <c r="C161" i="10"/>
  <c r="D161" i="10"/>
  <c r="E161" i="10"/>
  <c r="F161" i="10"/>
  <c r="A108" i="10"/>
  <c r="B108" i="10"/>
  <c r="C108" i="10"/>
  <c r="D108" i="10"/>
  <c r="E108" i="10"/>
  <c r="F108" i="10"/>
  <c r="A162" i="10"/>
  <c r="B162" i="10"/>
  <c r="C162" i="10"/>
  <c r="D162" i="10"/>
  <c r="E162" i="10"/>
  <c r="F162" i="10"/>
  <c r="A94" i="10"/>
  <c r="B94" i="10"/>
  <c r="C94" i="10"/>
  <c r="D94" i="10"/>
  <c r="E94" i="10"/>
  <c r="F94" i="10"/>
  <c r="A8" i="10"/>
  <c r="B8" i="10"/>
  <c r="C8" i="10"/>
  <c r="D8" i="10"/>
  <c r="E8" i="10"/>
  <c r="F8" i="10"/>
  <c r="A109" i="10"/>
  <c r="B109" i="10"/>
  <c r="C109" i="10"/>
  <c r="D109" i="10"/>
  <c r="E109" i="10"/>
  <c r="F109" i="10"/>
  <c r="A9" i="10"/>
  <c r="B9" i="10"/>
  <c r="C9" i="10"/>
  <c r="D9" i="10"/>
  <c r="E9" i="10"/>
  <c r="F9" i="10"/>
  <c r="A42" i="10"/>
  <c r="B42" i="10"/>
  <c r="C42" i="10"/>
  <c r="D42" i="10"/>
  <c r="E42" i="10"/>
  <c r="F42" i="10"/>
  <c r="A163" i="10"/>
  <c r="B163" i="10"/>
  <c r="C163" i="10"/>
  <c r="D163" i="10"/>
  <c r="E163" i="10"/>
  <c r="F163" i="10"/>
  <c r="A76" i="10"/>
  <c r="B76" i="10"/>
  <c r="C76" i="10"/>
  <c r="D76" i="10"/>
  <c r="E76" i="10"/>
  <c r="F76" i="10"/>
  <c r="A43" i="10"/>
  <c r="B43" i="10"/>
  <c r="C43" i="10"/>
  <c r="D43" i="10"/>
  <c r="E43" i="10"/>
  <c r="F43" i="10"/>
  <c r="A28" i="10"/>
  <c r="B28" i="10"/>
  <c r="C28" i="10"/>
  <c r="D28" i="10"/>
  <c r="E28" i="10"/>
  <c r="F28" i="10"/>
  <c r="A125" i="10"/>
  <c r="B125" i="10"/>
  <c r="C125" i="10"/>
  <c r="D125" i="10"/>
  <c r="E125" i="10"/>
  <c r="F125" i="10"/>
  <c r="A126" i="10"/>
  <c r="B126" i="10"/>
  <c r="C126" i="10"/>
  <c r="D126" i="10"/>
  <c r="E126" i="10"/>
  <c r="F126" i="10"/>
  <c r="A10" i="10"/>
  <c r="B10" i="10"/>
  <c r="C10" i="10"/>
  <c r="D10" i="10"/>
  <c r="E10" i="10"/>
  <c r="F10" i="10"/>
  <c r="A164" i="10"/>
  <c r="B164" i="10"/>
  <c r="C164" i="10"/>
  <c r="D164" i="10"/>
  <c r="E164" i="10"/>
  <c r="F164" i="10"/>
  <c r="A127" i="10"/>
  <c r="B127" i="10"/>
  <c r="C127" i="10"/>
  <c r="D127" i="10"/>
  <c r="E127" i="10"/>
  <c r="F127" i="10"/>
  <c r="A110" i="10"/>
  <c r="B110" i="10"/>
  <c r="C110" i="10"/>
  <c r="D110" i="10"/>
  <c r="E110" i="10"/>
  <c r="F110" i="10"/>
  <c r="A95" i="10"/>
  <c r="B95" i="10"/>
  <c r="C95" i="10"/>
  <c r="D95" i="10"/>
  <c r="E95" i="10"/>
  <c r="F95" i="10"/>
  <c r="A111" i="10"/>
  <c r="B111" i="10"/>
  <c r="C111" i="10"/>
  <c r="D111" i="10"/>
  <c r="E111" i="10"/>
  <c r="F111" i="10"/>
  <c r="A112" i="10"/>
  <c r="B112" i="10"/>
  <c r="C112" i="10"/>
  <c r="D112" i="10"/>
  <c r="E112" i="10"/>
  <c r="F112" i="10"/>
  <c r="A77" i="10"/>
  <c r="B77" i="10"/>
  <c r="C77" i="10"/>
  <c r="D77" i="10"/>
  <c r="E77" i="10"/>
  <c r="F77" i="10"/>
  <c r="A165" i="10"/>
  <c r="B165" i="10"/>
  <c r="C165" i="10"/>
  <c r="D165" i="10"/>
  <c r="E165" i="10"/>
  <c r="F165" i="10"/>
  <c r="A166" i="10"/>
  <c r="B166" i="10"/>
  <c r="C166" i="10"/>
  <c r="D166" i="10"/>
  <c r="E166" i="10"/>
  <c r="F166" i="10"/>
  <c r="A128" i="10"/>
  <c r="B128" i="10"/>
  <c r="C128" i="10"/>
  <c r="D128" i="10"/>
  <c r="E128" i="10"/>
  <c r="F128" i="10"/>
  <c r="A167" i="10"/>
  <c r="B167" i="10"/>
  <c r="C167" i="10"/>
  <c r="D167" i="10"/>
  <c r="E167" i="10"/>
  <c r="F167" i="10"/>
  <c r="A168" i="10"/>
  <c r="B168" i="10"/>
  <c r="C168" i="10"/>
  <c r="D168" i="10"/>
  <c r="E168" i="10"/>
  <c r="F168" i="10"/>
  <c r="A169" i="10"/>
  <c r="B169" i="10"/>
  <c r="C169" i="10"/>
  <c r="D169" i="10"/>
  <c r="E169" i="10"/>
  <c r="F169" i="10"/>
  <c r="A113" i="10"/>
  <c r="B113" i="10"/>
  <c r="C113" i="10"/>
  <c r="D113" i="10"/>
  <c r="E113" i="10"/>
  <c r="F113" i="10"/>
  <c r="A170" i="10"/>
  <c r="B170" i="10"/>
  <c r="C170" i="10"/>
  <c r="D170" i="10"/>
  <c r="E170" i="10"/>
  <c r="F170" i="10"/>
  <c r="A171" i="10"/>
  <c r="B171" i="10"/>
  <c r="C171" i="10"/>
  <c r="D171" i="10"/>
  <c r="E171" i="10"/>
  <c r="F171" i="10"/>
  <c r="A172" i="10"/>
  <c r="B172" i="10"/>
  <c r="C172" i="10"/>
  <c r="D172" i="10"/>
  <c r="E172" i="10"/>
  <c r="F172" i="10"/>
  <c r="A173" i="10"/>
  <c r="B173" i="10"/>
  <c r="C173" i="10"/>
  <c r="D173" i="10"/>
  <c r="E173" i="10"/>
  <c r="F173" i="10"/>
  <c r="A174" i="10"/>
  <c r="B174" i="10"/>
  <c r="C174" i="10"/>
  <c r="D174" i="10"/>
  <c r="E174" i="10"/>
  <c r="F174" i="10"/>
  <c r="A175" i="10"/>
  <c r="B175" i="10"/>
  <c r="C175" i="10"/>
  <c r="D175" i="10"/>
  <c r="E175" i="10"/>
  <c r="F175" i="10"/>
  <c r="A129" i="10"/>
  <c r="B129" i="10"/>
  <c r="C129" i="10"/>
  <c r="D129" i="10"/>
  <c r="E129" i="10"/>
  <c r="F129" i="10"/>
  <c r="A11" i="10"/>
  <c r="B11" i="10"/>
  <c r="C11" i="10"/>
  <c r="D11" i="10"/>
  <c r="E11" i="10"/>
  <c r="F11" i="10"/>
  <c r="A96" i="10"/>
  <c r="B96" i="10"/>
  <c r="C96" i="10"/>
  <c r="D96" i="10"/>
  <c r="E96" i="10"/>
  <c r="F96" i="10"/>
  <c r="A60" i="10"/>
  <c r="B60" i="10"/>
  <c r="C60" i="10"/>
  <c r="D60" i="10"/>
  <c r="E60" i="10"/>
  <c r="F60" i="10"/>
  <c r="A97" i="10"/>
  <c r="B97" i="10"/>
  <c r="C97" i="10"/>
  <c r="D97" i="10"/>
  <c r="E97" i="10"/>
  <c r="F97" i="10"/>
  <c r="A176" i="10"/>
  <c r="B176" i="10"/>
  <c r="C176" i="10"/>
  <c r="D176" i="10"/>
  <c r="E176" i="10"/>
  <c r="F176" i="10"/>
  <c r="A177" i="10"/>
  <c r="B177" i="10"/>
  <c r="C177" i="10"/>
  <c r="D177" i="10"/>
  <c r="E177" i="10"/>
  <c r="F177" i="10"/>
  <c r="A78" i="10"/>
  <c r="B78" i="10"/>
  <c r="C78" i="10"/>
  <c r="D78" i="10"/>
  <c r="E78" i="10"/>
  <c r="F78" i="10"/>
  <c r="A178" i="10"/>
  <c r="B178" i="10"/>
  <c r="C178" i="10"/>
  <c r="D178" i="10"/>
  <c r="E178" i="10"/>
  <c r="F178" i="10"/>
  <c r="A44" i="10"/>
  <c r="B44" i="10"/>
  <c r="C44" i="10"/>
  <c r="D44" i="10"/>
  <c r="E44" i="10"/>
  <c r="F44" i="10"/>
  <c r="A179" i="10"/>
  <c r="B179" i="10"/>
  <c r="C179" i="10"/>
  <c r="D179" i="10"/>
  <c r="E179" i="10"/>
  <c r="F179" i="10"/>
  <c r="A45" i="10"/>
  <c r="B45" i="10"/>
  <c r="C45" i="10"/>
  <c r="D45" i="10"/>
  <c r="E45" i="10"/>
  <c r="F45" i="10"/>
  <c r="A180" i="10"/>
  <c r="B180" i="10"/>
  <c r="C180" i="10"/>
  <c r="D180" i="10"/>
  <c r="E180" i="10"/>
  <c r="F180" i="10"/>
  <c r="A181" i="10"/>
  <c r="B181" i="10"/>
  <c r="C181" i="10"/>
  <c r="D181" i="10"/>
  <c r="E181" i="10"/>
  <c r="F181" i="10"/>
  <c r="A182" i="10"/>
  <c r="B182" i="10"/>
  <c r="C182" i="10"/>
  <c r="D182" i="10"/>
  <c r="E182" i="10"/>
  <c r="F182" i="10"/>
  <c r="A183" i="10"/>
  <c r="B183" i="10"/>
  <c r="C183" i="10"/>
  <c r="D183" i="10"/>
  <c r="E183" i="10"/>
  <c r="F183" i="10"/>
  <c r="A12" i="10"/>
  <c r="B12" i="10"/>
  <c r="C12" i="10"/>
  <c r="D12" i="10"/>
  <c r="E12" i="10"/>
  <c r="F12" i="10"/>
  <c r="A114" i="10"/>
  <c r="B114" i="10"/>
  <c r="C114" i="10"/>
  <c r="D114" i="10"/>
  <c r="E114" i="10"/>
  <c r="F114" i="10"/>
  <c r="A115" i="10"/>
  <c r="B115" i="10"/>
  <c r="C115" i="10"/>
  <c r="D115" i="10"/>
  <c r="E115" i="10"/>
  <c r="F115" i="10"/>
  <c r="A61" i="10"/>
  <c r="B61" i="10"/>
  <c r="C61" i="10"/>
  <c r="D61" i="10"/>
  <c r="E61" i="10"/>
  <c r="F61" i="10"/>
  <c r="A79" i="10"/>
  <c r="B79" i="10"/>
  <c r="C79" i="10"/>
  <c r="D79" i="10"/>
  <c r="E79" i="10"/>
  <c r="F79" i="10"/>
  <c r="A62" i="10"/>
  <c r="B62" i="10"/>
  <c r="C62" i="10"/>
  <c r="D62" i="10"/>
  <c r="E62" i="10"/>
  <c r="F62" i="10"/>
  <c r="A184" i="10"/>
  <c r="B184" i="10"/>
  <c r="C184" i="10"/>
  <c r="D184" i="10"/>
  <c r="E184" i="10"/>
  <c r="F184" i="10"/>
  <c r="A29" i="10"/>
  <c r="B29" i="10"/>
  <c r="C29" i="10"/>
  <c r="D29" i="10"/>
  <c r="E29" i="10"/>
  <c r="F29" i="10"/>
  <c r="A185" i="10"/>
  <c r="B185" i="10"/>
  <c r="C185" i="10"/>
  <c r="D185" i="10"/>
  <c r="E185" i="10"/>
  <c r="F185" i="10"/>
  <c r="A130" i="10"/>
  <c r="B130" i="10"/>
  <c r="C130" i="10"/>
  <c r="D130" i="10"/>
  <c r="E130" i="10"/>
  <c r="F130" i="10"/>
  <c r="A186" i="10"/>
  <c r="B186" i="10"/>
  <c r="C186" i="10"/>
  <c r="D186" i="10"/>
  <c r="E186" i="10"/>
  <c r="F186" i="10"/>
  <c r="A187" i="10"/>
  <c r="B187" i="10"/>
  <c r="C187" i="10"/>
  <c r="D187" i="10"/>
  <c r="E187" i="10"/>
  <c r="F187" i="10"/>
  <c r="A13" i="10"/>
  <c r="B13" i="10"/>
  <c r="C13" i="10"/>
  <c r="D13" i="10"/>
  <c r="E13" i="10"/>
  <c r="F13" i="10"/>
  <c r="A14" i="10"/>
  <c r="B14" i="10"/>
  <c r="C14" i="10"/>
  <c r="D14" i="10"/>
  <c r="E14" i="10"/>
  <c r="F14" i="10"/>
  <c r="A46" i="10"/>
  <c r="B46" i="10"/>
  <c r="C46" i="10"/>
  <c r="D46" i="10"/>
  <c r="E46" i="10"/>
  <c r="F46" i="10"/>
  <c r="A80" i="10"/>
  <c r="B80" i="10"/>
  <c r="C80" i="10"/>
  <c r="D80" i="10"/>
  <c r="E80" i="10"/>
  <c r="F80" i="10"/>
  <c r="A188" i="10"/>
  <c r="B188" i="10"/>
  <c r="C188" i="10"/>
  <c r="D188" i="10"/>
  <c r="E188" i="10"/>
  <c r="F188" i="10"/>
  <c r="A131" i="10"/>
  <c r="B131" i="10"/>
  <c r="C131" i="10"/>
  <c r="D131" i="10"/>
  <c r="E131" i="10"/>
  <c r="F131" i="10"/>
  <c r="A47" i="10"/>
  <c r="B47" i="10"/>
  <c r="C47" i="10"/>
  <c r="D47" i="10"/>
  <c r="E47" i="10"/>
  <c r="F47" i="10"/>
  <c r="A189" i="10"/>
  <c r="B189" i="10"/>
  <c r="C189" i="10"/>
  <c r="D189" i="10"/>
  <c r="E189" i="10"/>
  <c r="F189" i="10"/>
  <c r="A190" i="10"/>
  <c r="B190" i="10"/>
  <c r="C190" i="10"/>
  <c r="D190" i="10"/>
  <c r="E190" i="10"/>
  <c r="F190" i="10"/>
  <c r="A81" i="10"/>
  <c r="B81" i="10"/>
  <c r="C81" i="10"/>
  <c r="D81" i="10"/>
  <c r="E81" i="10"/>
  <c r="F81" i="10"/>
  <c r="A15" i="10"/>
  <c r="B15" i="10"/>
  <c r="C15" i="10"/>
  <c r="D15" i="10"/>
  <c r="E15" i="10"/>
  <c r="F15" i="10"/>
  <c r="A191" i="10"/>
  <c r="B191" i="10"/>
  <c r="C191" i="10"/>
  <c r="D191" i="10"/>
  <c r="E191" i="10"/>
  <c r="F191" i="10"/>
  <c r="A16" i="10"/>
  <c r="B16" i="10"/>
  <c r="C16" i="10"/>
  <c r="D16" i="10"/>
  <c r="E16" i="10"/>
  <c r="F16" i="10"/>
  <c r="A98" i="10"/>
  <c r="B98" i="10"/>
  <c r="C98" i="10"/>
  <c r="D98" i="10"/>
  <c r="E98" i="10"/>
  <c r="F98" i="10"/>
  <c r="A192" i="10"/>
  <c r="B192" i="10"/>
  <c r="C192" i="10"/>
  <c r="D192" i="10"/>
  <c r="E192" i="10"/>
  <c r="F192" i="10"/>
  <c r="A193" i="10"/>
  <c r="B193" i="10"/>
  <c r="C193" i="10"/>
  <c r="D193" i="10"/>
  <c r="E193" i="10"/>
  <c r="F193" i="10"/>
  <c r="A48" i="10"/>
  <c r="B48" i="10"/>
  <c r="C48" i="10"/>
  <c r="D48" i="10"/>
  <c r="E48" i="10"/>
  <c r="F48" i="10"/>
  <c r="A194" i="10"/>
  <c r="B194" i="10"/>
  <c r="C194" i="10"/>
  <c r="D194" i="10"/>
  <c r="E194" i="10"/>
  <c r="F194" i="10"/>
  <c r="A195" i="10"/>
  <c r="B195" i="10"/>
  <c r="C195" i="10"/>
  <c r="D195" i="10"/>
  <c r="E195" i="10"/>
  <c r="F195" i="10"/>
  <c r="A196" i="10"/>
  <c r="B196" i="10"/>
  <c r="C196" i="10"/>
  <c r="D196" i="10"/>
  <c r="E196" i="10"/>
  <c r="F196" i="10"/>
  <c r="A197" i="10"/>
  <c r="B197" i="10"/>
  <c r="C197" i="10"/>
  <c r="D197" i="10"/>
  <c r="E197" i="10"/>
  <c r="F197" i="10"/>
  <c r="A198" i="10"/>
  <c r="B198" i="10"/>
  <c r="C198" i="10"/>
  <c r="D198" i="10"/>
  <c r="E198" i="10"/>
  <c r="F198" i="10"/>
  <c r="A30" i="10"/>
  <c r="B30" i="10"/>
  <c r="C30" i="10"/>
  <c r="D30" i="10"/>
  <c r="E30" i="10"/>
  <c r="F30" i="10"/>
  <c r="A31" i="10"/>
  <c r="B31" i="10"/>
  <c r="C31" i="10"/>
  <c r="D31" i="10"/>
  <c r="E31" i="10"/>
  <c r="F31" i="10"/>
  <c r="A63" i="10"/>
  <c r="B63" i="10"/>
  <c r="C63" i="10"/>
  <c r="D63" i="10"/>
  <c r="E63" i="10"/>
  <c r="F63" i="10"/>
  <c r="A82" i="10"/>
  <c r="B82" i="10"/>
  <c r="C82" i="10"/>
  <c r="D82" i="10"/>
  <c r="E82" i="10"/>
  <c r="F82" i="10"/>
  <c r="A199" i="10"/>
  <c r="B199" i="10"/>
  <c r="C199" i="10"/>
  <c r="D199" i="10"/>
  <c r="E199" i="10"/>
  <c r="F199" i="10"/>
  <c r="A200" i="10"/>
  <c r="B200" i="10"/>
  <c r="C200" i="10"/>
  <c r="D200" i="10"/>
  <c r="E200" i="10"/>
  <c r="F200" i="10"/>
  <c r="A201" i="10"/>
  <c r="B201" i="10"/>
  <c r="C201" i="10"/>
  <c r="D201" i="10"/>
  <c r="E201" i="10"/>
  <c r="F201" i="10"/>
  <c r="A202" i="10"/>
  <c r="B202" i="10"/>
  <c r="C202" i="10"/>
  <c r="D202" i="10"/>
  <c r="E202" i="10"/>
  <c r="F202" i="10"/>
  <c r="A203" i="10"/>
  <c r="B203" i="10"/>
  <c r="C203" i="10"/>
  <c r="D203" i="10"/>
  <c r="E203" i="10"/>
  <c r="F203" i="10"/>
  <c r="A204" i="10"/>
  <c r="B204" i="10"/>
  <c r="C204" i="10"/>
  <c r="D204" i="10"/>
  <c r="E204" i="10"/>
  <c r="F204" i="10"/>
  <c r="A205" i="10"/>
  <c r="B205" i="10"/>
  <c r="C205" i="10"/>
  <c r="D205" i="10"/>
  <c r="E205" i="10"/>
  <c r="F205" i="10"/>
  <c r="A206" i="10"/>
  <c r="B206" i="10"/>
  <c r="C206" i="10"/>
  <c r="D206" i="10"/>
  <c r="E206" i="10"/>
  <c r="F206" i="10"/>
  <c r="A64" i="10"/>
  <c r="B64" i="10"/>
  <c r="C64" i="10"/>
  <c r="D64" i="10"/>
  <c r="E64" i="10"/>
  <c r="F64" i="10"/>
  <c r="A207" i="10"/>
  <c r="B207" i="10"/>
  <c r="C207" i="10"/>
  <c r="D207" i="10"/>
  <c r="E207" i="10"/>
  <c r="F207" i="10"/>
  <c r="A208" i="10"/>
  <c r="B208" i="10"/>
  <c r="C208" i="10"/>
  <c r="D208" i="10"/>
  <c r="E208" i="10"/>
  <c r="F208" i="10"/>
  <c r="A209" i="10"/>
  <c r="B209" i="10"/>
  <c r="C209" i="10"/>
  <c r="D209" i="10"/>
  <c r="E209" i="10"/>
  <c r="F209" i="10"/>
  <c r="A210" i="10"/>
  <c r="B210" i="10"/>
  <c r="C210" i="10"/>
  <c r="D210" i="10"/>
  <c r="E210" i="10"/>
  <c r="F210" i="10"/>
  <c r="A211" i="10"/>
  <c r="B211" i="10"/>
  <c r="C211" i="10"/>
  <c r="D211" i="10"/>
  <c r="E211" i="10"/>
  <c r="F211" i="10"/>
  <c r="A132" i="10"/>
  <c r="B132" i="10"/>
  <c r="C132" i="10"/>
  <c r="D132" i="10"/>
  <c r="E132" i="10"/>
  <c r="F132" i="10"/>
  <c r="A99" i="10"/>
  <c r="B99" i="10"/>
  <c r="C99" i="10"/>
  <c r="D99" i="10"/>
  <c r="E99" i="10"/>
  <c r="F99" i="10"/>
  <c r="A100" i="10"/>
  <c r="B100" i="10"/>
  <c r="C100" i="10"/>
  <c r="D100" i="10"/>
  <c r="E100" i="10"/>
  <c r="F100" i="10"/>
  <c r="A212" i="10"/>
  <c r="B212" i="10"/>
  <c r="C212" i="10"/>
  <c r="D212" i="10"/>
  <c r="E212" i="10"/>
  <c r="F212" i="10"/>
  <c r="A213" i="10"/>
  <c r="B213" i="10"/>
  <c r="C213" i="10"/>
  <c r="D213" i="10"/>
  <c r="E213" i="10"/>
  <c r="F213" i="10"/>
  <c r="A214" i="10"/>
  <c r="B214" i="10"/>
  <c r="C214" i="10"/>
  <c r="D214" i="10"/>
  <c r="E214" i="10"/>
  <c r="F214" i="10"/>
  <c r="A49" i="10"/>
  <c r="B49" i="10"/>
  <c r="C49" i="10"/>
  <c r="D49" i="10"/>
  <c r="E49" i="10"/>
  <c r="F49" i="10"/>
  <c r="A215" i="10"/>
  <c r="B215" i="10"/>
  <c r="C215" i="10"/>
  <c r="D215" i="10"/>
  <c r="E215" i="10"/>
  <c r="F215" i="10"/>
  <c r="A32" i="10"/>
  <c r="B32" i="10"/>
  <c r="C32" i="10"/>
  <c r="D32" i="10"/>
  <c r="E32" i="10"/>
  <c r="F32" i="10"/>
  <c r="A101" i="10"/>
  <c r="B101" i="10"/>
  <c r="C101" i="10"/>
  <c r="D101" i="10"/>
  <c r="E101" i="10"/>
  <c r="F101" i="10"/>
  <c r="A17" i="10"/>
  <c r="B17" i="10"/>
  <c r="C17" i="10"/>
  <c r="D17" i="10"/>
  <c r="E17" i="10"/>
  <c r="F17" i="10"/>
  <c r="A102" i="10"/>
  <c r="B102" i="10"/>
  <c r="C102" i="10"/>
  <c r="D102" i="10"/>
  <c r="E102" i="10"/>
  <c r="F102" i="10"/>
  <c r="A216" i="10"/>
  <c r="B216" i="10"/>
  <c r="C216" i="10"/>
  <c r="D216" i="10"/>
  <c r="E216" i="10"/>
  <c r="F216" i="10"/>
  <c r="A33" i="10"/>
  <c r="B33" i="10"/>
  <c r="C33" i="10"/>
  <c r="D33" i="10"/>
  <c r="E33" i="10"/>
  <c r="F33" i="10"/>
  <c r="A217" i="10"/>
  <c r="B217" i="10"/>
  <c r="C217" i="10"/>
  <c r="D217" i="10"/>
  <c r="E217" i="10"/>
  <c r="F217" i="10"/>
  <c r="A65" i="10"/>
  <c r="B65" i="10"/>
  <c r="C65" i="10"/>
  <c r="D65" i="10"/>
  <c r="E65" i="10"/>
  <c r="F65" i="10"/>
  <c r="A18" i="10"/>
  <c r="B18" i="10"/>
  <c r="C18" i="10"/>
  <c r="D18" i="10"/>
  <c r="E18" i="10"/>
  <c r="F18" i="10"/>
  <c r="A218" i="10"/>
  <c r="B218" i="10"/>
  <c r="C218" i="10"/>
  <c r="D218" i="10"/>
  <c r="E218" i="10"/>
  <c r="F218" i="10"/>
  <c r="A219" i="10"/>
  <c r="B219" i="10"/>
  <c r="C219" i="10"/>
  <c r="D219" i="10"/>
  <c r="E219" i="10"/>
  <c r="F219" i="10"/>
  <c r="A133" i="10"/>
  <c r="B133" i="10"/>
  <c r="C133" i="10"/>
  <c r="D133" i="10"/>
  <c r="E133" i="10"/>
  <c r="F133" i="10"/>
  <c r="A220" i="10"/>
  <c r="B220" i="10"/>
  <c r="C220" i="10"/>
  <c r="D220" i="10"/>
  <c r="E220" i="10"/>
  <c r="F220" i="10"/>
  <c r="A221" i="10"/>
  <c r="B221" i="10"/>
  <c r="C221" i="10"/>
  <c r="D221" i="10"/>
  <c r="E221" i="10"/>
  <c r="F221" i="10"/>
  <c r="A83" i="10"/>
  <c r="B83" i="10"/>
  <c r="C83" i="10"/>
  <c r="D83" i="10"/>
  <c r="E83" i="10"/>
  <c r="F83" i="10"/>
  <c r="A134" i="10"/>
  <c r="B134" i="10"/>
  <c r="C134" i="10"/>
  <c r="D134" i="10"/>
  <c r="E134" i="10"/>
  <c r="F134" i="10"/>
  <c r="A84" i="10"/>
  <c r="B84" i="10"/>
  <c r="C84" i="10"/>
  <c r="D84" i="10"/>
  <c r="E84" i="10"/>
  <c r="F84" i="10"/>
  <c r="A222" i="10"/>
  <c r="B222" i="10"/>
  <c r="C222" i="10"/>
  <c r="D222" i="10"/>
  <c r="E222" i="10"/>
  <c r="F222" i="10"/>
  <c r="A223" i="10"/>
  <c r="B223" i="10"/>
  <c r="C223" i="10"/>
  <c r="D223" i="10"/>
  <c r="E223" i="10"/>
  <c r="F223" i="10"/>
  <c r="A224" i="10"/>
  <c r="B224" i="10"/>
  <c r="C224" i="10"/>
  <c r="D224" i="10"/>
  <c r="E224" i="10"/>
  <c r="F224" i="10"/>
  <c r="A66" i="10"/>
  <c r="B66" i="10"/>
  <c r="C66" i="10"/>
  <c r="D66" i="10"/>
  <c r="E66" i="10"/>
  <c r="F66" i="10"/>
  <c r="A225" i="10"/>
  <c r="B225" i="10"/>
  <c r="C225" i="10"/>
  <c r="D225" i="10"/>
  <c r="E225" i="10"/>
  <c r="F225" i="10"/>
  <c r="A34" i="10"/>
  <c r="B34" i="10"/>
  <c r="C34" i="10"/>
  <c r="D34" i="10"/>
  <c r="E34" i="10"/>
  <c r="F34" i="10"/>
  <c r="A226" i="10"/>
  <c r="B226" i="10"/>
  <c r="C226" i="10"/>
  <c r="D226" i="10"/>
  <c r="E226" i="10"/>
  <c r="F226" i="10"/>
  <c r="A19" i="10"/>
  <c r="B19" i="10"/>
  <c r="C19" i="10"/>
  <c r="D19" i="10"/>
  <c r="E19" i="10"/>
  <c r="F19" i="10"/>
  <c r="A227" i="10"/>
  <c r="B227" i="10"/>
  <c r="C227" i="10"/>
  <c r="D227" i="10"/>
  <c r="E227" i="10"/>
  <c r="F227" i="10"/>
  <c r="A85" i="10"/>
  <c r="B85" i="10"/>
  <c r="C85" i="10"/>
  <c r="D85" i="10"/>
  <c r="E85" i="10"/>
  <c r="F85" i="10"/>
  <c r="A228" i="10"/>
  <c r="B228" i="10"/>
  <c r="C228" i="10"/>
  <c r="D228" i="10"/>
  <c r="E228" i="10"/>
  <c r="F228" i="10"/>
  <c r="A67" i="10"/>
  <c r="B67" i="10"/>
  <c r="C67" i="10"/>
  <c r="D67" i="10"/>
  <c r="E67" i="10"/>
  <c r="F67" i="10"/>
  <c r="A229" i="10"/>
  <c r="B229" i="10"/>
  <c r="C229" i="10"/>
  <c r="D229" i="10"/>
  <c r="E229" i="10"/>
  <c r="F229" i="10"/>
  <c r="A230" i="10"/>
  <c r="B230" i="10"/>
  <c r="C230" i="10"/>
  <c r="D230" i="10"/>
  <c r="E230" i="10"/>
  <c r="F230" i="10"/>
  <c r="A231" i="10"/>
  <c r="B231" i="10"/>
  <c r="C231" i="10"/>
  <c r="D231" i="10"/>
  <c r="E231" i="10"/>
  <c r="F231" i="10"/>
  <c r="A232" i="10"/>
  <c r="B232" i="10"/>
  <c r="C232" i="10"/>
  <c r="D232" i="10"/>
  <c r="E232" i="10"/>
  <c r="F232" i="10"/>
  <c r="A233" i="10"/>
  <c r="B233" i="10"/>
  <c r="C233" i="10"/>
  <c r="D233" i="10"/>
  <c r="E233" i="10"/>
  <c r="F233" i="10"/>
  <c r="A234" i="10"/>
  <c r="B234" i="10"/>
  <c r="C234" i="10"/>
  <c r="D234" i="10"/>
  <c r="E234" i="10"/>
  <c r="F234" i="10"/>
  <c r="A86" i="10"/>
  <c r="B86" i="10"/>
  <c r="C86" i="10"/>
  <c r="D86" i="10"/>
  <c r="E86" i="10"/>
  <c r="F86" i="10"/>
  <c r="A50" i="10"/>
  <c r="B50" i="10"/>
  <c r="C50" i="10"/>
  <c r="D50" i="10"/>
  <c r="E50" i="10"/>
  <c r="F50" i="10"/>
  <c r="A35" i="10"/>
  <c r="B35" i="10"/>
  <c r="C35" i="10"/>
  <c r="D35" i="10"/>
  <c r="E35" i="10"/>
  <c r="F35" i="10"/>
  <c r="A36" i="10"/>
  <c r="B36" i="10"/>
  <c r="C36" i="10"/>
  <c r="D36" i="10"/>
  <c r="E36" i="10"/>
  <c r="F36" i="10"/>
  <c r="A235" i="10"/>
  <c r="B235" i="10"/>
  <c r="C235" i="10"/>
  <c r="D235" i="10"/>
  <c r="E235" i="10"/>
  <c r="F235" i="10"/>
  <c r="A116" i="10"/>
  <c r="B116" i="10"/>
  <c r="C116" i="10"/>
  <c r="D116" i="10"/>
  <c r="E116" i="10"/>
  <c r="F116" i="10"/>
  <c r="A68" i="10"/>
  <c r="B68" i="10"/>
  <c r="C68" i="10"/>
  <c r="D68" i="10"/>
  <c r="E68" i="10"/>
  <c r="F68" i="10"/>
  <c r="A236" i="10"/>
  <c r="B236" i="10"/>
  <c r="C236" i="10"/>
  <c r="D236" i="10"/>
  <c r="E236" i="10"/>
  <c r="F236" i="10"/>
  <c r="A237" i="10"/>
  <c r="B237" i="10"/>
  <c r="C237" i="10"/>
  <c r="D237" i="10"/>
  <c r="E237" i="10"/>
  <c r="F237" i="10"/>
  <c r="A51" i="10"/>
  <c r="B51" i="10"/>
  <c r="C51" i="10"/>
  <c r="D51" i="10"/>
  <c r="E51" i="10"/>
  <c r="F51" i="10"/>
  <c r="A238" i="10"/>
  <c r="B238" i="10"/>
  <c r="C238" i="10"/>
  <c r="D238" i="10"/>
  <c r="E238" i="10"/>
  <c r="F238" i="10"/>
  <c r="A239" i="10"/>
  <c r="B239" i="10"/>
  <c r="C239" i="10"/>
  <c r="D239" i="10"/>
  <c r="E239" i="10"/>
  <c r="F239" i="10"/>
  <c r="A37" i="10"/>
  <c r="B37" i="10"/>
  <c r="C37" i="10"/>
  <c r="D37" i="10"/>
  <c r="E37" i="10"/>
  <c r="F37" i="10"/>
  <c r="A240" i="10"/>
  <c r="B240" i="10"/>
  <c r="C240" i="10"/>
  <c r="D240" i="10"/>
  <c r="E240" i="10"/>
  <c r="F240" i="10"/>
  <c r="A241" i="10"/>
  <c r="B241" i="10"/>
  <c r="C241" i="10"/>
  <c r="D241" i="10"/>
  <c r="E241" i="10"/>
  <c r="F241" i="10"/>
  <c r="A242" i="10"/>
  <c r="B242" i="10"/>
  <c r="C242" i="10"/>
  <c r="D242" i="10"/>
  <c r="E242" i="10"/>
  <c r="F242" i="10"/>
  <c r="A52" i="10"/>
  <c r="B52" i="10"/>
  <c r="C52" i="10"/>
  <c r="D52" i="10"/>
  <c r="E52" i="10"/>
  <c r="F52" i="10"/>
  <c r="A243" i="10"/>
  <c r="B243" i="10"/>
  <c r="C243" i="10"/>
  <c r="D243" i="10"/>
  <c r="E243" i="10"/>
  <c r="F243" i="10"/>
  <c r="A244" i="10"/>
  <c r="B244" i="10"/>
  <c r="C244" i="10"/>
  <c r="D244" i="10"/>
  <c r="E244" i="10"/>
  <c r="F244" i="10"/>
  <c r="A53" i="10"/>
  <c r="B53" i="10"/>
  <c r="C53" i="10"/>
  <c r="D53" i="10"/>
  <c r="E53" i="10"/>
  <c r="F53" i="10"/>
  <c r="A20" i="10"/>
  <c r="B20" i="10"/>
  <c r="C20" i="10"/>
  <c r="D20" i="10"/>
  <c r="E20" i="10"/>
  <c r="F20" i="10"/>
  <c r="A21" i="10"/>
  <c r="B21" i="10"/>
  <c r="C21" i="10"/>
  <c r="D21" i="10"/>
  <c r="E21" i="10"/>
  <c r="F21" i="10"/>
  <c r="A135" i="10"/>
  <c r="B135" i="10"/>
  <c r="C135" i="10"/>
  <c r="D135" i="10"/>
  <c r="E135" i="10"/>
  <c r="F135" i="10"/>
  <c r="A54" i="10"/>
  <c r="B54" i="10"/>
  <c r="C54" i="10"/>
  <c r="D54" i="10"/>
  <c r="E54" i="10"/>
  <c r="F54" i="10"/>
  <c r="A103" i="10"/>
  <c r="B103" i="10"/>
  <c r="C103" i="10"/>
  <c r="D103" i="10"/>
  <c r="E103" i="10"/>
  <c r="F103" i="10"/>
  <c r="A104" i="10"/>
  <c r="B104" i="10"/>
  <c r="C104" i="10"/>
  <c r="D104" i="10"/>
  <c r="E104" i="10"/>
  <c r="F104" i="10"/>
  <c r="A245" i="10"/>
  <c r="B245" i="10"/>
  <c r="C245" i="10"/>
  <c r="D245" i="10"/>
  <c r="E245" i="10"/>
  <c r="F245" i="10"/>
  <c r="A246" i="10"/>
  <c r="B246" i="10"/>
  <c r="C246" i="10"/>
  <c r="D246" i="10"/>
  <c r="E246" i="10"/>
  <c r="F246" i="10"/>
  <c r="A247" i="10"/>
  <c r="B247" i="10"/>
  <c r="C247" i="10"/>
  <c r="D247" i="10"/>
  <c r="E247" i="10"/>
  <c r="F247" i="10"/>
  <c r="A248" i="10"/>
  <c r="B248" i="10"/>
  <c r="C248" i="10"/>
  <c r="D248" i="10"/>
  <c r="E248" i="10"/>
  <c r="F248" i="10"/>
  <c r="A22" i="10"/>
  <c r="B22" i="10"/>
  <c r="C22" i="10"/>
  <c r="D22" i="10"/>
  <c r="E22" i="10"/>
  <c r="F22" i="10"/>
  <c r="A117" i="10"/>
  <c r="B117" i="10"/>
  <c r="C117" i="10"/>
  <c r="D117" i="10"/>
  <c r="E117" i="10"/>
  <c r="F117" i="10"/>
  <c r="A38" i="10"/>
  <c r="B38" i="10"/>
  <c r="C38" i="10"/>
  <c r="D38" i="10"/>
  <c r="E38" i="10"/>
  <c r="F38" i="10"/>
  <c r="A136" i="10"/>
  <c r="B136" i="10"/>
  <c r="C136" i="10"/>
  <c r="D136" i="10"/>
  <c r="E136" i="10"/>
  <c r="F136" i="10"/>
  <c r="A249" i="10"/>
  <c r="B249" i="10"/>
  <c r="C249" i="10"/>
  <c r="D249" i="10"/>
  <c r="E249" i="10"/>
  <c r="F249" i="10"/>
  <c r="A137" i="10"/>
  <c r="B137" i="10"/>
  <c r="C137" i="10"/>
  <c r="D137" i="10"/>
  <c r="E137" i="10"/>
  <c r="F137" i="10"/>
  <c r="A69" i="10"/>
  <c r="B69" i="10"/>
  <c r="C69" i="10"/>
  <c r="D69" i="10"/>
  <c r="E69" i="10"/>
  <c r="F69" i="10"/>
  <c r="A250" i="10"/>
  <c r="B250" i="10"/>
  <c r="C250" i="10"/>
  <c r="D250" i="10"/>
  <c r="E250" i="10"/>
  <c r="F250" i="10"/>
  <c r="A118" i="10"/>
  <c r="B118" i="10"/>
  <c r="C118" i="10"/>
  <c r="D118" i="10"/>
  <c r="E118" i="10"/>
  <c r="F118" i="10"/>
  <c r="A23" i="10"/>
  <c r="B23" i="10"/>
  <c r="C23" i="10"/>
  <c r="D23" i="10"/>
  <c r="E23" i="10"/>
  <c r="F23" i="10"/>
  <c r="A87" i="10"/>
  <c r="B87" i="10"/>
  <c r="C87" i="10"/>
  <c r="D87" i="10"/>
  <c r="E87" i="10"/>
  <c r="F87" i="10"/>
  <c r="A24" i="10"/>
  <c r="B24" i="10"/>
  <c r="C24" i="10"/>
  <c r="D24" i="10"/>
  <c r="E24" i="10"/>
  <c r="F24" i="10"/>
  <c r="A251" i="10"/>
  <c r="B251" i="10"/>
  <c r="C251" i="10"/>
  <c r="D251" i="10"/>
  <c r="E251" i="10"/>
  <c r="F251" i="10"/>
  <c r="A55" i="10"/>
  <c r="B55" i="10"/>
  <c r="C55" i="10"/>
  <c r="D55" i="10"/>
  <c r="E55" i="10"/>
  <c r="F55" i="10"/>
  <c r="A56" i="10"/>
  <c r="B56" i="10"/>
  <c r="C56" i="10"/>
  <c r="D56" i="10"/>
  <c r="E56" i="10"/>
  <c r="F56" i="10"/>
  <c r="A105" i="10"/>
  <c r="B105" i="10"/>
  <c r="C105" i="10"/>
  <c r="D105" i="10"/>
  <c r="E105" i="10"/>
  <c r="F105" i="10"/>
  <c r="A252" i="10"/>
  <c r="B252" i="10"/>
  <c r="C252" i="10"/>
  <c r="D252" i="10"/>
  <c r="E252" i="10"/>
  <c r="F252" i="10"/>
  <c r="A25" i="10"/>
  <c r="B25" i="10"/>
  <c r="C25" i="10"/>
  <c r="D25" i="10"/>
  <c r="E25" i="10"/>
  <c r="F25" i="10"/>
  <c r="A138" i="10"/>
  <c r="B138" i="10"/>
  <c r="C138" i="10"/>
  <c r="D138" i="10"/>
  <c r="E138" i="10"/>
  <c r="F138" i="10"/>
  <c r="A88" i="10"/>
  <c r="B88" i="10"/>
  <c r="C88" i="10"/>
  <c r="D88" i="10"/>
  <c r="E88" i="10"/>
  <c r="F88" i="10"/>
  <c r="A253" i="10"/>
  <c r="B253" i="10"/>
  <c r="C253" i="10"/>
  <c r="D253" i="10"/>
  <c r="E253" i="10"/>
  <c r="F253" i="10"/>
  <c r="A254" i="10"/>
  <c r="B254" i="10"/>
  <c r="C254" i="10"/>
  <c r="D254" i="10"/>
  <c r="E254" i="10"/>
  <c r="F254" i="10"/>
  <c r="A119" i="10"/>
  <c r="B119" i="10"/>
  <c r="C119" i="10"/>
  <c r="D119" i="10"/>
  <c r="E119" i="10"/>
  <c r="F119" i="10"/>
  <c r="A255" i="10"/>
  <c r="B255" i="10"/>
  <c r="C255" i="10"/>
  <c r="D255" i="10"/>
  <c r="E255" i="10"/>
  <c r="F255" i="10"/>
  <c r="A256" i="10"/>
  <c r="B256" i="10"/>
  <c r="C256" i="10"/>
  <c r="D256" i="10"/>
  <c r="E256" i="10"/>
  <c r="F256" i="10"/>
  <c r="A89" i="10"/>
  <c r="B89" i="10"/>
  <c r="C89" i="10"/>
  <c r="D89" i="10"/>
  <c r="E89" i="10"/>
  <c r="F89" i="10"/>
  <c r="A257" i="10"/>
  <c r="B257" i="10"/>
  <c r="C257" i="10"/>
  <c r="D257" i="10"/>
  <c r="E257" i="10"/>
  <c r="F257" i="10"/>
  <c r="A70" i="10"/>
  <c r="B70" i="10"/>
  <c r="C70" i="10"/>
  <c r="D70" i="10"/>
  <c r="E70" i="10"/>
  <c r="F70" i="10"/>
  <c r="A106" i="10"/>
  <c r="B106" i="10"/>
  <c r="C106" i="10"/>
  <c r="D106" i="10"/>
  <c r="E106" i="10"/>
  <c r="F106" i="10"/>
  <c r="A139" i="10"/>
  <c r="B139" i="10"/>
  <c r="C139" i="10"/>
  <c r="D139" i="10"/>
  <c r="E139" i="10"/>
  <c r="F139" i="10"/>
  <c r="A120" i="10"/>
  <c r="B120" i="10"/>
  <c r="C120" i="10"/>
  <c r="D120" i="10"/>
  <c r="E120" i="10"/>
  <c r="F120" i="10"/>
  <c r="A258" i="10"/>
  <c r="B258" i="10"/>
  <c r="C258" i="10"/>
  <c r="D258" i="10"/>
  <c r="E258" i="10"/>
  <c r="F258" i="10"/>
  <c r="A259" i="10"/>
  <c r="B259" i="10"/>
  <c r="C259" i="10"/>
  <c r="D259" i="10"/>
  <c r="E259" i="10"/>
  <c r="F259" i="10"/>
  <c r="A260" i="10"/>
  <c r="B260" i="10"/>
  <c r="C260" i="10"/>
  <c r="D260" i="10"/>
  <c r="E260" i="10"/>
  <c r="F260" i="10"/>
  <c r="A57" i="10"/>
  <c r="B57" i="10"/>
  <c r="C57" i="10"/>
  <c r="D57" i="10"/>
  <c r="E57" i="10"/>
  <c r="F57" i="10"/>
  <c r="A71" i="10"/>
  <c r="B71" i="10"/>
  <c r="C71" i="10"/>
  <c r="D71" i="10"/>
  <c r="E71" i="10"/>
  <c r="F71" i="10"/>
  <c r="A121" i="10"/>
  <c r="B121" i="10"/>
  <c r="C121" i="10"/>
  <c r="D121" i="10"/>
  <c r="E121" i="10"/>
  <c r="F121" i="10"/>
  <c r="A261" i="10"/>
  <c r="B261" i="10"/>
  <c r="C261" i="10"/>
  <c r="D261" i="10"/>
  <c r="E261" i="10"/>
  <c r="F261" i="10"/>
  <c r="A107" i="10"/>
  <c r="B107" i="10"/>
  <c r="C107" i="10"/>
  <c r="D107" i="10"/>
  <c r="E107" i="10"/>
  <c r="F107" i="10"/>
  <c r="A262" i="10"/>
  <c r="B262" i="10"/>
  <c r="C262" i="10"/>
  <c r="D262" i="10"/>
  <c r="E262" i="10"/>
  <c r="F262" i="10"/>
  <c r="A263" i="10"/>
  <c r="B263" i="10"/>
  <c r="C263" i="10"/>
  <c r="D263" i="10"/>
  <c r="E263" i="10"/>
  <c r="F263" i="10"/>
  <c r="A264" i="10"/>
  <c r="B264" i="10"/>
  <c r="C264" i="10"/>
  <c r="D264" i="10"/>
  <c r="E264" i="10"/>
  <c r="F264" i="10"/>
  <c r="A140" i="10"/>
  <c r="B140" i="10"/>
  <c r="C140" i="10"/>
  <c r="D140" i="10"/>
  <c r="E140" i="10"/>
  <c r="F140" i="10"/>
  <c r="A39" i="10"/>
  <c r="B39" i="10"/>
  <c r="C39" i="10"/>
  <c r="D39" i="10"/>
  <c r="E39" i="10"/>
  <c r="F39" i="10"/>
  <c r="A141" i="10"/>
  <c r="B141" i="10"/>
  <c r="C141" i="10"/>
  <c r="D141" i="10"/>
  <c r="E141" i="10"/>
  <c r="F141" i="10"/>
  <c r="A265" i="10"/>
  <c r="B265" i="10"/>
  <c r="C265" i="10"/>
  <c r="D265" i="10"/>
  <c r="E265" i="10"/>
  <c r="F265" i="10"/>
  <c r="A266" i="10"/>
  <c r="B266" i="10"/>
  <c r="C266" i="10"/>
  <c r="D266" i="10"/>
  <c r="E266" i="10"/>
  <c r="F266" i="10"/>
  <c r="A142" i="10"/>
  <c r="B142" i="10"/>
  <c r="C142" i="10"/>
  <c r="D142" i="10"/>
  <c r="E142" i="10"/>
  <c r="F142" i="10"/>
  <c r="A143" i="10"/>
  <c r="B143" i="10"/>
  <c r="C143" i="10"/>
  <c r="D143" i="10"/>
  <c r="E143" i="10"/>
  <c r="F143" i="10"/>
  <c r="A122" i="10"/>
  <c r="B122" i="10"/>
  <c r="C122" i="10"/>
  <c r="D122" i="10"/>
  <c r="E122" i="10"/>
  <c r="F122" i="10"/>
  <c r="A90" i="10"/>
  <c r="B90" i="10"/>
  <c r="C90" i="10"/>
  <c r="D90" i="10"/>
  <c r="E90" i="10"/>
  <c r="F90" i="10"/>
  <c r="A144" i="10"/>
  <c r="B144" i="10"/>
  <c r="C144" i="10"/>
  <c r="D144" i="10"/>
  <c r="E144" i="10"/>
  <c r="F144" i="10"/>
  <c r="A40" i="10"/>
  <c r="B40" i="10"/>
  <c r="C40" i="10"/>
  <c r="D40" i="10"/>
  <c r="E40" i="10"/>
  <c r="F40" i="10"/>
  <c r="A267" i="10"/>
  <c r="B267" i="10"/>
  <c r="C267" i="10"/>
  <c r="D267" i="10"/>
  <c r="E267" i="10"/>
  <c r="F267" i="10"/>
  <c r="A268" i="10"/>
  <c r="B268" i="10"/>
  <c r="C268" i="10"/>
  <c r="D268" i="10"/>
  <c r="E268" i="10"/>
  <c r="F268" i="10"/>
  <c r="A269" i="10"/>
  <c r="B269" i="10"/>
  <c r="C269" i="10"/>
  <c r="D269" i="10"/>
  <c r="E269" i="10"/>
  <c r="F269" i="10"/>
  <c r="F58" i="10"/>
  <c r="E58" i="10"/>
  <c r="D58" i="10"/>
  <c r="C58" i="10"/>
  <c r="B58" i="10"/>
  <c r="A58" i="10"/>
  <c r="O185" i="1"/>
  <c r="E185" i="1"/>
  <c r="B227" i="2" a="1"/>
  <c r="B227" i="2" s="1"/>
  <c r="C227" i="2" a="1"/>
  <c r="C227" i="2" s="1"/>
  <c r="E227" i="2" a="1"/>
  <c r="E227" i="2" s="1"/>
  <c r="F227" i="2" a="1"/>
  <c r="F227" i="2" s="1"/>
  <c r="G227" i="2" a="1"/>
  <c r="G227" i="2" s="1"/>
  <c r="H227" i="2" a="1"/>
  <c r="H227" i="2" s="1"/>
  <c r="I227" i="2" a="1"/>
  <c r="I227" i="2" s="1"/>
  <c r="B228" i="2" a="1"/>
  <c r="B228" i="2" s="1"/>
  <c r="C228" i="2" a="1"/>
  <c r="C228" i="2" s="1"/>
  <c r="E228" i="2" a="1"/>
  <c r="E228" i="2" s="1"/>
  <c r="F228" i="2" a="1"/>
  <c r="F228" i="2" s="1"/>
  <c r="G228" i="2" a="1"/>
  <c r="G228" i="2" s="1"/>
  <c r="H228" i="2" a="1"/>
  <c r="H228" i="2" s="1"/>
  <c r="I228" i="2" a="1"/>
  <c r="I228" i="2" s="1"/>
  <c r="B229" i="2" a="1"/>
  <c r="B229" i="2" s="1"/>
  <c r="C229" i="2" a="1"/>
  <c r="C229" i="2" s="1"/>
  <c r="E229" i="2" a="1"/>
  <c r="E229" i="2" s="1"/>
  <c r="F229" i="2" a="1"/>
  <c r="F229" i="2" s="1"/>
  <c r="G229" i="2" a="1"/>
  <c r="G229" i="2" s="1"/>
  <c r="H229" i="2" a="1"/>
  <c r="H229" i="2" s="1"/>
  <c r="I229" i="2" a="1"/>
  <c r="I229" i="2" s="1"/>
  <c r="B230" i="2" a="1"/>
  <c r="B230" i="2" s="1"/>
  <c r="C230" i="2" a="1"/>
  <c r="C230" i="2" s="1"/>
  <c r="E230" i="2" a="1"/>
  <c r="E230" i="2" s="1"/>
  <c r="F230" i="2" a="1"/>
  <c r="F230" i="2" s="1"/>
  <c r="G230" i="2" a="1"/>
  <c r="G230" i="2" s="1"/>
  <c r="H230" i="2" a="1"/>
  <c r="H230" i="2" s="1"/>
  <c r="I230" i="2" a="1"/>
  <c r="I230" i="2" s="1"/>
  <c r="B231" i="2" a="1"/>
  <c r="B231" i="2" s="1"/>
  <c r="C231" i="2" a="1"/>
  <c r="C231" i="2" s="1"/>
  <c r="E231" i="2" a="1"/>
  <c r="E231" i="2" s="1"/>
  <c r="F231" i="2" a="1"/>
  <c r="F231" i="2" s="1"/>
  <c r="G231" i="2" a="1"/>
  <c r="G231" i="2" s="1"/>
  <c r="H231" i="2" a="1"/>
  <c r="H231" i="2" s="1"/>
  <c r="I231" i="2" a="1"/>
  <c r="I231" i="2" s="1"/>
  <c r="B232" i="2" a="1"/>
  <c r="B232" i="2" s="1"/>
  <c r="C232" i="2" a="1"/>
  <c r="C232" i="2" s="1"/>
  <c r="E232" i="2" a="1"/>
  <c r="E232" i="2" s="1"/>
  <c r="F232" i="2" a="1"/>
  <c r="F232" i="2" s="1"/>
  <c r="G232" i="2" a="1"/>
  <c r="G232" i="2" s="1"/>
  <c r="H232" i="2" a="1"/>
  <c r="H232" i="2" s="1"/>
  <c r="I232" i="2" a="1"/>
  <c r="I232" i="2" s="1"/>
  <c r="B233" i="2" a="1"/>
  <c r="B233" i="2" s="1"/>
  <c r="C233" i="2" a="1"/>
  <c r="C233" i="2" s="1"/>
  <c r="E233" i="2" a="1"/>
  <c r="E233" i="2" s="1"/>
  <c r="F233" i="2" a="1"/>
  <c r="F233" i="2" s="1"/>
  <c r="G233" i="2" a="1"/>
  <c r="G233" i="2" s="1"/>
  <c r="H233" i="2" a="1"/>
  <c r="H233" i="2" s="1"/>
  <c r="I233" i="2" a="1"/>
  <c r="I233" i="2" s="1"/>
  <c r="B234" i="2" a="1"/>
  <c r="B234" i="2" s="1"/>
  <c r="C234" i="2" a="1"/>
  <c r="C234" i="2" s="1"/>
  <c r="E234" i="2" a="1"/>
  <c r="E234" i="2" s="1"/>
  <c r="F234" i="2" a="1"/>
  <c r="F234" i="2" s="1"/>
  <c r="G234" i="2" a="1"/>
  <c r="G234" i="2" s="1"/>
  <c r="H234" i="2" a="1"/>
  <c r="H234" i="2" s="1"/>
  <c r="I234" i="2" a="1"/>
  <c r="I234" i="2" s="1"/>
  <c r="B235" i="2" a="1"/>
  <c r="B235" i="2" s="1"/>
  <c r="C235" i="2" a="1"/>
  <c r="C235" i="2" s="1"/>
  <c r="E235" i="2" a="1"/>
  <c r="E235" i="2" s="1"/>
  <c r="F235" i="2" a="1"/>
  <c r="F235" i="2" s="1"/>
  <c r="G235" i="2" a="1"/>
  <c r="G235" i="2" s="1"/>
  <c r="H235" i="2" a="1"/>
  <c r="H235" i="2" s="1"/>
  <c r="I235" i="2" a="1"/>
  <c r="I235" i="2" s="1"/>
  <c r="B236" i="2" a="1"/>
  <c r="B236" i="2" s="1"/>
  <c r="C236" i="2" a="1"/>
  <c r="C236" i="2" s="1"/>
  <c r="E236" i="2" a="1"/>
  <c r="E236" i="2" s="1"/>
  <c r="F236" i="2" a="1"/>
  <c r="F236" i="2" s="1"/>
  <c r="G236" i="2" a="1"/>
  <c r="G236" i="2" s="1"/>
  <c r="H236" i="2" a="1"/>
  <c r="H236" i="2" s="1"/>
  <c r="I236" i="2" a="1"/>
  <c r="I236" i="2" s="1"/>
  <c r="B237" i="2" a="1"/>
  <c r="B237" i="2" s="1"/>
  <c r="C237" i="2" a="1"/>
  <c r="C237" i="2" s="1"/>
  <c r="E237" i="2" a="1"/>
  <c r="E237" i="2" s="1"/>
  <c r="F237" i="2" a="1"/>
  <c r="F237" i="2" s="1"/>
  <c r="G237" i="2" a="1"/>
  <c r="G237" i="2" s="1"/>
  <c r="H237" i="2" a="1"/>
  <c r="H237" i="2" s="1"/>
  <c r="I237" i="2" a="1"/>
  <c r="I237" i="2" s="1"/>
  <c r="B238" i="2" a="1"/>
  <c r="B238" i="2" s="1"/>
  <c r="C238" i="2" a="1"/>
  <c r="C238" i="2" s="1"/>
  <c r="E238" i="2" a="1"/>
  <c r="E238" i="2" s="1"/>
  <c r="F238" i="2" a="1"/>
  <c r="F238" i="2" s="1"/>
  <c r="G238" i="2" a="1"/>
  <c r="G238" i="2" s="1"/>
  <c r="H238" i="2" a="1"/>
  <c r="H238" i="2" s="1"/>
  <c r="I238" i="2" a="1"/>
  <c r="I238" i="2" s="1"/>
  <c r="B239" i="2" a="1"/>
  <c r="B239" i="2" s="1"/>
  <c r="C239" i="2" a="1"/>
  <c r="C239" i="2" s="1"/>
  <c r="E239" i="2" a="1"/>
  <c r="E239" i="2" s="1"/>
  <c r="F239" i="2" a="1"/>
  <c r="F239" i="2" s="1"/>
  <c r="G239" i="2" a="1"/>
  <c r="G239" i="2" s="1"/>
  <c r="H239" i="2" a="1"/>
  <c r="H239" i="2" s="1"/>
  <c r="I239" i="2" a="1"/>
  <c r="I239" i="2" s="1"/>
  <c r="B240" i="2" a="1"/>
  <c r="B240" i="2" s="1"/>
  <c r="C240" i="2" a="1"/>
  <c r="C240" i="2" s="1"/>
  <c r="E240" i="2" a="1"/>
  <c r="E240" i="2" s="1"/>
  <c r="F240" i="2" a="1"/>
  <c r="F240" i="2" s="1"/>
  <c r="G240" i="2" a="1"/>
  <c r="G240" i="2" s="1"/>
  <c r="H240" i="2" a="1"/>
  <c r="H240" i="2" s="1"/>
  <c r="I240" i="2" a="1"/>
  <c r="I240" i="2" s="1"/>
  <c r="B241" i="2" a="1"/>
  <c r="B241" i="2" s="1"/>
  <c r="C241" i="2" a="1"/>
  <c r="C241" i="2" s="1"/>
  <c r="E241" i="2" a="1"/>
  <c r="E241" i="2" s="1"/>
  <c r="F241" i="2" a="1"/>
  <c r="F241" i="2" s="1"/>
  <c r="G241" i="2" a="1"/>
  <c r="G241" i="2" s="1"/>
  <c r="H241" i="2" a="1"/>
  <c r="H241" i="2" s="1"/>
  <c r="I241" i="2" a="1"/>
  <c r="I241" i="2" s="1"/>
  <c r="B242" i="2" a="1"/>
  <c r="B242" i="2" s="1"/>
  <c r="C242" i="2" a="1"/>
  <c r="C242" i="2" s="1"/>
  <c r="E242" i="2" a="1"/>
  <c r="E242" i="2" s="1"/>
  <c r="F242" i="2" a="1"/>
  <c r="F242" i="2" s="1"/>
  <c r="G242" i="2" a="1"/>
  <c r="G242" i="2" s="1"/>
  <c r="H242" i="2" a="1"/>
  <c r="H242" i="2" s="1"/>
  <c r="I242" i="2" a="1"/>
  <c r="I242" i="2" s="1"/>
  <c r="B243" i="2" a="1"/>
  <c r="B243" i="2" s="1"/>
  <c r="C243" i="2" a="1"/>
  <c r="C243" i="2" s="1"/>
  <c r="E243" i="2" a="1"/>
  <c r="E243" i="2" s="1"/>
  <c r="F243" i="2" a="1"/>
  <c r="F243" i="2" s="1"/>
  <c r="G243" i="2" a="1"/>
  <c r="G243" i="2" s="1"/>
  <c r="H243" i="2" a="1"/>
  <c r="H243" i="2" s="1"/>
  <c r="I243" i="2" a="1"/>
  <c r="I243" i="2" s="1"/>
  <c r="B244" i="2" a="1"/>
  <c r="B244" i="2" s="1"/>
  <c r="C244" i="2" a="1"/>
  <c r="C244" i="2" s="1"/>
  <c r="E244" i="2" a="1"/>
  <c r="E244" i="2" s="1"/>
  <c r="F244" i="2" a="1"/>
  <c r="F244" i="2" s="1"/>
  <c r="G244" i="2" a="1"/>
  <c r="G244" i="2" s="1"/>
  <c r="H244" i="2" a="1"/>
  <c r="H244" i="2" s="1"/>
  <c r="I244" i="2" a="1"/>
  <c r="I244" i="2" s="1"/>
  <c r="B245" i="2" a="1"/>
  <c r="B245" i="2" s="1"/>
  <c r="C245" i="2" a="1"/>
  <c r="C245" i="2" s="1"/>
  <c r="E245" i="2" a="1"/>
  <c r="E245" i="2" s="1"/>
  <c r="F245" i="2" a="1"/>
  <c r="F245" i="2" s="1"/>
  <c r="G245" i="2" a="1"/>
  <c r="G245" i="2" s="1"/>
  <c r="H245" i="2" a="1"/>
  <c r="H245" i="2" s="1"/>
  <c r="I245" i="2" a="1"/>
  <c r="I245" i="2" s="1"/>
  <c r="B246" i="2" a="1"/>
  <c r="B246" i="2" s="1"/>
  <c r="C246" i="2" a="1"/>
  <c r="C246" i="2" s="1"/>
  <c r="E246" i="2" a="1"/>
  <c r="E246" i="2" s="1"/>
  <c r="F246" i="2" a="1"/>
  <c r="F246" i="2" s="1"/>
  <c r="G246" i="2" a="1"/>
  <c r="G246" i="2" s="1"/>
  <c r="H246" i="2" a="1"/>
  <c r="H246" i="2" s="1"/>
  <c r="I246" i="2" a="1"/>
  <c r="I246" i="2" s="1"/>
  <c r="B247" i="2" a="1"/>
  <c r="B247" i="2" s="1"/>
  <c r="C247" i="2" a="1"/>
  <c r="C247" i="2" s="1"/>
  <c r="E247" i="2" a="1"/>
  <c r="E247" i="2" s="1"/>
  <c r="F247" i="2" a="1"/>
  <c r="F247" i="2" s="1"/>
  <c r="G247" i="2" a="1"/>
  <c r="G247" i="2" s="1"/>
  <c r="H247" i="2" a="1"/>
  <c r="H247" i="2" s="1"/>
  <c r="I247" i="2" a="1"/>
  <c r="I247" i="2" s="1"/>
  <c r="B248" i="2" a="1"/>
  <c r="B248" i="2" s="1"/>
  <c r="C248" i="2" a="1"/>
  <c r="C248" i="2" s="1"/>
  <c r="D248" i="2" a="1"/>
  <c r="D248" i="2" s="1"/>
  <c r="E248" i="2" a="1"/>
  <c r="E248" i="2" s="1"/>
  <c r="F248" i="2" a="1"/>
  <c r="F248" i="2" s="1"/>
  <c r="G248" i="2" a="1"/>
  <c r="G248" i="2" s="1"/>
  <c r="H248" i="2" a="1"/>
  <c r="H248" i="2" s="1"/>
  <c r="I248" i="2" a="1"/>
  <c r="I248" i="2" s="1"/>
  <c r="B196" i="2" a="1"/>
  <c r="B196" i="2" s="1"/>
  <c r="C196" i="2" a="1"/>
  <c r="C196" i="2" s="1"/>
  <c r="E196" i="2" a="1"/>
  <c r="E196" i="2" s="1"/>
  <c r="F196" i="2" a="1"/>
  <c r="F196" i="2" s="1"/>
  <c r="G196" i="2" a="1"/>
  <c r="G196" i="2" s="1"/>
  <c r="H196" i="2" a="1"/>
  <c r="H196" i="2" s="1"/>
  <c r="I196" i="2" a="1"/>
  <c r="I196" i="2" s="1"/>
  <c r="B197" i="2" a="1"/>
  <c r="B197" i="2" s="1"/>
  <c r="C197" i="2" a="1"/>
  <c r="C197" i="2" s="1"/>
  <c r="E197" i="2" a="1"/>
  <c r="E197" i="2" s="1"/>
  <c r="F197" i="2" a="1"/>
  <c r="F197" i="2" s="1"/>
  <c r="G197" i="2" a="1"/>
  <c r="G197" i="2" s="1"/>
  <c r="H197" i="2" a="1"/>
  <c r="H197" i="2" s="1"/>
  <c r="I197" i="2" a="1"/>
  <c r="I197" i="2" s="1"/>
  <c r="B198" i="2" a="1"/>
  <c r="B198" i="2" s="1"/>
  <c r="C198" i="2" a="1"/>
  <c r="C198" i="2" s="1"/>
  <c r="E198" i="2" a="1"/>
  <c r="E198" i="2" s="1"/>
  <c r="F198" i="2" a="1"/>
  <c r="F198" i="2" s="1"/>
  <c r="G198" i="2" a="1"/>
  <c r="G198" i="2" s="1"/>
  <c r="H198" i="2" a="1"/>
  <c r="H198" i="2" s="1"/>
  <c r="I198" i="2" a="1"/>
  <c r="I198" i="2" s="1"/>
  <c r="B199" i="2" a="1"/>
  <c r="B199" i="2" s="1"/>
  <c r="C199" i="2" a="1"/>
  <c r="C199" i="2" s="1"/>
  <c r="E199" i="2" a="1"/>
  <c r="E199" i="2" s="1"/>
  <c r="F199" i="2" a="1"/>
  <c r="F199" i="2" s="1"/>
  <c r="G199" i="2" a="1"/>
  <c r="G199" i="2" s="1"/>
  <c r="H199" i="2" a="1"/>
  <c r="H199" i="2" s="1"/>
  <c r="I199" i="2" a="1"/>
  <c r="I199" i="2" s="1"/>
  <c r="B200" i="2" a="1"/>
  <c r="B200" i="2" s="1"/>
  <c r="C200" i="2" a="1"/>
  <c r="C200" i="2" s="1"/>
  <c r="E200" i="2" a="1"/>
  <c r="E200" i="2" s="1"/>
  <c r="F200" i="2" a="1"/>
  <c r="F200" i="2" s="1"/>
  <c r="G200" i="2" a="1"/>
  <c r="G200" i="2" s="1"/>
  <c r="H200" i="2" a="1"/>
  <c r="H200" i="2" s="1"/>
  <c r="I200" i="2" a="1"/>
  <c r="I200" i="2" s="1"/>
  <c r="B201" i="2" a="1"/>
  <c r="B201" i="2" s="1"/>
  <c r="C201" i="2" a="1"/>
  <c r="C201" i="2" s="1"/>
  <c r="E201" i="2" a="1"/>
  <c r="E201" i="2" s="1"/>
  <c r="F201" i="2" a="1"/>
  <c r="F201" i="2" s="1"/>
  <c r="G201" i="2" a="1"/>
  <c r="G201" i="2" s="1"/>
  <c r="H201" i="2" a="1"/>
  <c r="H201" i="2" s="1"/>
  <c r="I201" i="2" a="1"/>
  <c r="I201" i="2" s="1"/>
  <c r="B202" i="2" a="1"/>
  <c r="B202" i="2" s="1"/>
  <c r="C202" i="2" a="1"/>
  <c r="C202" i="2" s="1"/>
  <c r="E202" i="2" a="1"/>
  <c r="E202" i="2" s="1"/>
  <c r="F202" i="2" a="1"/>
  <c r="F202" i="2" s="1"/>
  <c r="G202" i="2" a="1"/>
  <c r="G202" i="2" s="1"/>
  <c r="H202" i="2" a="1"/>
  <c r="H202" i="2" s="1"/>
  <c r="I202" i="2" a="1"/>
  <c r="I202" i="2" s="1"/>
  <c r="B203" i="2" a="1"/>
  <c r="B203" i="2" s="1"/>
  <c r="C203" i="2" a="1"/>
  <c r="C203" i="2" s="1"/>
  <c r="E203" i="2" a="1"/>
  <c r="E203" i="2" s="1"/>
  <c r="F203" i="2" a="1"/>
  <c r="F203" i="2" s="1"/>
  <c r="G203" i="2" a="1"/>
  <c r="G203" i="2" s="1"/>
  <c r="H203" i="2" a="1"/>
  <c r="H203" i="2" s="1"/>
  <c r="I203" i="2" a="1"/>
  <c r="I203" i="2" s="1"/>
  <c r="B204" i="2" a="1"/>
  <c r="B204" i="2" s="1"/>
  <c r="C204" i="2" a="1"/>
  <c r="C204" i="2" s="1"/>
  <c r="E204" i="2" a="1"/>
  <c r="E204" i="2" s="1"/>
  <c r="F204" i="2" a="1"/>
  <c r="F204" i="2" s="1"/>
  <c r="G204" i="2" a="1"/>
  <c r="G204" i="2" s="1"/>
  <c r="H204" i="2" a="1"/>
  <c r="H204" i="2" s="1"/>
  <c r="I204" i="2" a="1"/>
  <c r="I204" i="2" s="1"/>
  <c r="B205" i="2" a="1"/>
  <c r="B205" i="2" s="1"/>
  <c r="C205" i="2" a="1"/>
  <c r="C205" i="2" s="1"/>
  <c r="E205" i="2" a="1"/>
  <c r="E205" i="2" s="1"/>
  <c r="F205" i="2" a="1"/>
  <c r="F205" i="2" s="1"/>
  <c r="G205" i="2" a="1"/>
  <c r="G205" i="2" s="1"/>
  <c r="H205" i="2" a="1"/>
  <c r="H205" i="2" s="1"/>
  <c r="I205" i="2" a="1"/>
  <c r="I205" i="2" s="1"/>
  <c r="B206" i="2" a="1"/>
  <c r="B206" i="2" s="1"/>
  <c r="C206" i="2" a="1"/>
  <c r="C206" i="2" s="1"/>
  <c r="E206" i="2" a="1"/>
  <c r="E206" i="2" s="1"/>
  <c r="F206" i="2" a="1"/>
  <c r="F206" i="2" s="1"/>
  <c r="G206" i="2" a="1"/>
  <c r="G206" i="2" s="1"/>
  <c r="H206" i="2" a="1"/>
  <c r="H206" i="2" s="1"/>
  <c r="I206" i="2" a="1"/>
  <c r="I206" i="2" s="1"/>
  <c r="B207" i="2" a="1"/>
  <c r="B207" i="2" s="1"/>
  <c r="C207" i="2" a="1"/>
  <c r="C207" i="2" s="1"/>
  <c r="E207" i="2" a="1"/>
  <c r="E207" i="2" s="1"/>
  <c r="F207" i="2" a="1"/>
  <c r="F207" i="2" s="1"/>
  <c r="G207" i="2" a="1"/>
  <c r="G207" i="2" s="1"/>
  <c r="H207" i="2" a="1"/>
  <c r="H207" i="2" s="1"/>
  <c r="I207" i="2" a="1"/>
  <c r="I207" i="2" s="1"/>
  <c r="B208" i="2" a="1"/>
  <c r="B208" i="2" s="1"/>
  <c r="C208" i="2" a="1"/>
  <c r="C208" i="2" s="1"/>
  <c r="E208" i="2" a="1"/>
  <c r="E208" i="2" s="1"/>
  <c r="F208" i="2" a="1"/>
  <c r="F208" i="2" s="1"/>
  <c r="G208" i="2" a="1"/>
  <c r="G208" i="2" s="1"/>
  <c r="H208" i="2" a="1"/>
  <c r="H208" i="2" s="1"/>
  <c r="I208" i="2" a="1"/>
  <c r="I208" i="2" s="1"/>
  <c r="B209" i="2" a="1"/>
  <c r="B209" i="2" s="1"/>
  <c r="C209" i="2" a="1"/>
  <c r="C209" i="2" s="1"/>
  <c r="D209" i="2" a="1"/>
  <c r="D209" i="2" s="1"/>
  <c r="E209" i="2" a="1"/>
  <c r="E209" i="2" s="1"/>
  <c r="F209" i="2" a="1"/>
  <c r="F209" i="2" s="1"/>
  <c r="G209" i="2" a="1"/>
  <c r="G209" i="2" s="1"/>
  <c r="H209" i="2" a="1"/>
  <c r="H209" i="2" s="1"/>
  <c r="I209" i="2" a="1"/>
  <c r="I209" i="2" s="1"/>
  <c r="B163" i="2" a="1"/>
  <c r="B163" i="2" s="1"/>
  <c r="C163" i="2" a="1"/>
  <c r="C163" i="2" s="1"/>
  <c r="E163" i="2" a="1"/>
  <c r="E163" i="2" s="1"/>
  <c r="F163" i="2" a="1"/>
  <c r="F163" i="2" s="1"/>
  <c r="G163" i="2" a="1"/>
  <c r="G163" i="2" s="1"/>
  <c r="H163" i="2" a="1"/>
  <c r="H163" i="2" s="1"/>
  <c r="I163" i="2" a="1"/>
  <c r="I163" i="2" s="1"/>
  <c r="B164" i="2" a="1"/>
  <c r="B164" i="2" s="1"/>
  <c r="C164" i="2" a="1"/>
  <c r="C164" i="2" s="1"/>
  <c r="E164" i="2" a="1"/>
  <c r="E164" i="2" s="1"/>
  <c r="F164" i="2" a="1"/>
  <c r="F164" i="2" s="1"/>
  <c r="G164" i="2" a="1"/>
  <c r="G164" i="2" s="1"/>
  <c r="H164" i="2" a="1"/>
  <c r="H164" i="2" s="1"/>
  <c r="I164" i="2" a="1"/>
  <c r="I164" i="2" s="1"/>
  <c r="B165" i="2" a="1"/>
  <c r="B165" i="2" s="1"/>
  <c r="C165" i="2" a="1"/>
  <c r="C165" i="2" s="1"/>
  <c r="E165" i="2" a="1"/>
  <c r="E165" i="2" s="1"/>
  <c r="F165" i="2" a="1"/>
  <c r="F165" i="2" s="1"/>
  <c r="G165" i="2" a="1"/>
  <c r="G165" i="2" s="1"/>
  <c r="H165" i="2" a="1"/>
  <c r="H165" i="2" s="1"/>
  <c r="I165" i="2" a="1"/>
  <c r="I165" i="2" s="1"/>
  <c r="B166" i="2" a="1"/>
  <c r="B166" i="2" s="1"/>
  <c r="C166" i="2" a="1"/>
  <c r="C166" i="2" s="1"/>
  <c r="E166" i="2" a="1"/>
  <c r="E166" i="2" s="1"/>
  <c r="F166" i="2" a="1"/>
  <c r="F166" i="2" s="1"/>
  <c r="G166" i="2" a="1"/>
  <c r="G166" i="2" s="1"/>
  <c r="H166" i="2" a="1"/>
  <c r="H166" i="2" s="1"/>
  <c r="I166" i="2" a="1"/>
  <c r="I166" i="2" s="1"/>
  <c r="B167" i="2" a="1"/>
  <c r="B167" i="2" s="1"/>
  <c r="C167" i="2" a="1"/>
  <c r="C167" i="2" s="1"/>
  <c r="E167" i="2" a="1"/>
  <c r="E167" i="2" s="1"/>
  <c r="F167" i="2" a="1"/>
  <c r="F167" i="2" s="1"/>
  <c r="G167" i="2" a="1"/>
  <c r="G167" i="2" s="1"/>
  <c r="H167" i="2" a="1"/>
  <c r="H167" i="2" s="1"/>
  <c r="I167" i="2" a="1"/>
  <c r="I167" i="2" s="1"/>
  <c r="B168" i="2" a="1"/>
  <c r="B168" i="2" s="1"/>
  <c r="C168" i="2" a="1"/>
  <c r="C168" i="2" s="1"/>
  <c r="E168" i="2" a="1"/>
  <c r="E168" i="2" s="1"/>
  <c r="F168" i="2" a="1"/>
  <c r="F168" i="2" s="1"/>
  <c r="G168" i="2" a="1"/>
  <c r="G168" i="2" s="1"/>
  <c r="H168" i="2" a="1"/>
  <c r="H168" i="2" s="1"/>
  <c r="I168" i="2" a="1"/>
  <c r="I168" i="2" s="1"/>
  <c r="B169" i="2" a="1"/>
  <c r="B169" i="2" s="1"/>
  <c r="C169" i="2" a="1"/>
  <c r="C169" i="2" s="1"/>
  <c r="E169" i="2" a="1"/>
  <c r="E169" i="2" s="1"/>
  <c r="F169" i="2" a="1"/>
  <c r="F169" i="2" s="1"/>
  <c r="G169" i="2" a="1"/>
  <c r="G169" i="2" s="1"/>
  <c r="H169" i="2" a="1"/>
  <c r="H169" i="2" s="1"/>
  <c r="I169" i="2" a="1"/>
  <c r="I169" i="2" s="1"/>
  <c r="B170" i="2" a="1"/>
  <c r="B170" i="2" s="1"/>
  <c r="C170" i="2" a="1"/>
  <c r="C170" i="2" s="1"/>
  <c r="E170" i="2" a="1"/>
  <c r="E170" i="2" s="1"/>
  <c r="F170" i="2" a="1"/>
  <c r="F170" i="2" s="1"/>
  <c r="G170" i="2" a="1"/>
  <c r="G170" i="2" s="1"/>
  <c r="H170" i="2" a="1"/>
  <c r="H170" i="2" s="1"/>
  <c r="I170" i="2" a="1"/>
  <c r="I170" i="2" s="1"/>
  <c r="B171" i="2" a="1"/>
  <c r="B171" i="2" s="1"/>
  <c r="C171" i="2" a="1"/>
  <c r="C171" i="2" s="1"/>
  <c r="E171" i="2" a="1"/>
  <c r="E171" i="2" s="1"/>
  <c r="F171" i="2" a="1"/>
  <c r="F171" i="2" s="1"/>
  <c r="G171" i="2" a="1"/>
  <c r="G171" i="2" s="1"/>
  <c r="H171" i="2" a="1"/>
  <c r="H171" i="2" s="1"/>
  <c r="I171" i="2" a="1"/>
  <c r="I171" i="2" s="1"/>
  <c r="B172" i="2" a="1"/>
  <c r="B172" i="2" s="1"/>
  <c r="C172" i="2" a="1"/>
  <c r="C172" i="2" s="1"/>
  <c r="E172" i="2" a="1"/>
  <c r="E172" i="2" s="1"/>
  <c r="F172" i="2" a="1"/>
  <c r="F172" i="2" s="1"/>
  <c r="G172" i="2" a="1"/>
  <c r="G172" i="2" s="1"/>
  <c r="H172" i="2" a="1"/>
  <c r="H172" i="2" s="1"/>
  <c r="I172" i="2" a="1"/>
  <c r="I172" i="2" s="1"/>
  <c r="B173" i="2" a="1"/>
  <c r="B173" i="2" s="1"/>
  <c r="C173" i="2" a="1"/>
  <c r="C173" i="2" s="1"/>
  <c r="E173" i="2" a="1"/>
  <c r="E173" i="2" s="1"/>
  <c r="F173" i="2" a="1"/>
  <c r="F173" i="2" s="1"/>
  <c r="G173" i="2" a="1"/>
  <c r="G173" i="2" s="1"/>
  <c r="H173" i="2" a="1"/>
  <c r="H173" i="2" s="1"/>
  <c r="I173" i="2" a="1"/>
  <c r="I173" i="2" s="1"/>
  <c r="B174" i="2" a="1"/>
  <c r="B174" i="2" s="1"/>
  <c r="C174" i="2" a="1"/>
  <c r="C174" i="2" s="1"/>
  <c r="E174" i="2" a="1"/>
  <c r="E174" i="2" s="1"/>
  <c r="F174" i="2" a="1"/>
  <c r="F174" i="2" s="1"/>
  <c r="G174" i="2" a="1"/>
  <c r="G174" i="2" s="1"/>
  <c r="H174" i="2" a="1"/>
  <c r="H174" i="2" s="1"/>
  <c r="I174" i="2" a="1"/>
  <c r="I174" i="2" s="1"/>
  <c r="B175" i="2" a="1"/>
  <c r="B175" i="2" s="1"/>
  <c r="C175" i="2" a="1"/>
  <c r="C175" i="2" s="1"/>
  <c r="E175" i="2" a="1"/>
  <c r="E175" i="2" s="1"/>
  <c r="F175" i="2" a="1"/>
  <c r="F175" i="2" s="1"/>
  <c r="G175" i="2" a="1"/>
  <c r="G175" i="2" s="1"/>
  <c r="H175" i="2" a="1"/>
  <c r="H175" i="2" s="1"/>
  <c r="I175" i="2" a="1"/>
  <c r="I175" i="2" s="1"/>
  <c r="B176" i="2" a="1"/>
  <c r="B176" i="2" s="1"/>
  <c r="C176" i="2" a="1"/>
  <c r="C176" i="2" s="1"/>
  <c r="E176" i="2" a="1"/>
  <c r="E176" i="2" s="1"/>
  <c r="F176" i="2" a="1"/>
  <c r="F176" i="2" s="1"/>
  <c r="G176" i="2" a="1"/>
  <c r="G176" i="2" s="1"/>
  <c r="H176" i="2" a="1"/>
  <c r="H176" i="2" s="1"/>
  <c r="I176" i="2" a="1"/>
  <c r="I176" i="2" s="1"/>
  <c r="B177" i="2" a="1"/>
  <c r="B177" i="2" s="1"/>
  <c r="C177" i="2" a="1"/>
  <c r="C177" i="2" s="1"/>
  <c r="E177" i="2" a="1"/>
  <c r="E177" i="2" s="1"/>
  <c r="F177" i="2" a="1"/>
  <c r="F177" i="2" s="1"/>
  <c r="G177" i="2" a="1"/>
  <c r="G177" i="2" s="1"/>
  <c r="H177" i="2" a="1"/>
  <c r="H177" i="2" s="1"/>
  <c r="I177" i="2" a="1"/>
  <c r="I177" i="2" s="1"/>
  <c r="B178" i="2" a="1"/>
  <c r="B178" i="2" s="1"/>
  <c r="C178" i="2" a="1"/>
  <c r="C178" i="2" s="1"/>
  <c r="E178" i="2" a="1"/>
  <c r="E178" i="2" s="1"/>
  <c r="F178" i="2" a="1"/>
  <c r="F178" i="2" s="1"/>
  <c r="G178" i="2" a="1"/>
  <c r="G178" i="2" s="1"/>
  <c r="H178" i="2" a="1"/>
  <c r="H178" i="2" s="1"/>
  <c r="I178" i="2" a="1"/>
  <c r="I178" i="2" s="1"/>
  <c r="B179" i="2" a="1"/>
  <c r="B179" i="2" s="1"/>
  <c r="C179" i="2" a="1"/>
  <c r="C179" i="2" s="1"/>
  <c r="D179" i="2" a="1"/>
  <c r="D179" i="2" s="1"/>
  <c r="E179" i="2" a="1"/>
  <c r="E179" i="2" s="1"/>
  <c r="F179" i="2" a="1"/>
  <c r="F179" i="2" s="1"/>
  <c r="G179" i="2" a="1"/>
  <c r="G179" i="2" s="1"/>
  <c r="H179" i="2" a="1"/>
  <c r="H179" i="2" s="1"/>
  <c r="I179" i="2" a="1"/>
  <c r="I179" i="2" s="1"/>
  <c r="B131" i="2" a="1"/>
  <c r="B131" i="2" s="1"/>
  <c r="C131" i="2" a="1"/>
  <c r="C131" i="2" s="1"/>
  <c r="E131" i="2" a="1"/>
  <c r="E131" i="2" s="1"/>
  <c r="F131" i="2" a="1"/>
  <c r="F131" i="2" s="1"/>
  <c r="G131" i="2" a="1"/>
  <c r="G131" i="2" s="1"/>
  <c r="H131" i="2" a="1"/>
  <c r="H131" i="2" s="1"/>
  <c r="I131" i="2" a="1"/>
  <c r="I131" i="2" s="1"/>
  <c r="B132" i="2" a="1"/>
  <c r="B132" i="2" s="1"/>
  <c r="C132" i="2" a="1"/>
  <c r="C132" i="2" s="1"/>
  <c r="E132" i="2" a="1"/>
  <c r="E132" i="2" s="1"/>
  <c r="F132" i="2" a="1"/>
  <c r="F132" i="2" s="1"/>
  <c r="G132" i="2" a="1"/>
  <c r="G132" i="2" s="1"/>
  <c r="H132" i="2" a="1"/>
  <c r="H132" i="2" s="1"/>
  <c r="I132" i="2" a="1"/>
  <c r="I132" i="2" s="1"/>
  <c r="B133" i="2" a="1"/>
  <c r="B133" i="2" s="1"/>
  <c r="C133" i="2" a="1"/>
  <c r="C133" i="2" s="1"/>
  <c r="E133" i="2" a="1"/>
  <c r="E133" i="2" s="1"/>
  <c r="F133" i="2" a="1"/>
  <c r="F133" i="2" s="1"/>
  <c r="G133" i="2" a="1"/>
  <c r="G133" i="2" s="1"/>
  <c r="H133" i="2" a="1"/>
  <c r="H133" i="2" s="1"/>
  <c r="I133" i="2" a="1"/>
  <c r="I133" i="2" s="1"/>
  <c r="B134" i="2" a="1"/>
  <c r="B134" i="2" s="1"/>
  <c r="C134" i="2" a="1"/>
  <c r="C134" i="2" s="1"/>
  <c r="E134" i="2" a="1"/>
  <c r="E134" i="2" s="1"/>
  <c r="F134" i="2" a="1"/>
  <c r="F134" i="2" s="1"/>
  <c r="G134" i="2" a="1"/>
  <c r="G134" i="2" s="1"/>
  <c r="H134" i="2" a="1"/>
  <c r="H134" i="2" s="1"/>
  <c r="I134" i="2" a="1"/>
  <c r="I134" i="2" s="1"/>
  <c r="B135" i="2" a="1"/>
  <c r="B135" i="2" s="1"/>
  <c r="C135" i="2" a="1"/>
  <c r="C135" i="2" s="1"/>
  <c r="E135" i="2" a="1"/>
  <c r="E135" i="2" s="1"/>
  <c r="F135" i="2" a="1"/>
  <c r="F135" i="2" s="1"/>
  <c r="G135" i="2" a="1"/>
  <c r="G135" i="2" s="1"/>
  <c r="H135" i="2" a="1"/>
  <c r="H135" i="2" s="1"/>
  <c r="I135" i="2" a="1"/>
  <c r="I135" i="2" s="1"/>
  <c r="B136" i="2" a="1"/>
  <c r="B136" i="2" s="1"/>
  <c r="C136" i="2" a="1"/>
  <c r="C136" i="2" s="1"/>
  <c r="E136" i="2" a="1"/>
  <c r="E136" i="2" s="1"/>
  <c r="F136" i="2" a="1"/>
  <c r="F136" i="2" s="1"/>
  <c r="G136" i="2" a="1"/>
  <c r="G136" i="2" s="1"/>
  <c r="H136" i="2" a="1"/>
  <c r="H136" i="2" s="1"/>
  <c r="I136" i="2" a="1"/>
  <c r="I136" i="2" s="1"/>
  <c r="B137" i="2" a="1"/>
  <c r="B137" i="2" s="1"/>
  <c r="C137" i="2" a="1"/>
  <c r="C137" i="2" s="1"/>
  <c r="E137" i="2" a="1"/>
  <c r="E137" i="2" s="1"/>
  <c r="F137" i="2" a="1"/>
  <c r="F137" i="2" s="1"/>
  <c r="G137" i="2" a="1"/>
  <c r="G137" i="2" s="1"/>
  <c r="H137" i="2" a="1"/>
  <c r="H137" i="2" s="1"/>
  <c r="I137" i="2" a="1"/>
  <c r="I137" i="2" s="1"/>
  <c r="B138" i="2" a="1"/>
  <c r="B138" i="2" s="1"/>
  <c r="C138" i="2" a="1"/>
  <c r="C138" i="2" s="1"/>
  <c r="E138" i="2" a="1"/>
  <c r="E138" i="2" s="1"/>
  <c r="F138" i="2" a="1"/>
  <c r="F138" i="2" s="1"/>
  <c r="G138" i="2" a="1"/>
  <c r="G138" i="2" s="1"/>
  <c r="H138" i="2" a="1"/>
  <c r="H138" i="2" s="1"/>
  <c r="I138" i="2" a="1"/>
  <c r="I138" i="2" s="1"/>
  <c r="B139" i="2" a="1"/>
  <c r="B139" i="2" s="1"/>
  <c r="C139" i="2" a="1"/>
  <c r="C139" i="2" s="1"/>
  <c r="E139" i="2" a="1"/>
  <c r="E139" i="2" s="1"/>
  <c r="F139" i="2" a="1"/>
  <c r="F139" i="2" s="1"/>
  <c r="G139" i="2" a="1"/>
  <c r="G139" i="2" s="1"/>
  <c r="H139" i="2" a="1"/>
  <c r="H139" i="2" s="1"/>
  <c r="I139" i="2" a="1"/>
  <c r="I139" i="2" s="1"/>
  <c r="B140" i="2" a="1"/>
  <c r="B140" i="2" s="1"/>
  <c r="C140" i="2" a="1"/>
  <c r="C140" i="2" s="1"/>
  <c r="E140" i="2" a="1"/>
  <c r="E140" i="2" s="1"/>
  <c r="F140" i="2" a="1"/>
  <c r="F140" i="2" s="1"/>
  <c r="G140" i="2" a="1"/>
  <c r="G140" i="2" s="1"/>
  <c r="H140" i="2" a="1"/>
  <c r="H140" i="2" s="1"/>
  <c r="I140" i="2" a="1"/>
  <c r="I140" i="2" s="1"/>
  <c r="B141" i="2" a="1"/>
  <c r="B141" i="2" s="1"/>
  <c r="C141" i="2" a="1"/>
  <c r="C141" i="2" s="1"/>
  <c r="E141" i="2" a="1"/>
  <c r="E141" i="2" s="1"/>
  <c r="F141" i="2" a="1"/>
  <c r="F141" i="2" s="1"/>
  <c r="G141" i="2" a="1"/>
  <c r="G141" i="2" s="1"/>
  <c r="H141" i="2" a="1"/>
  <c r="H141" i="2" s="1"/>
  <c r="I141" i="2" a="1"/>
  <c r="I141" i="2" s="1"/>
  <c r="B142" i="2" a="1"/>
  <c r="B142" i="2" s="1"/>
  <c r="C142" i="2" a="1"/>
  <c r="C142" i="2" s="1"/>
  <c r="E142" i="2" a="1"/>
  <c r="E142" i="2" s="1"/>
  <c r="F142" i="2" a="1"/>
  <c r="F142" i="2" s="1"/>
  <c r="G142" i="2" a="1"/>
  <c r="G142" i="2" s="1"/>
  <c r="H142" i="2" a="1"/>
  <c r="H142" i="2" s="1"/>
  <c r="I142" i="2" a="1"/>
  <c r="I142" i="2" s="1"/>
  <c r="B143" i="2" a="1"/>
  <c r="B143" i="2" s="1"/>
  <c r="C143" i="2" a="1"/>
  <c r="C143" i="2" s="1"/>
  <c r="E143" i="2" a="1"/>
  <c r="E143" i="2" s="1"/>
  <c r="F143" i="2" a="1"/>
  <c r="F143" i="2" s="1"/>
  <c r="G143" i="2" a="1"/>
  <c r="G143" i="2" s="1"/>
  <c r="H143" i="2" a="1"/>
  <c r="H143" i="2" s="1"/>
  <c r="I143" i="2" a="1"/>
  <c r="I143" i="2" s="1"/>
  <c r="B144" i="2" a="1"/>
  <c r="B144" i="2" s="1"/>
  <c r="C144" i="2" a="1"/>
  <c r="C144" i="2" s="1"/>
  <c r="E144" i="2" a="1"/>
  <c r="E144" i="2" s="1"/>
  <c r="F144" i="2" a="1"/>
  <c r="F144" i="2" s="1"/>
  <c r="G144" i="2" a="1"/>
  <c r="G144" i="2" s="1"/>
  <c r="H144" i="2" a="1"/>
  <c r="H144" i="2" s="1"/>
  <c r="I144" i="2" a="1"/>
  <c r="I144" i="2" s="1"/>
  <c r="B145" i="2" a="1"/>
  <c r="B145" i="2" s="1"/>
  <c r="C145" i="2" a="1"/>
  <c r="C145" i="2" s="1"/>
  <c r="E145" i="2" a="1"/>
  <c r="E145" i="2" s="1"/>
  <c r="F145" i="2" a="1"/>
  <c r="F145" i="2" s="1"/>
  <c r="G145" i="2" a="1"/>
  <c r="G145" i="2" s="1"/>
  <c r="H145" i="2" a="1"/>
  <c r="H145" i="2" s="1"/>
  <c r="I145" i="2" a="1"/>
  <c r="I145" i="2" s="1"/>
  <c r="B146" i="2" a="1"/>
  <c r="B146" i="2" s="1"/>
  <c r="C146" i="2" a="1"/>
  <c r="C146" i="2" s="1"/>
  <c r="E146" i="2" a="1"/>
  <c r="E146" i="2" s="1"/>
  <c r="F146" i="2" a="1"/>
  <c r="F146" i="2" s="1"/>
  <c r="G146" i="2" a="1"/>
  <c r="G146" i="2" s="1"/>
  <c r="H146" i="2" a="1"/>
  <c r="H146" i="2" s="1"/>
  <c r="I146" i="2" a="1"/>
  <c r="I146" i="2" s="1"/>
  <c r="B147" i="2" a="1"/>
  <c r="B147" i="2" s="1"/>
  <c r="C147" i="2" a="1"/>
  <c r="C147" i="2" s="1"/>
  <c r="E147" i="2" a="1"/>
  <c r="E147" i="2" s="1"/>
  <c r="F147" i="2" a="1"/>
  <c r="F147" i="2" s="1"/>
  <c r="G147" i="2" a="1"/>
  <c r="G147" i="2" s="1"/>
  <c r="H147" i="2" a="1"/>
  <c r="H147" i="2" s="1"/>
  <c r="I147" i="2" a="1"/>
  <c r="I147" i="2" s="1"/>
  <c r="B148" i="2" a="1"/>
  <c r="B148" i="2" s="1"/>
  <c r="C148" i="2" a="1"/>
  <c r="C148" i="2" s="1"/>
  <c r="E148" i="2" a="1"/>
  <c r="E148" i="2" s="1"/>
  <c r="F148" i="2" a="1"/>
  <c r="F148" i="2" s="1"/>
  <c r="G148" i="2" a="1"/>
  <c r="G148" i="2" s="1"/>
  <c r="H148" i="2" a="1"/>
  <c r="H148" i="2" s="1"/>
  <c r="I148" i="2" a="1"/>
  <c r="I148" i="2" s="1"/>
  <c r="B99" i="2" a="1"/>
  <c r="B99" i="2" s="1"/>
  <c r="C99" i="2" a="1"/>
  <c r="C99" i="2" s="1"/>
  <c r="E99" i="2" a="1"/>
  <c r="E99" i="2" s="1"/>
  <c r="F99" i="2" a="1"/>
  <c r="F99" i="2" s="1"/>
  <c r="G99" i="2" a="1"/>
  <c r="G99" i="2" s="1"/>
  <c r="H99" i="2" a="1"/>
  <c r="H99" i="2" s="1"/>
  <c r="I99" i="2" a="1"/>
  <c r="I99" i="2" s="1"/>
  <c r="B100" i="2" a="1"/>
  <c r="B100" i="2" s="1"/>
  <c r="C100" i="2" a="1"/>
  <c r="C100" i="2" s="1"/>
  <c r="E100" i="2" a="1"/>
  <c r="E100" i="2" s="1"/>
  <c r="F100" i="2" a="1"/>
  <c r="F100" i="2" s="1"/>
  <c r="G100" i="2" a="1"/>
  <c r="G100" i="2" s="1"/>
  <c r="H100" i="2" a="1"/>
  <c r="H100" i="2" s="1"/>
  <c r="I100" i="2" a="1"/>
  <c r="I100" i="2" s="1"/>
  <c r="B101" i="2" a="1"/>
  <c r="B101" i="2" s="1"/>
  <c r="C101" i="2" a="1"/>
  <c r="C101" i="2" s="1"/>
  <c r="E101" i="2" a="1"/>
  <c r="E101" i="2" s="1"/>
  <c r="F101" i="2" a="1"/>
  <c r="F101" i="2" s="1"/>
  <c r="G101" i="2" a="1"/>
  <c r="G101" i="2" s="1"/>
  <c r="H101" i="2" a="1"/>
  <c r="H101" i="2" s="1"/>
  <c r="I101" i="2" a="1"/>
  <c r="I101" i="2" s="1"/>
  <c r="B102" i="2" a="1"/>
  <c r="B102" i="2" s="1"/>
  <c r="C102" i="2" a="1"/>
  <c r="C102" i="2" s="1"/>
  <c r="E102" i="2" a="1"/>
  <c r="E102" i="2" s="1"/>
  <c r="F102" i="2" a="1"/>
  <c r="F102" i="2" s="1"/>
  <c r="G102" i="2" a="1"/>
  <c r="G102" i="2" s="1"/>
  <c r="H102" i="2" a="1"/>
  <c r="H102" i="2" s="1"/>
  <c r="I102" i="2" a="1"/>
  <c r="I102" i="2" s="1"/>
  <c r="B103" i="2" a="1"/>
  <c r="B103" i="2" s="1"/>
  <c r="C103" i="2" a="1"/>
  <c r="C103" i="2" s="1"/>
  <c r="D103" i="2" a="1"/>
  <c r="D103" i="2" s="1"/>
  <c r="E103" i="2" a="1"/>
  <c r="E103" i="2" s="1"/>
  <c r="F103" i="2" a="1"/>
  <c r="F103" i="2" s="1"/>
  <c r="G103" i="2" a="1"/>
  <c r="G103" i="2" s="1"/>
  <c r="H103" i="2" a="1"/>
  <c r="H103" i="2" s="1"/>
  <c r="I103" i="2" a="1"/>
  <c r="I103" i="2" s="1"/>
  <c r="B104" i="2" a="1"/>
  <c r="B104" i="2" s="1"/>
  <c r="C104" i="2" a="1"/>
  <c r="C104" i="2" s="1"/>
  <c r="E104" i="2" a="1"/>
  <c r="E104" i="2" s="1"/>
  <c r="F104" i="2" a="1"/>
  <c r="F104" i="2" s="1"/>
  <c r="G104" i="2" a="1"/>
  <c r="G104" i="2" s="1"/>
  <c r="H104" i="2" a="1"/>
  <c r="H104" i="2" s="1"/>
  <c r="I104" i="2" a="1"/>
  <c r="I104" i="2" s="1"/>
  <c r="B105" i="2" a="1"/>
  <c r="B105" i="2" s="1"/>
  <c r="C105" i="2" a="1"/>
  <c r="C105" i="2" s="1"/>
  <c r="E105" i="2" a="1"/>
  <c r="E105" i="2" s="1"/>
  <c r="F105" i="2" a="1"/>
  <c r="F105" i="2" s="1"/>
  <c r="G105" i="2" a="1"/>
  <c r="G105" i="2" s="1"/>
  <c r="H105" i="2" a="1"/>
  <c r="H105" i="2" s="1"/>
  <c r="I105" i="2" a="1"/>
  <c r="I105" i="2" s="1"/>
  <c r="B106" i="2" a="1"/>
  <c r="B106" i="2" s="1"/>
  <c r="C106" i="2" a="1"/>
  <c r="C106" i="2" s="1"/>
  <c r="E106" i="2" a="1"/>
  <c r="E106" i="2" s="1"/>
  <c r="F106" i="2" a="1"/>
  <c r="F106" i="2" s="1"/>
  <c r="G106" i="2" a="1"/>
  <c r="G106" i="2" s="1"/>
  <c r="H106" i="2" a="1"/>
  <c r="H106" i="2" s="1"/>
  <c r="I106" i="2" a="1"/>
  <c r="I106" i="2" s="1"/>
  <c r="B107" i="2" a="1"/>
  <c r="B107" i="2" s="1"/>
  <c r="C107" i="2" a="1"/>
  <c r="C107" i="2" s="1"/>
  <c r="E107" i="2" a="1"/>
  <c r="E107" i="2" s="1"/>
  <c r="F107" i="2" a="1"/>
  <c r="F107" i="2" s="1"/>
  <c r="G107" i="2" a="1"/>
  <c r="G107" i="2" s="1"/>
  <c r="H107" i="2" a="1"/>
  <c r="H107" i="2" s="1"/>
  <c r="I107" i="2" a="1"/>
  <c r="I107" i="2" s="1"/>
  <c r="B108" i="2" a="1"/>
  <c r="B108" i="2" s="1"/>
  <c r="C108" i="2" a="1"/>
  <c r="C108" i="2" s="1"/>
  <c r="E108" i="2" a="1"/>
  <c r="E108" i="2" s="1"/>
  <c r="F108" i="2" a="1"/>
  <c r="F108" i="2" s="1"/>
  <c r="G108" i="2" a="1"/>
  <c r="G108" i="2" s="1"/>
  <c r="H108" i="2" a="1"/>
  <c r="H108" i="2" s="1"/>
  <c r="I108" i="2" a="1"/>
  <c r="I108" i="2" s="1"/>
  <c r="B109" i="2" a="1"/>
  <c r="B109" i="2" s="1"/>
  <c r="C109" i="2" a="1"/>
  <c r="C109" i="2" s="1"/>
  <c r="E109" i="2" a="1"/>
  <c r="E109" i="2" s="1"/>
  <c r="F109" i="2" a="1"/>
  <c r="F109" i="2" s="1"/>
  <c r="G109" i="2" a="1"/>
  <c r="G109" i="2" s="1"/>
  <c r="H109" i="2" a="1"/>
  <c r="H109" i="2" s="1"/>
  <c r="I109" i="2" a="1"/>
  <c r="I109" i="2" s="1"/>
  <c r="B110" i="2" a="1"/>
  <c r="B110" i="2" s="1"/>
  <c r="C110" i="2" a="1"/>
  <c r="C110" i="2" s="1"/>
  <c r="E110" i="2" a="1"/>
  <c r="E110" i="2" s="1"/>
  <c r="F110" i="2" a="1"/>
  <c r="F110" i="2" s="1"/>
  <c r="G110" i="2" a="1"/>
  <c r="G110" i="2" s="1"/>
  <c r="H110" i="2" a="1"/>
  <c r="H110" i="2" s="1"/>
  <c r="I110" i="2" a="1"/>
  <c r="I110" i="2" s="1"/>
  <c r="B111" i="2" a="1"/>
  <c r="B111" i="2" s="1"/>
  <c r="C111" i="2" a="1"/>
  <c r="C111" i="2" s="1"/>
  <c r="E111" i="2" a="1"/>
  <c r="E111" i="2" s="1"/>
  <c r="F111" i="2" a="1"/>
  <c r="F111" i="2" s="1"/>
  <c r="G111" i="2" a="1"/>
  <c r="G111" i="2" s="1"/>
  <c r="H111" i="2" a="1"/>
  <c r="H111" i="2" s="1"/>
  <c r="I111" i="2" a="1"/>
  <c r="I111" i="2" s="1"/>
  <c r="B112" i="2" a="1"/>
  <c r="B112" i="2" s="1"/>
  <c r="C112" i="2" a="1"/>
  <c r="C112" i="2" s="1"/>
  <c r="D112" i="2" a="1"/>
  <c r="D112" i="2" s="1"/>
  <c r="E112" i="2" a="1"/>
  <c r="E112" i="2" s="1"/>
  <c r="F112" i="2" a="1"/>
  <c r="F112" i="2" s="1"/>
  <c r="G112" i="2" a="1"/>
  <c r="G112" i="2" s="1"/>
  <c r="H112" i="2" a="1"/>
  <c r="H112" i="2" s="1"/>
  <c r="I112" i="2" a="1"/>
  <c r="I112" i="2" s="1"/>
  <c r="B67" i="2" a="1"/>
  <c r="B67" i="2" s="1"/>
  <c r="C67" i="2" a="1"/>
  <c r="C67" i="2" s="1"/>
  <c r="E67" i="2" a="1"/>
  <c r="E67" i="2" s="1"/>
  <c r="F67" i="2" a="1"/>
  <c r="F67" i="2" s="1"/>
  <c r="G67" i="2" a="1"/>
  <c r="G67" i="2" s="1"/>
  <c r="H67" i="2" a="1"/>
  <c r="H67" i="2" s="1"/>
  <c r="I67" i="2" a="1"/>
  <c r="I67" i="2" s="1"/>
  <c r="B68" i="2" a="1"/>
  <c r="B68" i="2" s="1"/>
  <c r="C68" i="2" a="1"/>
  <c r="C68" i="2" s="1"/>
  <c r="E68" i="2" a="1"/>
  <c r="E68" i="2" s="1"/>
  <c r="F68" i="2" a="1"/>
  <c r="F68" i="2" s="1"/>
  <c r="G68" i="2" a="1"/>
  <c r="G68" i="2" s="1"/>
  <c r="H68" i="2" a="1"/>
  <c r="H68" i="2" s="1"/>
  <c r="I68" i="2" a="1"/>
  <c r="I68" i="2" s="1"/>
  <c r="B69" i="2" a="1"/>
  <c r="B69" i="2" s="1"/>
  <c r="C69" i="2" a="1"/>
  <c r="C69" i="2" s="1"/>
  <c r="E69" i="2" a="1"/>
  <c r="E69" i="2" s="1"/>
  <c r="F69" i="2" a="1"/>
  <c r="F69" i="2" s="1"/>
  <c r="G69" i="2" a="1"/>
  <c r="G69" i="2" s="1"/>
  <c r="H69" i="2" a="1"/>
  <c r="H69" i="2" s="1"/>
  <c r="I69" i="2" a="1"/>
  <c r="I69" i="2" s="1"/>
  <c r="B70" i="2" a="1"/>
  <c r="B70" i="2" s="1"/>
  <c r="C70" i="2" a="1"/>
  <c r="C70" i="2" s="1"/>
  <c r="E70" i="2" a="1"/>
  <c r="E70" i="2" s="1"/>
  <c r="F70" i="2" a="1"/>
  <c r="F70" i="2" s="1"/>
  <c r="G70" i="2" a="1"/>
  <c r="G70" i="2" s="1"/>
  <c r="H70" i="2" a="1"/>
  <c r="H70" i="2" s="1"/>
  <c r="I70" i="2" a="1"/>
  <c r="I70" i="2" s="1"/>
  <c r="B71" i="2" a="1"/>
  <c r="B71" i="2" s="1"/>
  <c r="C71" i="2" a="1"/>
  <c r="C71" i="2" s="1"/>
  <c r="E71" i="2" a="1"/>
  <c r="E71" i="2" s="1"/>
  <c r="F71" i="2" a="1"/>
  <c r="F71" i="2" s="1"/>
  <c r="G71" i="2" a="1"/>
  <c r="G71" i="2" s="1"/>
  <c r="H71" i="2" a="1"/>
  <c r="H71" i="2" s="1"/>
  <c r="I71" i="2" a="1"/>
  <c r="I71" i="2" s="1"/>
  <c r="B72" i="2" a="1"/>
  <c r="B72" i="2" s="1"/>
  <c r="C72" i="2" a="1"/>
  <c r="C72" i="2" s="1"/>
  <c r="E72" i="2" a="1"/>
  <c r="E72" i="2" s="1"/>
  <c r="F72" i="2" a="1"/>
  <c r="F72" i="2" s="1"/>
  <c r="G72" i="2" a="1"/>
  <c r="G72" i="2" s="1"/>
  <c r="H72" i="2" a="1"/>
  <c r="H72" i="2" s="1"/>
  <c r="I72" i="2" a="1"/>
  <c r="I72" i="2" s="1"/>
  <c r="B73" i="2" a="1"/>
  <c r="B73" i="2" s="1"/>
  <c r="C73" i="2" a="1"/>
  <c r="C73" i="2" s="1"/>
  <c r="E73" i="2" a="1"/>
  <c r="E73" i="2" s="1"/>
  <c r="F73" i="2" a="1"/>
  <c r="F73" i="2" s="1"/>
  <c r="G73" i="2" a="1"/>
  <c r="G73" i="2" s="1"/>
  <c r="H73" i="2" a="1"/>
  <c r="H73" i="2" s="1"/>
  <c r="I73" i="2" a="1"/>
  <c r="I73" i="2" s="1"/>
  <c r="B74" i="2" a="1"/>
  <c r="B74" i="2" s="1"/>
  <c r="C74" i="2" a="1"/>
  <c r="C74" i="2" s="1"/>
  <c r="E74" i="2" a="1"/>
  <c r="E74" i="2" s="1"/>
  <c r="F74" i="2" a="1"/>
  <c r="F74" i="2" s="1"/>
  <c r="G74" i="2" a="1"/>
  <c r="G74" i="2" s="1"/>
  <c r="H74" i="2" a="1"/>
  <c r="H74" i="2" s="1"/>
  <c r="I74" i="2" a="1"/>
  <c r="I74" i="2" s="1"/>
  <c r="B75" i="2" a="1"/>
  <c r="B75" i="2" s="1"/>
  <c r="C75" i="2" a="1"/>
  <c r="C75" i="2" s="1"/>
  <c r="E75" i="2" a="1"/>
  <c r="E75" i="2" s="1"/>
  <c r="F75" i="2" a="1"/>
  <c r="F75" i="2" s="1"/>
  <c r="G75" i="2" a="1"/>
  <c r="G75" i="2" s="1"/>
  <c r="H75" i="2" a="1"/>
  <c r="H75" i="2" s="1"/>
  <c r="I75" i="2" a="1"/>
  <c r="I75" i="2" s="1"/>
  <c r="B76" i="2" a="1"/>
  <c r="B76" i="2" s="1"/>
  <c r="C76" i="2" a="1"/>
  <c r="C76" i="2" s="1"/>
  <c r="E76" i="2" a="1"/>
  <c r="E76" i="2" s="1"/>
  <c r="F76" i="2" a="1"/>
  <c r="F76" i="2" s="1"/>
  <c r="G76" i="2" a="1"/>
  <c r="G76" i="2" s="1"/>
  <c r="H76" i="2" a="1"/>
  <c r="H76" i="2" s="1"/>
  <c r="I76" i="2" a="1"/>
  <c r="I76" i="2" s="1"/>
  <c r="B77" i="2" a="1"/>
  <c r="B77" i="2" s="1"/>
  <c r="C77" i="2" a="1"/>
  <c r="C77" i="2" s="1"/>
  <c r="E77" i="2" a="1"/>
  <c r="E77" i="2" s="1"/>
  <c r="F77" i="2" a="1"/>
  <c r="F77" i="2" s="1"/>
  <c r="G77" i="2" a="1"/>
  <c r="G77" i="2" s="1"/>
  <c r="H77" i="2" a="1"/>
  <c r="H77" i="2" s="1"/>
  <c r="I77" i="2" a="1"/>
  <c r="I77" i="2" s="1"/>
  <c r="B78" i="2" a="1"/>
  <c r="B78" i="2" s="1"/>
  <c r="C78" i="2" a="1"/>
  <c r="C78" i="2" s="1"/>
  <c r="E78" i="2" a="1"/>
  <c r="E78" i="2" s="1"/>
  <c r="F78" i="2" a="1"/>
  <c r="F78" i="2" s="1"/>
  <c r="G78" i="2" a="1"/>
  <c r="G78" i="2" s="1"/>
  <c r="H78" i="2" a="1"/>
  <c r="H78" i="2" s="1"/>
  <c r="I78" i="2" a="1"/>
  <c r="I78" i="2" s="1"/>
  <c r="B79" i="2" a="1"/>
  <c r="B79" i="2" s="1"/>
  <c r="C79" i="2" a="1"/>
  <c r="C79" i="2" s="1"/>
  <c r="E79" i="2" a="1"/>
  <c r="E79" i="2" s="1"/>
  <c r="F79" i="2" a="1"/>
  <c r="F79" i="2" s="1"/>
  <c r="G79" i="2" a="1"/>
  <c r="G79" i="2" s="1"/>
  <c r="H79" i="2" a="1"/>
  <c r="H79" i="2" s="1"/>
  <c r="I79" i="2" a="1"/>
  <c r="I79" i="2" s="1"/>
  <c r="B80" i="2" a="1"/>
  <c r="B80" i="2" s="1"/>
  <c r="C80" i="2" a="1"/>
  <c r="C80" i="2" s="1"/>
  <c r="E80" i="2" a="1"/>
  <c r="E80" i="2" s="1"/>
  <c r="F80" i="2" a="1"/>
  <c r="F80" i="2" s="1"/>
  <c r="G80" i="2" a="1"/>
  <c r="G80" i="2" s="1"/>
  <c r="H80" i="2" a="1"/>
  <c r="H80" i="2" s="1"/>
  <c r="I80" i="2" a="1"/>
  <c r="I80" i="2" s="1"/>
  <c r="B81" i="2" a="1"/>
  <c r="B81" i="2" s="1"/>
  <c r="C81" i="2" a="1"/>
  <c r="C81" i="2" s="1"/>
  <c r="E81" i="2" a="1"/>
  <c r="E81" i="2" s="1"/>
  <c r="F81" i="2" a="1"/>
  <c r="F81" i="2" s="1"/>
  <c r="G81" i="2" a="1"/>
  <c r="G81" i="2" s="1"/>
  <c r="H81" i="2" a="1"/>
  <c r="H81" i="2" s="1"/>
  <c r="I81" i="2" a="1"/>
  <c r="I81" i="2" s="1"/>
  <c r="B82" i="2" a="1"/>
  <c r="B82" i="2" s="1"/>
  <c r="C82" i="2" a="1"/>
  <c r="C82" i="2" s="1"/>
  <c r="E82" i="2" a="1"/>
  <c r="E82" i="2" s="1"/>
  <c r="F82" i="2" a="1"/>
  <c r="F82" i="2" s="1"/>
  <c r="G82" i="2" a="1"/>
  <c r="G82" i="2" s="1"/>
  <c r="H82" i="2" a="1"/>
  <c r="H82" i="2" s="1"/>
  <c r="I82" i="2" a="1"/>
  <c r="I82" i="2" s="1"/>
  <c r="B83" i="2" a="1"/>
  <c r="B83" i="2" s="1"/>
  <c r="C83" i="2" a="1"/>
  <c r="C83" i="2" s="1"/>
  <c r="D83" i="2" a="1"/>
  <c r="D83" i="2" s="1"/>
  <c r="E83" i="2" a="1"/>
  <c r="E83" i="2" s="1"/>
  <c r="F83" i="2" a="1"/>
  <c r="F83" i="2" s="1"/>
  <c r="G83" i="2" a="1"/>
  <c r="G83" i="2" s="1"/>
  <c r="H83" i="2" a="1"/>
  <c r="H83" i="2" s="1"/>
  <c r="I83" i="2" a="1"/>
  <c r="I83" i="2" s="1"/>
  <c r="B35" i="2" a="1"/>
  <c r="B35" i="2" s="1"/>
  <c r="C35" i="2" a="1"/>
  <c r="C35" i="2" s="1"/>
  <c r="E35" i="2" a="1"/>
  <c r="E35" i="2" s="1"/>
  <c r="F35" i="2" a="1"/>
  <c r="F35" i="2" s="1"/>
  <c r="G35" i="2" a="1"/>
  <c r="G35" i="2" s="1"/>
  <c r="H35" i="2" a="1"/>
  <c r="H35" i="2" s="1"/>
  <c r="I35" i="2" a="1"/>
  <c r="I35" i="2" s="1"/>
  <c r="B36" i="2" a="1"/>
  <c r="B36" i="2" s="1"/>
  <c r="C36" i="2" a="1"/>
  <c r="C36" i="2" s="1"/>
  <c r="E36" i="2" a="1"/>
  <c r="E36" i="2" s="1"/>
  <c r="F36" i="2" a="1"/>
  <c r="F36" i="2" s="1"/>
  <c r="G36" i="2" a="1"/>
  <c r="G36" i="2" s="1"/>
  <c r="H36" i="2" a="1"/>
  <c r="H36" i="2" s="1"/>
  <c r="I36" i="2" a="1"/>
  <c r="I36" i="2" s="1"/>
  <c r="B37" i="2" a="1"/>
  <c r="B37" i="2" s="1"/>
  <c r="C37" i="2" a="1"/>
  <c r="C37" i="2" s="1"/>
  <c r="E37" i="2" a="1"/>
  <c r="E37" i="2" s="1"/>
  <c r="F37" i="2" a="1"/>
  <c r="F37" i="2" s="1"/>
  <c r="G37" i="2" a="1"/>
  <c r="G37" i="2" s="1"/>
  <c r="H37" i="2" a="1"/>
  <c r="H37" i="2" s="1"/>
  <c r="I37" i="2" a="1"/>
  <c r="I37" i="2" s="1"/>
  <c r="B38" i="2" a="1"/>
  <c r="B38" i="2" s="1"/>
  <c r="C38" i="2" a="1"/>
  <c r="C38" i="2" s="1"/>
  <c r="E38" i="2" a="1"/>
  <c r="E38" i="2" s="1"/>
  <c r="F38" i="2" a="1"/>
  <c r="F38" i="2" s="1"/>
  <c r="G38" i="2" a="1"/>
  <c r="G38" i="2" s="1"/>
  <c r="H38" i="2" a="1"/>
  <c r="H38" i="2" s="1"/>
  <c r="I38" i="2" a="1"/>
  <c r="I38" i="2" s="1"/>
  <c r="B39" i="2" a="1"/>
  <c r="B39" i="2" s="1"/>
  <c r="C39" i="2" a="1"/>
  <c r="C39" i="2" s="1"/>
  <c r="E39" i="2" a="1"/>
  <c r="E39" i="2" s="1"/>
  <c r="F39" i="2" a="1"/>
  <c r="F39" i="2" s="1"/>
  <c r="G39" i="2" a="1"/>
  <c r="G39" i="2" s="1"/>
  <c r="H39" i="2" a="1"/>
  <c r="H39" i="2" s="1"/>
  <c r="I39" i="2" a="1"/>
  <c r="I39" i="2" s="1"/>
  <c r="B40" i="2" a="1"/>
  <c r="B40" i="2" s="1"/>
  <c r="C40" i="2" a="1"/>
  <c r="C40" i="2" s="1"/>
  <c r="E40" i="2" a="1"/>
  <c r="E40" i="2" s="1"/>
  <c r="F40" i="2" a="1"/>
  <c r="F40" i="2" s="1"/>
  <c r="G40" i="2" a="1"/>
  <c r="G40" i="2" s="1"/>
  <c r="H40" i="2" a="1"/>
  <c r="H40" i="2" s="1"/>
  <c r="I40" i="2" a="1"/>
  <c r="I40" i="2" s="1"/>
  <c r="B41" i="2" a="1"/>
  <c r="B41" i="2" s="1"/>
  <c r="C41" i="2" a="1"/>
  <c r="C41" i="2" s="1"/>
  <c r="E41" i="2" a="1"/>
  <c r="E41" i="2" s="1"/>
  <c r="F41" i="2" a="1"/>
  <c r="F41" i="2" s="1"/>
  <c r="G41" i="2" a="1"/>
  <c r="G41" i="2" s="1"/>
  <c r="H41" i="2" a="1"/>
  <c r="H41" i="2" s="1"/>
  <c r="I41" i="2" a="1"/>
  <c r="I41" i="2" s="1"/>
  <c r="B42" i="2" a="1"/>
  <c r="B42" i="2" s="1"/>
  <c r="C42" i="2" a="1"/>
  <c r="C42" i="2" s="1"/>
  <c r="E42" i="2" a="1"/>
  <c r="E42" i="2" s="1"/>
  <c r="F42" i="2" a="1"/>
  <c r="F42" i="2" s="1"/>
  <c r="G42" i="2" a="1"/>
  <c r="G42" i="2" s="1"/>
  <c r="H42" i="2" a="1"/>
  <c r="H42" i="2" s="1"/>
  <c r="I42" i="2" a="1"/>
  <c r="I42" i="2" s="1"/>
  <c r="B43" i="2" a="1"/>
  <c r="B43" i="2" s="1"/>
  <c r="C43" i="2" a="1"/>
  <c r="C43" i="2" s="1"/>
  <c r="E43" i="2" a="1"/>
  <c r="E43" i="2" s="1"/>
  <c r="F43" i="2" a="1"/>
  <c r="F43" i="2" s="1"/>
  <c r="G43" i="2" a="1"/>
  <c r="G43" i="2" s="1"/>
  <c r="H43" i="2" a="1"/>
  <c r="H43" i="2" s="1"/>
  <c r="I43" i="2" a="1"/>
  <c r="I43" i="2" s="1"/>
  <c r="B44" i="2" a="1"/>
  <c r="B44" i="2" s="1"/>
  <c r="C44" i="2" a="1"/>
  <c r="C44" i="2" s="1"/>
  <c r="E44" i="2" a="1"/>
  <c r="E44" i="2" s="1"/>
  <c r="F44" i="2" a="1"/>
  <c r="F44" i="2" s="1"/>
  <c r="G44" i="2" a="1"/>
  <c r="G44" i="2" s="1"/>
  <c r="H44" i="2" a="1"/>
  <c r="H44" i="2" s="1"/>
  <c r="I44" i="2" a="1"/>
  <c r="I44" i="2" s="1"/>
  <c r="B45" i="2" a="1"/>
  <c r="B45" i="2" s="1"/>
  <c r="C45" i="2" a="1"/>
  <c r="C45" i="2" s="1"/>
  <c r="E45" i="2" a="1"/>
  <c r="E45" i="2" s="1"/>
  <c r="F45" i="2" a="1"/>
  <c r="F45" i="2" s="1"/>
  <c r="G45" i="2" a="1"/>
  <c r="G45" i="2" s="1"/>
  <c r="H45" i="2" a="1"/>
  <c r="H45" i="2" s="1"/>
  <c r="I45" i="2" a="1"/>
  <c r="I45" i="2" s="1"/>
  <c r="B46" i="2" a="1"/>
  <c r="B46" i="2" s="1"/>
  <c r="C46" i="2" a="1"/>
  <c r="C46" i="2" s="1"/>
  <c r="E46" i="2" a="1"/>
  <c r="E46" i="2" s="1"/>
  <c r="F46" i="2" a="1"/>
  <c r="F46" i="2" s="1"/>
  <c r="G46" i="2" a="1"/>
  <c r="G46" i="2" s="1"/>
  <c r="H46" i="2" a="1"/>
  <c r="H46" i="2" s="1"/>
  <c r="I46" i="2" a="1"/>
  <c r="I46" i="2" s="1"/>
  <c r="B47" i="2" a="1"/>
  <c r="B47" i="2" s="1"/>
  <c r="C47" i="2" a="1"/>
  <c r="C47" i="2" s="1"/>
  <c r="E47" i="2" a="1"/>
  <c r="E47" i="2" s="1"/>
  <c r="F47" i="2" a="1"/>
  <c r="F47" i="2" s="1"/>
  <c r="G47" i="2" a="1"/>
  <c r="G47" i="2" s="1"/>
  <c r="H47" i="2" a="1"/>
  <c r="H47" i="2" s="1"/>
  <c r="I47" i="2" a="1"/>
  <c r="I47" i="2" s="1"/>
  <c r="B48" i="2" a="1"/>
  <c r="B48" i="2" s="1"/>
  <c r="C48" i="2" a="1"/>
  <c r="C48" i="2" s="1"/>
  <c r="E48" i="2" a="1"/>
  <c r="E48" i="2" s="1"/>
  <c r="F48" i="2" a="1"/>
  <c r="F48" i="2" s="1"/>
  <c r="G48" i="2" a="1"/>
  <c r="G48" i="2" s="1"/>
  <c r="H48" i="2" a="1"/>
  <c r="H48" i="2" s="1"/>
  <c r="I48" i="2" a="1"/>
  <c r="I48" i="2" s="1"/>
  <c r="B49" i="2" a="1"/>
  <c r="B49" i="2" s="1"/>
  <c r="C49" i="2" a="1"/>
  <c r="C49" i="2" s="1"/>
  <c r="D49" i="2" a="1"/>
  <c r="D49" i="2" s="1"/>
  <c r="E49" i="2" a="1"/>
  <c r="E49" i="2" s="1"/>
  <c r="F49" i="2" a="1"/>
  <c r="F49" i="2" s="1"/>
  <c r="G49" i="2" a="1"/>
  <c r="G49" i="2" s="1"/>
  <c r="H49" i="2" a="1"/>
  <c r="H49" i="2" s="1"/>
  <c r="I49" i="2" a="1"/>
  <c r="I49" i="2" s="1"/>
  <c r="B50" i="2" a="1"/>
  <c r="B50" i="2" s="1"/>
  <c r="C50" i="2" a="1"/>
  <c r="C50" i="2" s="1"/>
  <c r="D50" i="2" a="1"/>
  <c r="D50" i="2" s="1"/>
  <c r="E50" i="2" a="1"/>
  <c r="E50" i="2" s="1"/>
  <c r="F50" i="2" a="1"/>
  <c r="F50" i="2" s="1"/>
  <c r="G50" i="2" a="1"/>
  <c r="G50" i="2" s="1"/>
  <c r="H50" i="2" a="1"/>
  <c r="H50" i="2" s="1"/>
  <c r="I50" i="2" a="1"/>
  <c r="I50" i="2" s="1"/>
  <c r="B4" i="2" a="1"/>
  <c r="B4" i="2" s="1"/>
  <c r="C4" i="2" a="1"/>
  <c r="C4" i="2" s="1"/>
  <c r="E4" i="2" a="1"/>
  <c r="E4" i="2" s="1"/>
  <c r="F4" i="2" a="1"/>
  <c r="F4" i="2" s="1"/>
  <c r="G4" i="2" a="1"/>
  <c r="G4" i="2" s="1"/>
  <c r="H4" i="2" a="1"/>
  <c r="H4" i="2" s="1"/>
  <c r="I4" i="2" a="1"/>
  <c r="I4" i="2" s="1"/>
  <c r="B5" i="2" a="1"/>
  <c r="B5" i="2" s="1"/>
  <c r="C5" i="2" a="1"/>
  <c r="C5" i="2" s="1"/>
  <c r="E5" i="2" a="1"/>
  <c r="E5" i="2" s="1"/>
  <c r="F5" i="2" a="1"/>
  <c r="F5" i="2" s="1"/>
  <c r="G5" i="2" a="1"/>
  <c r="G5" i="2" s="1"/>
  <c r="H5" i="2" a="1"/>
  <c r="H5" i="2" s="1"/>
  <c r="I5" i="2" a="1"/>
  <c r="I5" i="2" s="1"/>
  <c r="B6" i="2" a="1"/>
  <c r="B6" i="2" s="1"/>
  <c r="C6" i="2" a="1"/>
  <c r="C6" i="2" s="1"/>
  <c r="E6" i="2" a="1"/>
  <c r="E6" i="2" s="1"/>
  <c r="F6" i="2" a="1"/>
  <c r="F6" i="2" s="1"/>
  <c r="G6" i="2" a="1"/>
  <c r="G6" i="2" s="1"/>
  <c r="H6" i="2" a="1"/>
  <c r="H6" i="2" s="1"/>
  <c r="I6" i="2" a="1"/>
  <c r="I6" i="2" s="1"/>
  <c r="B7" i="2" a="1"/>
  <c r="B7" i="2" s="1"/>
  <c r="C7" i="2" a="1"/>
  <c r="C7" i="2" s="1"/>
  <c r="E7" i="2" a="1"/>
  <c r="E7" i="2" s="1"/>
  <c r="F7" i="2" a="1"/>
  <c r="F7" i="2" s="1"/>
  <c r="G7" i="2" a="1"/>
  <c r="G7" i="2" s="1"/>
  <c r="H7" i="2" a="1"/>
  <c r="H7" i="2" s="1"/>
  <c r="I7" i="2" a="1"/>
  <c r="I7" i="2" s="1"/>
  <c r="B8" i="2" a="1"/>
  <c r="B8" i="2" s="1"/>
  <c r="C8" i="2" a="1"/>
  <c r="C8" i="2" s="1"/>
  <c r="E8" i="2" a="1"/>
  <c r="E8" i="2" s="1"/>
  <c r="F8" i="2" a="1"/>
  <c r="F8" i="2" s="1"/>
  <c r="G8" i="2" a="1"/>
  <c r="G8" i="2" s="1"/>
  <c r="H8" i="2" a="1"/>
  <c r="H8" i="2" s="1"/>
  <c r="I8" i="2" a="1"/>
  <c r="I8" i="2" s="1"/>
  <c r="B9" i="2" a="1"/>
  <c r="B9" i="2" s="1"/>
  <c r="C9" i="2" a="1"/>
  <c r="C9" i="2" s="1"/>
  <c r="E9" i="2" a="1"/>
  <c r="E9" i="2" s="1"/>
  <c r="F9" i="2" a="1"/>
  <c r="F9" i="2" s="1"/>
  <c r="G9" i="2" a="1"/>
  <c r="G9" i="2" s="1"/>
  <c r="H9" i="2" a="1"/>
  <c r="H9" i="2" s="1"/>
  <c r="I9" i="2" a="1"/>
  <c r="I9" i="2" s="1"/>
  <c r="B10" i="2" a="1"/>
  <c r="B10" i="2" s="1"/>
  <c r="C10" i="2" a="1"/>
  <c r="C10" i="2" s="1"/>
  <c r="E10" i="2" a="1"/>
  <c r="E10" i="2" s="1"/>
  <c r="F10" i="2" a="1"/>
  <c r="F10" i="2" s="1"/>
  <c r="G10" i="2" a="1"/>
  <c r="G10" i="2" s="1"/>
  <c r="H10" i="2" a="1"/>
  <c r="H10" i="2" s="1"/>
  <c r="I10" i="2" a="1"/>
  <c r="I10" i="2" s="1"/>
  <c r="B11" i="2" a="1"/>
  <c r="B11" i="2" s="1"/>
  <c r="C11" i="2" a="1"/>
  <c r="C11" i="2" s="1"/>
  <c r="E11" i="2" a="1"/>
  <c r="E11" i="2" s="1"/>
  <c r="F11" i="2" a="1"/>
  <c r="F11" i="2" s="1"/>
  <c r="G11" i="2" a="1"/>
  <c r="G11" i="2" s="1"/>
  <c r="H11" i="2" a="1"/>
  <c r="H11" i="2" s="1"/>
  <c r="I11" i="2" a="1"/>
  <c r="I11" i="2" s="1"/>
  <c r="B12" i="2" a="1"/>
  <c r="B12" i="2" s="1"/>
  <c r="C12" i="2" a="1"/>
  <c r="C12" i="2" s="1"/>
  <c r="E12" i="2" a="1"/>
  <c r="E12" i="2" s="1"/>
  <c r="F12" i="2" a="1"/>
  <c r="F12" i="2" s="1"/>
  <c r="G12" i="2" a="1"/>
  <c r="G12" i="2" s="1"/>
  <c r="H12" i="2" a="1"/>
  <c r="H12" i="2" s="1"/>
  <c r="I12" i="2" a="1"/>
  <c r="I12" i="2" s="1"/>
  <c r="B13" i="2" a="1"/>
  <c r="B13" i="2" s="1"/>
  <c r="C13" i="2" a="1"/>
  <c r="C13" i="2" s="1"/>
  <c r="E13" i="2" a="1"/>
  <c r="E13" i="2" s="1"/>
  <c r="F13" i="2" a="1"/>
  <c r="F13" i="2" s="1"/>
  <c r="G13" i="2" a="1"/>
  <c r="G13" i="2" s="1"/>
  <c r="H13" i="2" a="1"/>
  <c r="H13" i="2" s="1"/>
  <c r="I13" i="2" a="1"/>
  <c r="I13" i="2" s="1"/>
  <c r="B14" i="2" a="1"/>
  <c r="B14" i="2" s="1"/>
  <c r="C14" i="2" a="1"/>
  <c r="C14" i="2" s="1"/>
  <c r="E14" i="2" a="1"/>
  <c r="E14" i="2" s="1"/>
  <c r="F14" i="2" a="1"/>
  <c r="F14" i="2" s="1"/>
  <c r="G14" i="2" a="1"/>
  <c r="G14" i="2" s="1"/>
  <c r="H14" i="2" a="1"/>
  <c r="H14" i="2" s="1"/>
  <c r="I14" i="2" a="1"/>
  <c r="I14" i="2" s="1"/>
  <c r="B15" i="2" a="1"/>
  <c r="B15" i="2" s="1"/>
  <c r="C15" i="2" a="1"/>
  <c r="C15" i="2" s="1"/>
  <c r="E15" i="2" a="1"/>
  <c r="E15" i="2" s="1"/>
  <c r="F15" i="2" a="1"/>
  <c r="F15" i="2" s="1"/>
  <c r="G15" i="2" a="1"/>
  <c r="G15" i="2" s="1"/>
  <c r="H15" i="2" a="1"/>
  <c r="H15" i="2" s="1"/>
  <c r="I15" i="2" a="1"/>
  <c r="I15" i="2" s="1"/>
  <c r="B16" i="2" a="1"/>
  <c r="B16" i="2" s="1"/>
  <c r="C16" i="2" a="1"/>
  <c r="C16" i="2" s="1"/>
  <c r="E16" i="2" a="1"/>
  <c r="E16" i="2" s="1"/>
  <c r="F16" i="2" a="1"/>
  <c r="F16" i="2" s="1"/>
  <c r="G16" i="2" a="1"/>
  <c r="G16" i="2" s="1"/>
  <c r="H16" i="2" a="1"/>
  <c r="H16" i="2" s="1"/>
  <c r="I16" i="2" a="1"/>
  <c r="I16" i="2" s="1"/>
  <c r="B17" i="2" a="1"/>
  <c r="B17" i="2" s="1"/>
  <c r="C17" i="2" a="1"/>
  <c r="C17" i="2" s="1"/>
  <c r="E17" i="2" a="1"/>
  <c r="E17" i="2" s="1"/>
  <c r="F17" i="2" a="1"/>
  <c r="F17" i="2" s="1"/>
  <c r="G17" i="2" a="1"/>
  <c r="G17" i="2" s="1"/>
  <c r="H17" i="2" a="1"/>
  <c r="H17" i="2" s="1"/>
  <c r="I17" i="2" a="1"/>
  <c r="I17" i="2" s="1"/>
  <c r="B18" i="2" a="1"/>
  <c r="B18" i="2" s="1"/>
  <c r="C18" i="2" a="1"/>
  <c r="C18" i="2" s="1"/>
  <c r="E18" i="2" a="1"/>
  <c r="E18" i="2" s="1"/>
  <c r="F18" i="2" a="1"/>
  <c r="F18" i="2" s="1"/>
  <c r="G18" i="2" a="1"/>
  <c r="G18" i="2" s="1"/>
  <c r="H18" i="2" a="1"/>
  <c r="H18" i="2" s="1"/>
  <c r="I18" i="2" a="1"/>
  <c r="I18" i="2" s="1"/>
  <c r="B19" i="2" a="1"/>
  <c r="B19" i="2" s="1"/>
  <c r="C19" i="2" a="1"/>
  <c r="C19" i="2" s="1"/>
  <c r="E19" i="2" a="1"/>
  <c r="E19" i="2" s="1"/>
  <c r="F19" i="2" a="1"/>
  <c r="F19" i="2" s="1"/>
  <c r="G19" i="2" a="1"/>
  <c r="G19" i="2" s="1"/>
  <c r="H19" i="2" a="1"/>
  <c r="H19" i="2" s="1"/>
  <c r="I19" i="2" a="1"/>
  <c r="I19" i="2" s="1"/>
  <c r="B20" i="2" a="1"/>
  <c r="B20" i="2" s="1"/>
  <c r="C20" i="2" a="1"/>
  <c r="C20" i="2" s="1"/>
  <c r="E20" i="2" a="1"/>
  <c r="E20" i="2" s="1"/>
  <c r="F20" i="2" a="1"/>
  <c r="F20" i="2" s="1"/>
  <c r="G20" i="2" a="1"/>
  <c r="G20" i="2" s="1"/>
  <c r="H20" i="2" a="1"/>
  <c r="H20" i="2" s="1"/>
  <c r="I20" i="2" a="1"/>
  <c r="I20" i="2" s="1"/>
  <c r="B21" i="2" a="1"/>
  <c r="B21" i="2" s="1"/>
  <c r="C21" i="2" a="1"/>
  <c r="C21" i="2" s="1"/>
  <c r="E21" i="2" a="1"/>
  <c r="E21" i="2" s="1"/>
  <c r="F21" i="2" a="1"/>
  <c r="F21" i="2" s="1"/>
  <c r="G21" i="2" a="1"/>
  <c r="G21" i="2" s="1"/>
  <c r="H21" i="2" a="1"/>
  <c r="H21" i="2" s="1"/>
  <c r="I21" i="2" a="1"/>
  <c r="I21" i="2" s="1"/>
  <c r="B22" i="2" a="1"/>
  <c r="B22" i="2" s="1"/>
  <c r="C22" i="2" a="1"/>
  <c r="C22" i="2" s="1"/>
  <c r="E22" i="2" a="1"/>
  <c r="E22" i="2" s="1"/>
  <c r="F22" i="2" a="1"/>
  <c r="F22" i="2" s="1"/>
  <c r="G22" i="2" a="1"/>
  <c r="G22" i="2" s="1"/>
  <c r="H22" i="2" a="1"/>
  <c r="H22" i="2" s="1"/>
  <c r="I22" i="2" a="1"/>
  <c r="I22" i="2" s="1"/>
  <c r="B23" i="2" a="1"/>
  <c r="B23" i="2" s="1"/>
  <c r="C23" i="2" a="1"/>
  <c r="C23" i="2" s="1"/>
  <c r="E23" i="2" a="1"/>
  <c r="E23" i="2" s="1"/>
  <c r="F23" i="2" a="1"/>
  <c r="F23" i="2" s="1"/>
  <c r="G23" i="2" a="1"/>
  <c r="G23" i="2" s="1"/>
  <c r="H23" i="2" a="1"/>
  <c r="H23" i="2" s="1"/>
  <c r="I23" i="2" a="1"/>
  <c r="I23" i="2" s="1"/>
  <c r="B24" i="2" a="1"/>
  <c r="B24" i="2" s="1"/>
  <c r="C24" i="2" a="1"/>
  <c r="C24" i="2" s="1"/>
  <c r="E24" i="2" a="1"/>
  <c r="E24" i="2" s="1"/>
  <c r="F24" i="2" a="1"/>
  <c r="F24" i="2" s="1"/>
  <c r="G24" i="2" a="1"/>
  <c r="G24" i="2" s="1"/>
  <c r="H24" i="2" a="1"/>
  <c r="H24" i="2" s="1"/>
  <c r="I24" i="2" a="1"/>
  <c r="I24" i="2" s="1"/>
  <c r="B25" i="2" a="1"/>
  <c r="B25" i="2" s="1"/>
  <c r="C25" i="2" a="1"/>
  <c r="C25" i="2" s="1"/>
  <c r="E25" i="2" a="1"/>
  <c r="E25" i="2" s="1"/>
  <c r="F25" i="2" a="1"/>
  <c r="F25" i="2" s="1"/>
  <c r="G25" i="2" a="1"/>
  <c r="G25" i="2" s="1"/>
  <c r="H25" i="2" a="1"/>
  <c r="H25" i="2" s="1"/>
  <c r="I25" i="2" a="1"/>
  <c r="I25" i="2" s="1"/>
  <c r="B26" i="2" a="1"/>
  <c r="B26" i="2" s="1"/>
  <c r="C26" i="2" a="1"/>
  <c r="C26" i="2" s="1"/>
  <c r="E26" i="2" a="1"/>
  <c r="E26" i="2" s="1"/>
  <c r="F26" i="2" a="1"/>
  <c r="F26" i="2" s="1"/>
  <c r="G26" i="2" a="1"/>
  <c r="G26" i="2" s="1"/>
  <c r="H26" i="2" a="1"/>
  <c r="H26" i="2" s="1"/>
  <c r="I26" i="2" a="1"/>
  <c r="I26" i="2" s="1"/>
  <c r="B27" i="2" a="1"/>
  <c r="B27" i="2" s="1"/>
  <c r="C27" i="2" a="1"/>
  <c r="C27" i="2" s="1"/>
  <c r="D27" i="2" a="1"/>
  <c r="D27" i="2" s="1"/>
  <c r="E27" i="2" a="1"/>
  <c r="E27" i="2" s="1"/>
  <c r="F27" i="2" a="1"/>
  <c r="F27" i="2" s="1"/>
  <c r="G27" i="2" a="1"/>
  <c r="G27" i="2" s="1"/>
  <c r="H27" i="2" a="1"/>
  <c r="H27" i="2" s="1"/>
  <c r="I27" i="2" a="1"/>
  <c r="I27" i="2" s="1"/>
  <c r="B113" i="2" a="1"/>
  <c r="B113" i="2" s="1"/>
  <c r="C113" i="2" a="1"/>
  <c r="C113" i="2" s="1"/>
  <c r="D113" i="2" a="1"/>
  <c r="D113" i="2" s="1"/>
  <c r="E113" i="2" a="1"/>
  <c r="E113" i="2" s="1"/>
  <c r="F113" i="2" a="1"/>
  <c r="F113" i="2" s="1"/>
  <c r="G113" i="2" a="1"/>
  <c r="G113" i="2" s="1"/>
  <c r="H113" i="2" a="1"/>
  <c r="H113" i="2" s="1"/>
  <c r="I113" i="2" a="1"/>
  <c r="I113" i="2" s="1"/>
  <c r="B149" i="2" a="1"/>
  <c r="B149" i="2" s="1"/>
  <c r="C149" i="2" a="1"/>
  <c r="C149" i="2" s="1"/>
  <c r="D149" i="2" a="1"/>
  <c r="D149" i="2" s="1"/>
  <c r="E149" i="2" a="1"/>
  <c r="E149" i="2" s="1"/>
  <c r="F149" i="2" a="1"/>
  <c r="F149" i="2" s="1"/>
  <c r="G149" i="2" a="1"/>
  <c r="G149" i="2" s="1"/>
  <c r="H149" i="2" a="1"/>
  <c r="H149" i="2" s="1"/>
  <c r="I149" i="2" a="1"/>
  <c r="I149" i="2" s="1"/>
  <c r="B195" i="2" a="1"/>
  <c r="B195" i="2" s="1"/>
  <c r="C195" i="2" a="1"/>
  <c r="C195" i="2" s="1"/>
  <c r="E195" i="2" a="1"/>
  <c r="E195" i="2" s="1"/>
  <c r="F195" i="2" a="1"/>
  <c r="F195" i="2" s="1"/>
  <c r="G195" i="2" a="1"/>
  <c r="G195" i="2" s="1"/>
  <c r="H195" i="2" a="1"/>
  <c r="H195" i="2" s="1"/>
  <c r="I195" i="2" a="1"/>
  <c r="I195" i="2" s="1"/>
  <c r="B180" i="2" a="1"/>
  <c r="B180" i="2" s="1"/>
  <c r="C180" i="2" a="1"/>
  <c r="C180" i="2" s="1"/>
  <c r="D180" i="2" a="1"/>
  <c r="D180" i="2" s="1"/>
  <c r="E180" i="2" a="1"/>
  <c r="E180" i="2" s="1"/>
  <c r="F180" i="2" a="1"/>
  <c r="F180" i="2" s="1"/>
  <c r="G180" i="2" a="1"/>
  <c r="G180" i="2" s="1"/>
  <c r="H180" i="2" a="1"/>
  <c r="H180" i="2" s="1"/>
  <c r="I180" i="2" a="1"/>
  <c r="I180" i="2" s="1"/>
  <c r="B3" i="2" a="1"/>
  <c r="B3" i="2" s="1"/>
  <c r="E126" i="1"/>
  <c r="E94" i="1"/>
  <c r="E74" i="1"/>
  <c r="D249" i="2" a="1"/>
  <c r="D249" i="2" s="1"/>
  <c r="D250" i="2" a="1"/>
  <c r="D250" i="2" s="1"/>
  <c r="D251" i="2" a="1"/>
  <c r="D251" i="2" s="1"/>
  <c r="D252" i="2" a="1"/>
  <c r="D252" i="2" s="1"/>
  <c r="D253" i="2" a="1"/>
  <c r="D253" i="2" s="1"/>
  <c r="D254" i="2" a="1"/>
  <c r="D254" i="2" s="1"/>
  <c r="D255" i="2" a="1"/>
  <c r="D255" i="2" s="1"/>
  <c r="D211" i="2" a="1"/>
  <c r="D211" i="2" s="1"/>
  <c r="D212" i="2" a="1"/>
  <c r="D212" i="2" s="1"/>
  <c r="D213" i="2" a="1"/>
  <c r="D213" i="2" s="1"/>
  <c r="D214" i="2" a="1"/>
  <c r="D214" i="2" s="1"/>
  <c r="D215" i="2" a="1"/>
  <c r="D215" i="2" s="1"/>
  <c r="D216" i="2" a="1"/>
  <c r="D216" i="2" s="1"/>
  <c r="D217" i="2" a="1"/>
  <c r="D217" i="2" s="1"/>
  <c r="D218" i="2" a="1"/>
  <c r="D218" i="2" s="1"/>
  <c r="D219" i="2" a="1"/>
  <c r="D219" i="2" s="1"/>
  <c r="D220" i="2" a="1"/>
  <c r="D220" i="2" s="1"/>
  <c r="D221" i="2" a="1"/>
  <c r="D221" i="2" s="1"/>
  <c r="D222" i="2" a="1"/>
  <c r="D222" i="2" s="1"/>
  <c r="D223" i="2" a="1"/>
  <c r="D223" i="2" s="1"/>
  <c r="D181" i="2" a="1"/>
  <c r="D181" i="2" s="1"/>
  <c r="D182" i="2" a="1"/>
  <c r="D182" i="2" s="1"/>
  <c r="D183" i="2" a="1"/>
  <c r="D183" i="2" s="1"/>
  <c r="D184" i="2" a="1"/>
  <c r="D184" i="2" s="1"/>
  <c r="D185" i="2" a="1"/>
  <c r="D185" i="2" s="1"/>
  <c r="D186" i="2" a="1"/>
  <c r="D186" i="2" s="1"/>
  <c r="D187" i="2" a="1"/>
  <c r="D187" i="2" s="1"/>
  <c r="D188" i="2" a="1"/>
  <c r="D188" i="2" s="1"/>
  <c r="D189" i="2" a="1"/>
  <c r="D189" i="2" s="1"/>
  <c r="D190" i="2" a="1"/>
  <c r="D190" i="2" s="1"/>
  <c r="D191" i="2" a="1"/>
  <c r="D191" i="2" s="1"/>
  <c r="D150" i="2" a="1"/>
  <c r="D150" i="2" s="1"/>
  <c r="D151" i="2" a="1"/>
  <c r="D151" i="2" s="1"/>
  <c r="D152" i="2" a="1"/>
  <c r="D152" i="2" s="1"/>
  <c r="D153" i="2" a="1"/>
  <c r="D153" i="2" s="1"/>
  <c r="D154" i="2" a="1"/>
  <c r="D154" i="2" s="1"/>
  <c r="D155" i="2" a="1"/>
  <c r="D155" i="2" s="1"/>
  <c r="D156" i="2" a="1"/>
  <c r="D156" i="2" s="1"/>
  <c r="D157" i="2" a="1"/>
  <c r="D157" i="2" s="1"/>
  <c r="D158" i="2" a="1"/>
  <c r="D158" i="2" s="1"/>
  <c r="D159" i="2" a="1"/>
  <c r="D159" i="2" s="1"/>
  <c r="D114" i="2" a="1"/>
  <c r="D114" i="2" s="1"/>
  <c r="D115" i="2" a="1"/>
  <c r="D115" i="2" s="1"/>
  <c r="D116" i="2" a="1"/>
  <c r="D116" i="2" s="1"/>
  <c r="D117" i="2" a="1"/>
  <c r="D117" i="2" s="1"/>
  <c r="D118" i="2" a="1"/>
  <c r="D118" i="2" s="1"/>
  <c r="D119" i="2" a="1"/>
  <c r="D119" i="2" s="1"/>
  <c r="D120" i="2" a="1"/>
  <c r="D120" i="2" s="1"/>
  <c r="D121" i="2" a="1"/>
  <c r="D121" i="2" s="1"/>
  <c r="D122" i="2" a="1"/>
  <c r="D122" i="2" s="1"/>
  <c r="D123" i="2" a="1"/>
  <c r="D123" i="2" s="1"/>
  <c r="D124" i="2" a="1"/>
  <c r="D124" i="2" s="1"/>
  <c r="D125" i="2" a="1"/>
  <c r="D125" i="2" s="1"/>
  <c r="D126" i="2" a="1"/>
  <c r="D126" i="2" s="1"/>
  <c r="D127" i="2" a="1"/>
  <c r="D127" i="2" s="1"/>
  <c r="D87" i="2" a="1"/>
  <c r="D87" i="2" s="1"/>
  <c r="D88" i="2" a="1"/>
  <c r="D88" i="2" s="1"/>
  <c r="D89" i="2" a="1"/>
  <c r="D89" i="2" s="1"/>
  <c r="D90" i="2" a="1"/>
  <c r="D90" i="2" s="1"/>
  <c r="D91" i="2" a="1"/>
  <c r="D91" i="2" s="1"/>
  <c r="D92" i="2" a="1"/>
  <c r="D92" i="2" s="1"/>
  <c r="D93" i="2" a="1"/>
  <c r="D93" i="2" s="1"/>
  <c r="D94" i="2" a="1"/>
  <c r="D94" i="2" s="1"/>
  <c r="D95" i="2" a="1"/>
  <c r="D95" i="2" s="1"/>
  <c r="D51" i="2" a="1"/>
  <c r="D51" i="2" s="1"/>
  <c r="D52" i="2" a="1"/>
  <c r="D52" i="2" s="1"/>
  <c r="D53" i="2" a="1"/>
  <c r="D53" i="2" s="1"/>
  <c r="D54" i="2" a="1"/>
  <c r="D54" i="2" s="1"/>
  <c r="D55" i="2" a="1"/>
  <c r="D55" i="2" s="1"/>
  <c r="D56" i="2" a="1"/>
  <c r="D56" i="2" s="1"/>
  <c r="D57" i="2" a="1"/>
  <c r="D57" i="2" s="1"/>
  <c r="D58" i="2" a="1"/>
  <c r="D58" i="2" s="1"/>
  <c r="D59" i="2" a="1"/>
  <c r="D59" i="2" s="1"/>
  <c r="D60" i="2" a="1"/>
  <c r="D60" i="2" s="1"/>
  <c r="D61" i="2" a="1"/>
  <c r="D61" i="2" s="1"/>
  <c r="D62" i="2" a="1"/>
  <c r="D62" i="2" s="1"/>
  <c r="D63" i="2" a="1"/>
  <c r="D63" i="2" s="1"/>
  <c r="D28" i="2" a="1"/>
  <c r="D28" i="2" s="1"/>
  <c r="D29" i="2" a="1"/>
  <c r="D29" i="2" s="1"/>
  <c r="D30" i="2" a="1"/>
  <c r="D30" i="2" s="1"/>
  <c r="D31" i="2" a="1"/>
  <c r="D31" i="2" s="1"/>
  <c r="O94" i="1" l="1"/>
  <c r="D137" i="2" s="1" a="1"/>
  <c r="D137" i="2" s="1"/>
  <c r="O74" i="1"/>
  <c r="D232" i="2" s="1" a="1"/>
  <c r="D232" i="2" s="1"/>
  <c r="E228" i="1"/>
  <c r="E208" i="1"/>
  <c r="O208" i="1"/>
  <c r="D79" i="2" s="1" a="1"/>
  <c r="D79" i="2" s="1"/>
  <c r="E108" i="1"/>
  <c r="E114" i="1"/>
  <c r="E155" i="1"/>
  <c r="E216" i="1"/>
  <c r="E187" i="1"/>
  <c r="E174" i="1"/>
  <c r="E172" i="1"/>
  <c r="O228" i="1"/>
  <c r="D80" i="2" s="1" a="1"/>
  <c r="D80" i="2" s="1"/>
  <c r="O187" i="1"/>
  <c r="D43" i="2" s="1" a="1"/>
  <c r="D43" i="2" s="1"/>
  <c r="O216" i="1"/>
  <c r="D203" i="2" s="1" a="1"/>
  <c r="D203" i="2" s="1"/>
  <c r="O172" i="1"/>
  <c r="D42" i="2" s="1" a="1"/>
  <c r="D42" i="2" s="1"/>
  <c r="O233" i="1"/>
  <c r="D241" i="2" s="1" a="1"/>
  <c r="D241" i="2" s="1"/>
  <c r="O194" i="1"/>
  <c r="D76" i="2" s="1" a="1"/>
  <c r="D76" i="2" s="1"/>
  <c r="E194" i="1"/>
  <c r="E233" i="1"/>
  <c r="O104" i="1"/>
  <c r="D71" i="2" s="1" a="1"/>
  <c r="D71" i="2" s="1"/>
  <c r="O50" i="1"/>
  <c r="D36" i="2" s="1" a="1"/>
  <c r="D36" i="2" s="1"/>
  <c r="E104" i="1"/>
  <c r="E50" i="1"/>
  <c r="E21" i="1"/>
  <c r="O21" i="1"/>
  <c r="D132" i="2" s="1" a="1"/>
  <c r="D132" i="2" s="1"/>
  <c r="O114" i="1"/>
  <c r="D17" i="2" s="1" a="1"/>
  <c r="D17" i="2" s="1"/>
  <c r="O108" i="1"/>
  <c r="D72" i="2" s="1" a="1"/>
  <c r="D72" i="2" s="1"/>
  <c r="O174" i="1"/>
  <c r="D20" i="2" s="1" a="1"/>
  <c r="D20" i="2" s="1"/>
  <c r="O155" i="1"/>
  <c r="D41" i="2" s="1" a="1"/>
  <c r="D41" i="2" s="1"/>
  <c r="E253" i="1"/>
  <c r="E188" i="1"/>
  <c r="E83" i="1"/>
  <c r="E42" i="1"/>
  <c r="E29" i="1"/>
  <c r="O83" i="1"/>
  <c r="D69" i="2" s="1" a="1"/>
  <c r="D69" i="2" s="1"/>
  <c r="O29" i="1"/>
  <c r="O253" i="1"/>
  <c r="D178" i="2" s="1" a="1"/>
  <c r="D178" i="2" s="1"/>
  <c r="O188" i="1"/>
  <c r="D44" i="2" s="1" a="1"/>
  <c r="D44" i="2" s="1"/>
  <c r="O42" i="1"/>
  <c r="D165" i="2" s="1" a="1"/>
  <c r="D165" i="2" s="1"/>
  <c r="O224" i="1"/>
  <c r="D24" i="2" s="1" a="1"/>
  <c r="D24" i="2" s="1"/>
  <c r="O223" i="1"/>
  <c r="D204" i="2" s="1" a="1"/>
  <c r="D204" i="2" s="1"/>
  <c r="I3" i="2" a="1"/>
  <c r="I3" i="2" s="1"/>
  <c r="O204" i="1" l="1"/>
  <c r="D78" i="2" s="1" a="1"/>
  <c r="D78" i="2" s="1"/>
  <c r="E204" i="1"/>
  <c r="A89" i="13"/>
  <c r="E89" i="13" s="1" a="1"/>
  <c r="E89" i="13" s="1"/>
  <c r="B89" i="13"/>
  <c r="C89" i="13"/>
  <c r="D89" i="13"/>
  <c r="A90" i="13"/>
  <c r="E90" i="13" s="1" a="1"/>
  <c r="E90" i="13" s="1"/>
  <c r="B90" i="13"/>
  <c r="C90" i="13"/>
  <c r="D90" i="13"/>
  <c r="A91" i="13"/>
  <c r="E91" i="13" s="1" a="1"/>
  <c r="E91" i="13" s="1"/>
  <c r="B91" i="13"/>
  <c r="C91" i="13"/>
  <c r="D91" i="13"/>
  <c r="A92" i="13"/>
  <c r="E92" i="13" s="1" a="1"/>
  <c r="E92" i="13" s="1"/>
  <c r="B92" i="13"/>
  <c r="C92" i="13"/>
  <c r="D92" i="13"/>
  <c r="A93" i="13"/>
  <c r="E93" i="13" s="1" a="1"/>
  <c r="E93" i="13" s="1"/>
  <c r="B93" i="13"/>
  <c r="C93" i="13"/>
  <c r="D93" i="13"/>
  <c r="A94" i="13"/>
  <c r="E94" i="13" s="1" a="1"/>
  <c r="E94" i="13" s="1"/>
  <c r="B94" i="13"/>
  <c r="C94" i="13"/>
  <c r="D94" i="13"/>
  <c r="A95" i="13"/>
  <c r="E95" i="13" s="1" a="1"/>
  <c r="E95" i="13" s="1"/>
  <c r="B95" i="13"/>
  <c r="C95" i="13"/>
  <c r="D95" i="13"/>
  <c r="A96" i="13"/>
  <c r="E96" i="13" s="1" a="1"/>
  <c r="E96" i="13" s="1"/>
  <c r="B96" i="13"/>
  <c r="C96" i="13"/>
  <c r="D96" i="13"/>
  <c r="A97" i="13"/>
  <c r="E97" i="13" s="1" a="1"/>
  <c r="E97" i="13" s="1"/>
  <c r="B97" i="13"/>
  <c r="C97" i="13"/>
  <c r="D97" i="13"/>
  <c r="A98" i="13"/>
  <c r="E98" i="13" s="1" a="1"/>
  <c r="E98" i="13" s="1"/>
  <c r="B98" i="13"/>
  <c r="C98" i="13"/>
  <c r="D98" i="13"/>
  <c r="A99" i="13"/>
  <c r="E99" i="13" s="1" a="1"/>
  <c r="E99" i="13" s="1"/>
  <c r="B99" i="13"/>
  <c r="C99" i="13"/>
  <c r="D99" i="13"/>
  <c r="A100" i="13"/>
  <c r="E100" i="13" s="1" a="1"/>
  <c r="E100" i="13" s="1"/>
  <c r="B100" i="13"/>
  <c r="C100" i="13"/>
  <c r="D100" i="13"/>
  <c r="A101" i="13"/>
  <c r="E101" i="13" s="1" a="1"/>
  <c r="E101" i="13" s="1"/>
  <c r="B101" i="13"/>
  <c r="C101" i="13"/>
  <c r="D101" i="13"/>
  <c r="A102" i="13"/>
  <c r="E102" i="13" s="1" a="1"/>
  <c r="E102" i="13" s="1"/>
  <c r="B102" i="13"/>
  <c r="C102" i="13"/>
  <c r="D102" i="13"/>
  <c r="A103" i="13"/>
  <c r="E103" i="13" s="1" a="1"/>
  <c r="E103" i="13" s="1"/>
  <c r="B103" i="13"/>
  <c r="C103" i="13"/>
  <c r="D103" i="13"/>
  <c r="A104" i="13"/>
  <c r="E104" i="13" s="1" a="1"/>
  <c r="E104" i="13" s="1"/>
  <c r="B104" i="13"/>
  <c r="C104" i="13"/>
  <c r="D104" i="13"/>
  <c r="A105" i="13"/>
  <c r="E105" i="13" s="1" a="1"/>
  <c r="E105" i="13" s="1"/>
  <c r="B105" i="13"/>
  <c r="C105" i="13"/>
  <c r="D105" i="13"/>
  <c r="A106" i="13"/>
  <c r="E106" i="13" s="1" a="1"/>
  <c r="E106" i="13" s="1"/>
  <c r="B106" i="13"/>
  <c r="C106" i="13"/>
  <c r="D106" i="13"/>
  <c r="A107" i="13"/>
  <c r="E107" i="13" s="1" a="1"/>
  <c r="E107" i="13" s="1"/>
  <c r="B107" i="13"/>
  <c r="C107" i="13"/>
  <c r="D107" i="13"/>
  <c r="A108" i="13"/>
  <c r="E108" i="13" s="1" a="1"/>
  <c r="E108" i="13" s="1"/>
  <c r="B108" i="13"/>
  <c r="C108" i="13"/>
  <c r="D108" i="13"/>
  <c r="A109" i="13"/>
  <c r="E109" i="13" s="1" a="1"/>
  <c r="E109" i="13" s="1"/>
  <c r="B109" i="13"/>
  <c r="C109" i="13"/>
  <c r="D109" i="13"/>
  <c r="A110" i="13"/>
  <c r="E110" i="13" s="1" a="1"/>
  <c r="E110" i="13" s="1"/>
  <c r="B110" i="13"/>
  <c r="C110" i="13"/>
  <c r="D110" i="13"/>
  <c r="A111" i="13"/>
  <c r="E111" i="13" s="1" a="1"/>
  <c r="E111" i="13" s="1"/>
  <c r="B111" i="13"/>
  <c r="C111" i="13"/>
  <c r="D111" i="13"/>
  <c r="A112" i="13"/>
  <c r="E112" i="13" s="1" a="1"/>
  <c r="E112" i="13" s="1"/>
  <c r="B112" i="13"/>
  <c r="C112" i="13"/>
  <c r="D112" i="13"/>
  <c r="A113" i="13"/>
  <c r="E113" i="13" s="1" a="1"/>
  <c r="E113" i="13" s="1"/>
  <c r="B113" i="13"/>
  <c r="C113" i="13"/>
  <c r="D113" i="13"/>
  <c r="A114" i="13"/>
  <c r="E114" i="13" s="1" a="1"/>
  <c r="E114" i="13" s="1"/>
  <c r="B114" i="13"/>
  <c r="C114" i="13"/>
  <c r="D114" i="13"/>
  <c r="A115" i="13"/>
  <c r="E115" i="13" s="1" a="1"/>
  <c r="E115" i="13" s="1"/>
  <c r="B115" i="13"/>
  <c r="C115" i="13"/>
  <c r="D115" i="13"/>
  <c r="A116" i="13"/>
  <c r="E116" i="13" s="1" a="1"/>
  <c r="E116" i="13" s="1"/>
  <c r="B116" i="13"/>
  <c r="C116" i="13"/>
  <c r="D116" i="13"/>
  <c r="A117" i="13"/>
  <c r="E117" i="13" s="1" a="1"/>
  <c r="E117" i="13" s="1"/>
  <c r="B117" i="13"/>
  <c r="C117" i="13"/>
  <c r="D117" i="13"/>
  <c r="A118" i="13"/>
  <c r="E118" i="13" s="1" a="1"/>
  <c r="E118" i="13" s="1"/>
  <c r="B118" i="13"/>
  <c r="C118" i="13"/>
  <c r="D118" i="13"/>
  <c r="A119" i="13"/>
  <c r="E119" i="13" s="1" a="1"/>
  <c r="E119" i="13" s="1"/>
  <c r="B119" i="13"/>
  <c r="C119" i="13"/>
  <c r="D119" i="13"/>
  <c r="A120" i="13"/>
  <c r="E120" i="13" s="1" a="1"/>
  <c r="E120" i="13" s="1"/>
  <c r="B120" i="13"/>
  <c r="C120" i="13"/>
  <c r="D120" i="13"/>
  <c r="A121" i="13"/>
  <c r="E121" i="13" s="1" a="1"/>
  <c r="E121" i="13" s="1"/>
  <c r="B121" i="13"/>
  <c r="C121" i="13"/>
  <c r="D121" i="13"/>
  <c r="A122" i="13"/>
  <c r="E122" i="13" s="1" a="1"/>
  <c r="E122" i="13" s="1"/>
  <c r="B122" i="13"/>
  <c r="C122" i="13"/>
  <c r="D122" i="13"/>
  <c r="A123" i="13"/>
  <c r="E123" i="13" s="1" a="1"/>
  <c r="E123" i="13" s="1"/>
  <c r="B123" i="13"/>
  <c r="C123" i="13"/>
  <c r="D123" i="13"/>
  <c r="A124" i="13"/>
  <c r="E124" i="13" s="1" a="1"/>
  <c r="E124" i="13" s="1"/>
  <c r="B124" i="13"/>
  <c r="C124" i="13"/>
  <c r="D124" i="13"/>
  <c r="A125" i="13"/>
  <c r="E125" i="13" s="1" a="1"/>
  <c r="E125" i="13" s="1"/>
  <c r="B125" i="13"/>
  <c r="C125" i="13"/>
  <c r="D125" i="13"/>
  <c r="A126" i="13"/>
  <c r="E126" i="13" s="1" a="1"/>
  <c r="E126" i="13" s="1"/>
  <c r="B126" i="13"/>
  <c r="C126" i="13"/>
  <c r="D126" i="13"/>
  <c r="A127" i="13"/>
  <c r="E127" i="13" s="1" a="1"/>
  <c r="E127" i="13" s="1"/>
  <c r="B127" i="13"/>
  <c r="C127" i="13"/>
  <c r="D127" i="13"/>
  <c r="A128" i="13"/>
  <c r="E128" i="13" s="1" a="1"/>
  <c r="E128" i="13" s="1"/>
  <c r="B128" i="13"/>
  <c r="C128" i="13"/>
  <c r="D128" i="13"/>
  <c r="A129" i="13"/>
  <c r="E129" i="13" s="1" a="1"/>
  <c r="E129" i="13" s="1"/>
  <c r="B129" i="13"/>
  <c r="C129" i="13"/>
  <c r="D129" i="13"/>
  <c r="A130" i="13"/>
  <c r="E130" i="13" s="1" a="1"/>
  <c r="E130" i="13" s="1"/>
  <c r="B130" i="13"/>
  <c r="C130" i="13"/>
  <c r="D130" i="13"/>
  <c r="A131" i="13"/>
  <c r="E131" i="13" s="1" a="1"/>
  <c r="E131" i="13" s="1"/>
  <c r="B131" i="13"/>
  <c r="C131" i="13"/>
  <c r="D131" i="13"/>
  <c r="A132" i="13"/>
  <c r="E132" i="13" s="1" a="1"/>
  <c r="E132" i="13" s="1"/>
  <c r="B132" i="13"/>
  <c r="C132" i="13"/>
  <c r="D132" i="13"/>
  <c r="A133" i="13"/>
  <c r="E133" i="13" s="1" a="1"/>
  <c r="E133" i="13" s="1"/>
  <c r="B133" i="13"/>
  <c r="C133" i="13"/>
  <c r="D133" i="13"/>
  <c r="A134" i="13"/>
  <c r="E134" i="13" s="1" a="1"/>
  <c r="E134" i="13" s="1"/>
  <c r="B134" i="13"/>
  <c r="C134" i="13"/>
  <c r="D134" i="13"/>
  <c r="A135" i="13"/>
  <c r="E135" i="13" s="1" a="1"/>
  <c r="E135" i="13" s="1"/>
  <c r="B135" i="13"/>
  <c r="C135" i="13"/>
  <c r="D135" i="13"/>
  <c r="A136" i="13"/>
  <c r="E136" i="13" s="1" a="1"/>
  <c r="E136" i="13" s="1"/>
  <c r="B136" i="13"/>
  <c r="C136" i="13"/>
  <c r="D136" i="13"/>
  <c r="A137" i="13"/>
  <c r="E137" i="13" s="1" a="1"/>
  <c r="E137" i="13" s="1"/>
  <c r="B137" i="13"/>
  <c r="C137" i="13"/>
  <c r="D137" i="13"/>
  <c r="A138" i="13"/>
  <c r="E138" i="13" s="1" a="1"/>
  <c r="E138" i="13" s="1"/>
  <c r="B138" i="13"/>
  <c r="C138" i="13"/>
  <c r="D138" i="13"/>
  <c r="A139" i="13"/>
  <c r="E139" i="13" s="1" a="1"/>
  <c r="E139" i="13" s="1"/>
  <c r="B139" i="13"/>
  <c r="C139" i="13"/>
  <c r="D139" i="13"/>
  <c r="A140" i="13"/>
  <c r="E140" i="13" s="1" a="1"/>
  <c r="E140" i="13" s="1"/>
  <c r="B140" i="13"/>
  <c r="C140" i="13"/>
  <c r="D140" i="13"/>
  <c r="A141" i="13"/>
  <c r="E141" i="13" s="1" a="1"/>
  <c r="E141" i="13" s="1"/>
  <c r="B141" i="13"/>
  <c r="C141" i="13"/>
  <c r="D141" i="13"/>
  <c r="A142" i="13"/>
  <c r="E142" i="13" s="1" a="1"/>
  <c r="E142" i="13" s="1"/>
  <c r="B142" i="13"/>
  <c r="C142" i="13"/>
  <c r="D142" i="13"/>
  <c r="A143" i="13"/>
  <c r="E143" i="13" s="1" a="1"/>
  <c r="E143" i="13" s="1"/>
  <c r="B143" i="13"/>
  <c r="C143" i="13"/>
  <c r="D143" i="13"/>
  <c r="A144" i="13"/>
  <c r="E144" i="13" s="1" a="1"/>
  <c r="E144" i="13" s="1"/>
  <c r="B144" i="13"/>
  <c r="C144" i="13"/>
  <c r="D144" i="13"/>
  <c r="A145" i="13"/>
  <c r="E145" i="13" s="1" a="1"/>
  <c r="E145" i="13" s="1"/>
  <c r="B145" i="13"/>
  <c r="C145" i="13"/>
  <c r="D145" i="13"/>
  <c r="A146" i="13"/>
  <c r="E146" i="13" s="1" a="1"/>
  <c r="E146" i="13" s="1"/>
  <c r="B146" i="13"/>
  <c r="C146" i="13"/>
  <c r="D146" i="13"/>
  <c r="A147" i="13"/>
  <c r="E147" i="13" s="1" a="1"/>
  <c r="E147" i="13" s="1"/>
  <c r="B147" i="13"/>
  <c r="C147" i="13"/>
  <c r="D147" i="13"/>
  <c r="A148" i="13"/>
  <c r="E148" i="13" s="1" a="1"/>
  <c r="E148" i="13" s="1"/>
  <c r="B148" i="13"/>
  <c r="C148" i="13"/>
  <c r="D148" i="13"/>
  <c r="A149" i="13"/>
  <c r="E149" i="13" s="1" a="1"/>
  <c r="E149" i="13" s="1"/>
  <c r="B149" i="13"/>
  <c r="C149" i="13"/>
  <c r="D149" i="13"/>
  <c r="A150" i="13"/>
  <c r="E150" i="13" s="1" a="1"/>
  <c r="E150" i="13" s="1"/>
  <c r="B150" i="13"/>
  <c r="C150" i="13"/>
  <c r="D150" i="13"/>
  <c r="A151" i="13"/>
  <c r="E151" i="13" s="1" a="1"/>
  <c r="E151" i="13" s="1"/>
  <c r="B151" i="13"/>
  <c r="C151" i="13"/>
  <c r="D151" i="13"/>
  <c r="A152" i="13"/>
  <c r="E152" i="13" s="1" a="1"/>
  <c r="E152" i="13" s="1"/>
  <c r="B152" i="13"/>
  <c r="C152" i="13"/>
  <c r="D152" i="13"/>
  <c r="A153" i="13"/>
  <c r="E153" i="13" s="1" a="1"/>
  <c r="E153" i="13" s="1"/>
  <c r="B153" i="13"/>
  <c r="C153" i="13"/>
  <c r="D153" i="13"/>
  <c r="A154" i="13"/>
  <c r="E154" i="13" s="1" a="1"/>
  <c r="E154" i="13" s="1"/>
  <c r="B154" i="13"/>
  <c r="C154" i="13"/>
  <c r="D154" i="13"/>
  <c r="A155" i="13"/>
  <c r="E155" i="13" s="1" a="1"/>
  <c r="E155" i="13" s="1"/>
  <c r="B155" i="13"/>
  <c r="C155" i="13"/>
  <c r="D155" i="13"/>
  <c r="A156" i="13"/>
  <c r="E156" i="13" s="1" a="1"/>
  <c r="E156" i="13" s="1"/>
  <c r="B156" i="13"/>
  <c r="C156" i="13"/>
  <c r="D156" i="13"/>
  <c r="A157" i="13"/>
  <c r="E157" i="13" s="1" a="1"/>
  <c r="E157" i="13" s="1"/>
  <c r="B157" i="13"/>
  <c r="C157" i="13"/>
  <c r="D157" i="13"/>
  <c r="A158" i="13"/>
  <c r="E158" i="13" s="1" a="1"/>
  <c r="E158" i="13" s="1"/>
  <c r="B158" i="13"/>
  <c r="C158" i="13"/>
  <c r="D158" i="13"/>
  <c r="A159" i="13"/>
  <c r="E159" i="13" s="1" a="1"/>
  <c r="E159" i="13" s="1"/>
  <c r="B159" i="13"/>
  <c r="C159" i="13"/>
  <c r="D159" i="13"/>
  <c r="A160" i="13"/>
  <c r="E160" i="13" s="1" a="1"/>
  <c r="E160" i="13" s="1"/>
  <c r="B160" i="13"/>
  <c r="C160" i="13"/>
  <c r="D160" i="13"/>
  <c r="A161" i="13"/>
  <c r="E161" i="13" s="1" a="1"/>
  <c r="E161" i="13" s="1"/>
  <c r="B161" i="13"/>
  <c r="C161" i="13"/>
  <c r="D161" i="13"/>
  <c r="A162" i="13"/>
  <c r="E162" i="13" s="1" a="1"/>
  <c r="E162" i="13" s="1"/>
  <c r="B162" i="13"/>
  <c r="C162" i="13"/>
  <c r="D162" i="13"/>
  <c r="A163" i="13"/>
  <c r="E163" i="13" s="1" a="1"/>
  <c r="E163" i="13" s="1"/>
  <c r="B163" i="13"/>
  <c r="C163" i="13"/>
  <c r="D163" i="13"/>
  <c r="A164" i="13"/>
  <c r="E164" i="13" s="1" a="1"/>
  <c r="E164" i="13" s="1"/>
  <c r="B164" i="13"/>
  <c r="C164" i="13"/>
  <c r="D164" i="13"/>
  <c r="A165" i="13"/>
  <c r="E165" i="13" s="1" a="1"/>
  <c r="E165" i="13" s="1"/>
  <c r="B165" i="13"/>
  <c r="C165" i="13"/>
  <c r="D165" i="13"/>
  <c r="A166" i="13"/>
  <c r="E166" i="13" s="1" a="1"/>
  <c r="E166" i="13" s="1"/>
  <c r="B166" i="13"/>
  <c r="C166" i="13"/>
  <c r="D166" i="13"/>
  <c r="A167" i="13"/>
  <c r="E167" i="13" s="1" a="1"/>
  <c r="E167" i="13" s="1"/>
  <c r="B167" i="13"/>
  <c r="C167" i="13"/>
  <c r="D167" i="13"/>
  <c r="A168" i="13"/>
  <c r="E168" i="13" s="1" a="1"/>
  <c r="E168" i="13" s="1"/>
  <c r="B168" i="13"/>
  <c r="C168" i="13"/>
  <c r="D168" i="13"/>
  <c r="A169" i="13"/>
  <c r="E169" i="13" s="1" a="1"/>
  <c r="E169" i="13" s="1"/>
  <c r="B169" i="13"/>
  <c r="C169" i="13"/>
  <c r="D169" i="13"/>
  <c r="A170" i="13"/>
  <c r="E170" i="13" s="1" a="1"/>
  <c r="E170" i="13" s="1"/>
  <c r="B170" i="13"/>
  <c r="C170" i="13"/>
  <c r="D170" i="13"/>
  <c r="A171" i="13"/>
  <c r="E171" i="13" s="1" a="1"/>
  <c r="E171" i="13" s="1"/>
  <c r="B171" i="13"/>
  <c r="C171" i="13"/>
  <c r="D171" i="13"/>
  <c r="A172" i="13"/>
  <c r="E172" i="13" s="1" a="1"/>
  <c r="E172" i="13" s="1"/>
  <c r="B172" i="13"/>
  <c r="C172" i="13"/>
  <c r="D172" i="13"/>
  <c r="A173" i="13"/>
  <c r="E173" i="13" s="1" a="1"/>
  <c r="E173" i="13" s="1"/>
  <c r="B173" i="13"/>
  <c r="C173" i="13"/>
  <c r="D173" i="13"/>
  <c r="A174" i="13"/>
  <c r="E174" i="13" s="1" a="1"/>
  <c r="E174" i="13" s="1"/>
  <c r="B174" i="13"/>
  <c r="C174" i="13"/>
  <c r="D174" i="13"/>
  <c r="A175" i="13"/>
  <c r="E175" i="13" s="1" a="1"/>
  <c r="E175" i="13" s="1"/>
  <c r="B175" i="13"/>
  <c r="C175" i="13"/>
  <c r="D175" i="13"/>
  <c r="A176" i="13"/>
  <c r="E176" i="13" s="1" a="1"/>
  <c r="E176" i="13" s="1"/>
  <c r="B176" i="13"/>
  <c r="C176" i="13"/>
  <c r="D176" i="13"/>
  <c r="A177" i="13"/>
  <c r="E177" i="13" s="1" a="1"/>
  <c r="E177" i="13" s="1"/>
  <c r="B177" i="13"/>
  <c r="C177" i="13"/>
  <c r="D177" i="13"/>
  <c r="A178" i="13"/>
  <c r="E178" i="13" s="1" a="1"/>
  <c r="E178" i="13" s="1"/>
  <c r="B178" i="13"/>
  <c r="C178" i="13"/>
  <c r="D178" i="13"/>
  <c r="A179" i="13"/>
  <c r="E179" i="13" s="1" a="1"/>
  <c r="E179" i="13" s="1"/>
  <c r="B179" i="13"/>
  <c r="C179" i="13"/>
  <c r="D179" i="13"/>
  <c r="A180" i="13"/>
  <c r="E180" i="13" s="1" a="1"/>
  <c r="E180" i="13" s="1"/>
  <c r="B180" i="13"/>
  <c r="C180" i="13"/>
  <c r="D180" i="13"/>
  <c r="A181" i="13"/>
  <c r="E181" i="13" s="1" a="1"/>
  <c r="E181" i="13" s="1"/>
  <c r="B181" i="13"/>
  <c r="C181" i="13"/>
  <c r="D181" i="13"/>
  <c r="A182" i="13"/>
  <c r="E182" i="13" s="1" a="1"/>
  <c r="E182" i="13" s="1"/>
  <c r="B182" i="13"/>
  <c r="C182" i="13"/>
  <c r="D182" i="13"/>
  <c r="A183" i="13"/>
  <c r="E183" i="13" s="1" a="1"/>
  <c r="E183" i="13" s="1"/>
  <c r="B183" i="13"/>
  <c r="C183" i="13"/>
  <c r="D183" i="13"/>
  <c r="A184" i="13"/>
  <c r="E184" i="13" s="1" a="1"/>
  <c r="E184" i="13" s="1"/>
  <c r="B184" i="13"/>
  <c r="C184" i="13"/>
  <c r="D184" i="13"/>
  <c r="A185" i="13"/>
  <c r="E185" i="13" s="1" a="1"/>
  <c r="E185" i="13" s="1"/>
  <c r="B185" i="13"/>
  <c r="C185" i="13"/>
  <c r="D185" i="13"/>
  <c r="A186" i="13"/>
  <c r="E186" i="13" s="1" a="1"/>
  <c r="E186" i="13" s="1"/>
  <c r="B186" i="13"/>
  <c r="C186" i="13"/>
  <c r="D186" i="13"/>
  <c r="A187" i="13"/>
  <c r="E187" i="13" s="1" a="1"/>
  <c r="E187" i="13" s="1"/>
  <c r="B187" i="13"/>
  <c r="C187" i="13"/>
  <c r="D187" i="13"/>
  <c r="A188" i="13"/>
  <c r="E188" i="13" s="1" a="1"/>
  <c r="E188" i="13" s="1"/>
  <c r="B188" i="13"/>
  <c r="C188" i="13"/>
  <c r="D188" i="13"/>
  <c r="A189" i="13"/>
  <c r="E189" i="13" s="1" a="1"/>
  <c r="E189" i="13" s="1"/>
  <c r="B189" i="13"/>
  <c r="C189" i="13"/>
  <c r="D189" i="13"/>
  <c r="A190" i="13"/>
  <c r="E190" i="13" s="1" a="1"/>
  <c r="E190" i="13" s="1"/>
  <c r="B190" i="13"/>
  <c r="C190" i="13"/>
  <c r="D190" i="13"/>
  <c r="A191" i="13"/>
  <c r="E191" i="13" s="1" a="1"/>
  <c r="E191" i="13" s="1"/>
  <c r="B191" i="13"/>
  <c r="C191" i="13"/>
  <c r="D191" i="13"/>
  <c r="A192" i="13"/>
  <c r="E192" i="13" s="1" a="1"/>
  <c r="E192" i="13" s="1"/>
  <c r="B192" i="13"/>
  <c r="C192" i="13"/>
  <c r="D192" i="13"/>
  <c r="A193" i="13"/>
  <c r="E193" i="13" s="1" a="1"/>
  <c r="E193" i="13" s="1"/>
  <c r="B193" i="13"/>
  <c r="C193" i="13"/>
  <c r="D193" i="13"/>
  <c r="A194" i="13"/>
  <c r="E194" i="13" s="1" a="1"/>
  <c r="E194" i="13" s="1"/>
  <c r="B194" i="13"/>
  <c r="C194" i="13"/>
  <c r="D194" i="13"/>
  <c r="A195" i="13"/>
  <c r="E195" i="13" s="1" a="1"/>
  <c r="E195" i="13" s="1"/>
  <c r="B195" i="13"/>
  <c r="C195" i="13"/>
  <c r="D195" i="13"/>
  <c r="A196" i="13"/>
  <c r="E196" i="13" s="1" a="1"/>
  <c r="E196" i="13" s="1"/>
  <c r="B196" i="13"/>
  <c r="C196" i="13"/>
  <c r="D196" i="13"/>
  <c r="A197" i="13"/>
  <c r="E197" i="13" s="1" a="1"/>
  <c r="E197" i="13" s="1"/>
  <c r="B197" i="13"/>
  <c r="C197" i="13"/>
  <c r="D197" i="13"/>
  <c r="A198" i="13"/>
  <c r="E198" i="13" s="1" a="1"/>
  <c r="E198" i="13" s="1"/>
  <c r="B198" i="13"/>
  <c r="C198" i="13"/>
  <c r="D198" i="13"/>
  <c r="A199" i="13"/>
  <c r="E199" i="13" s="1" a="1"/>
  <c r="E199" i="13" s="1"/>
  <c r="B199" i="13"/>
  <c r="C199" i="13"/>
  <c r="D199" i="13"/>
  <c r="A200" i="13"/>
  <c r="E200" i="13" s="1" a="1"/>
  <c r="E200" i="13" s="1"/>
  <c r="B200" i="13"/>
  <c r="C200" i="13"/>
  <c r="D200" i="13"/>
  <c r="A201" i="13"/>
  <c r="E201" i="13" s="1" a="1"/>
  <c r="E201" i="13" s="1"/>
  <c r="B201" i="13"/>
  <c r="C201" i="13"/>
  <c r="D201" i="13"/>
  <c r="A202" i="13"/>
  <c r="E202" i="13" s="1" a="1"/>
  <c r="E202" i="13" s="1"/>
  <c r="B202" i="13"/>
  <c r="C202" i="13"/>
  <c r="D202" i="13"/>
  <c r="A203" i="13"/>
  <c r="E203" i="13" s="1" a="1"/>
  <c r="E203" i="13" s="1"/>
  <c r="B203" i="13"/>
  <c r="C203" i="13"/>
  <c r="D203" i="13"/>
  <c r="A204" i="13"/>
  <c r="E204" i="13" s="1" a="1"/>
  <c r="E204" i="13" s="1"/>
  <c r="B204" i="13"/>
  <c r="C204" i="13"/>
  <c r="D204" i="13"/>
  <c r="A205" i="13"/>
  <c r="E205" i="13" s="1" a="1"/>
  <c r="E205" i="13" s="1"/>
  <c r="B205" i="13"/>
  <c r="C205" i="13"/>
  <c r="D205" i="13"/>
  <c r="A206" i="13"/>
  <c r="E206" i="13" s="1" a="1"/>
  <c r="E206" i="13" s="1"/>
  <c r="B206" i="13"/>
  <c r="C206" i="13"/>
  <c r="D206" i="13"/>
  <c r="A207" i="13"/>
  <c r="E207" i="13" s="1" a="1"/>
  <c r="E207" i="13" s="1"/>
  <c r="B207" i="13"/>
  <c r="C207" i="13"/>
  <c r="D207" i="13"/>
  <c r="A208" i="13"/>
  <c r="E208" i="13" s="1" a="1"/>
  <c r="E208" i="13" s="1"/>
  <c r="B208" i="13"/>
  <c r="C208" i="13"/>
  <c r="D208" i="13"/>
  <c r="A209" i="13"/>
  <c r="E209" i="13" s="1" a="1"/>
  <c r="E209" i="13" s="1"/>
  <c r="B209" i="13"/>
  <c r="C209" i="13"/>
  <c r="D209" i="13"/>
  <c r="A210" i="13"/>
  <c r="E210" i="13" s="1" a="1"/>
  <c r="E210" i="13" s="1"/>
  <c r="B210" i="13"/>
  <c r="C210" i="13"/>
  <c r="D210" i="13"/>
  <c r="A211" i="13"/>
  <c r="E211" i="13" s="1" a="1"/>
  <c r="E211" i="13" s="1"/>
  <c r="B211" i="13"/>
  <c r="C211" i="13"/>
  <c r="D211" i="13"/>
  <c r="A212" i="13"/>
  <c r="E212" i="13" s="1" a="1"/>
  <c r="E212" i="13" s="1"/>
  <c r="B212" i="13"/>
  <c r="C212" i="13"/>
  <c r="D212" i="13"/>
  <c r="A213" i="13"/>
  <c r="E213" i="13" s="1" a="1"/>
  <c r="E213" i="13" s="1"/>
  <c r="B213" i="13"/>
  <c r="C213" i="13"/>
  <c r="D213" i="13"/>
  <c r="A214" i="13"/>
  <c r="E214" i="13" s="1" a="1"/>
  <c r="E214" i="13" s="1"/>
  <c r="B214" i="13"/>
  <c r="C214" i="13"/>
  <c r="D214" i="13"/>
  <c r="A215" i="13"/>
  <c r="E215" i="13" s="1" a="1"/>
  <c r="E215" i="13" s="1"/>
  <c r="B215" i="13"/>
  <c r="C215" i="13"/>
  <c r="D215" i="13"/>
  <c r="A216" i="13"/>
  <c r="E216" i="13" s="1" a="1"/>
  <c r="E216" i="13" s="1"/>
  <c r="B216" i="13"/>
  <c r="C216" i="13"/>
  <c r="D216" i="13"/>
  <c r="A217" i="13"/>
  <c r="E217" i="13" s="1" a="1"/>
  <c r="E217" i="13" s="1"/>
  <c r="B217" i="13"/>
  <c r="C217" i="13"/>
  <c r="D217" i="13"/>
  <c r="A218" i="13"/>
  <c r="E218" i="13" s="1" a="1"/>
  <c r="E218" i="13" s="1"/>
  <c r="B218" i="13"/>
  <c r="C218" i="13"/>
  <c r="D218" i="13"/>
  <c r="A219" i="13"/>
  <c r="E219" i="13" s="1" a="1"/>
  <c r="E219" i="13" s="1"/>
  <c r="B219" i="13"/>
  <c r="C219" i="13"/>
  <c r="D219" i="13"/>
  <c r="A220" i="13"/>
  <c r="E220" i="13" s="1" a="1"/>
  <c r="E220" i="13" s="1"/>
  <c r="B220" i="13"/>
  <c r="C220" i="13"/>
  <c r="D220" i="13"/>
  <c r="A221" i="13"/>
  <c r="E221" i="13" s="1" a="1"/>
  <c r="E221" i="13" s="1"/>
  <c r="B221" i="13"/>
  <c r="C221" i="13"/>
  <c r="D221" i="13"/>
  <c r="A222" i="13"/>
  <c r="E222" i="13" s="1" a="1"/>
  <c r="E222" i="13" s="1"/>
  <c r="B222" i="13"/>
  <c r="C222" i="13"/>
  <c r="D222" i="13"/>
  <c r="A223" i="13"/>
  <c r="E223" i="13" s="1" a="1"/>
  <c r="E223" i="13" s="1"/>
  <c r="B223" i="13"/>
  <c r="C223" i="13"/>
  <c r="D223" i="13"/>
  <c r="A224" i="13"/>
  <c r="E224" i="13" s="1" a="1"/>
  <c r="E224" i="13" s="1"/>
  <c r="B224" i="13"/>
  <c r="C224" i="13"/>
  <c r="D224" i="13"/>
  <c r="A225" i="13"/>
  <c r="E225" i="13" s="1" a="1"/>
  <c r="E225" i="13" s="1"/>
  <c r="B225" i="13"/>
  <c r="C225" i="13"/>
  <c r="D225" i="13"/>
  <c r="A226" i="13"/>
  <c r="E226" i="13" s="1" a="1"/>
  <c r="E226" i="13" s="1"/>
  <c r="B226" i="13"/>
  <c r="C226" i="13"/>
  <c r="D226" i="13"/>
  <c r="A227" i="13"/>
  <c r="E227" i="13" s="1" a="1"/>
  <c r="E227" i="13" s="1"/>
  <c r="B227" i="13"/>
  <c r="C227" i="13"/>
  <c r="D227" i="13"/>
  <c r="A228" i="13"/>
  <c r="E228" i="13" s="1" a="1"/>
  <c r="E228" i="13" s="1"/>
  <c r="B228" i="13"/>
  <c r="C228" i="13"/>
  <c r="D228" i="13"/>
  <c r="A229" i="13"/>
  <c r="E229" i="13" s="1" a="1"/>
  <c r="E229" i="13" s="1"/>
  <c r="B229" i="13"/>
  <c r="C229" i="13"/>
  <c r="D229" i="13"/>
  <c r="A230" i="13"/>
  <c r="E230" i="13" s="1" a="1"/>
  <c r="E230" i="13" s="1"/>
  <c r="B230" i="13"/>
  <c r="C230" i="13"/>
  <c r="D230" i="13"/>
  <c r="A231" i="13"/>
  <c r="E231" i="13" s="1" a="1"/>
  <c r="E231" i="13" s="1"/>
  <c r="B231" i="13"/>
  <c r="C231" i="13"/>
  <c r="D231" i="13"/>
  <c r="A232" i="13"/>
  <c r="E232" i="13" s="1" a="1"/>
  <c r="E232" i="13" s="1"/>
  <c r="B232" i="13"/>
  <c r="C232" i="13"/>
  <c r="D232" i="13"/>
  <c r="A233" i="13"/>
  <c r="E233" i="13" s="1" a="1"/>
  <c r="E233" i="13" s="1"/>
  <c r="B233" i="13"/>
  <c r="C233" i="13"/>
  <c r="D233" i="13"/>
  <c r="A234" i="13"/>
  <c r="E234" i="13" s="1" a="1"/>
  <c r="E234" i="13" s="1"/>
  <c r="B234" i="13"/>
  <c r="C234" i="13"/>
  <c r="D234" i="13"/>
  <c r="A235" i="13"/>
  <c r="E235" i="13" s="1" a="1"/>
  <c r="E235" i="13" s="1"/>
  <c r="B235" i="13"/>
  <c r="C235" i="13"/>
  <c r="D235" i="13"/>
  <c r="A236" i="13"/>
  <c r="E236" i="13" s="1" a="1"/>
  <c r="E236" i="13" s="1"/>
  <c r="B236" i="13"/>
  <c r="C236" i="13"/>
  <c r="D236" i="13"/>
  <c r="A237" i="13"/>
  <c r="E237" i="13" s="1" a="1"/>
  <c r="E237" i="13" s="1"/>
  <c r="B237" i="13"/>
  <c r="C237" i="13"/>
  <c r="D237" i="13"/>
  <c r="A238" i="13"/>
  <c r="E238" i="13" s="1" a="1"/>
  <c r="E238" i="13" s="1"/>
  <c r="B238" i="13"/>
  <c r="C238" i="13"/>
  <c r="D238" i="13"/>
  <c r="A239" i="13"/>
  <c r="E239" i="13" s="1" a="1"/>
  <c r="E239" i="13" s="1"/>
  <c r="B239" i="13"/>
  <c r="C239" i="13"/>
  <c r="D239" i="13"/>
  <c r="A240" i="13"/>
  <c r="E240" i="13" s="1" a="1"/>
  <c r="E240" i="13" s="1"/>
  <c r="B240" i="13"/>
  <c r="C240" i="13"/>
  <c r="D240" i="13"/>
  <c r="A241" i="13"/>
  <c r="E241" i="13" s="1" a="1"/>
  <c r="E241" i="13" s="1"/>
  <c r="B241" i="13"/>
  <c r="C241" i="13"/>
  <c r="D241" i="13"/>
  <c r="A242" i="13"/>
  <c r="E242" i="13" s="1" a="1"/>
  <c r="E242" i="13" s="1"/>
  <c r="B242" i="13"/>
  <c r="C242" i="13"/>
  <c r="D242" i="13"/>
  <c r="A243" i="13"/>
  <c r="E243" i="13" s="1" a="1"/>
  <c r="E243" i="13" s="1"/>
  <c r="B243" i="13"/>
  <c r="C243" i="13"/>
  <c r="D243" i="13"/>
  <c r="A244" i="13"/>
  <c r="E244" i="13" s="1" a="1"/>
  <c r="E244" i="13" s="1"/>
  <c r="B244" i="13"/>
  <c r="C244" i="13"/>
  <c r="D244" i="13"/>
  <c r="A245" i="13"/>
  <c r="E245" i="13" s="1" a="1"/>
  <c r="E245" i="13" s="1"/>
  <c r="B245" i="13"/>
  <c r="C245" i="13"/>
  <c r="D245" i="13"/>
  <c r="A246" i="13"/>
  <c r="E246" i="13" s="1" a="1"/>
  <c r="E246" i="13" s="1"/>
  <c r="B246" i="13"/>
  <c r="C246" i="13"/>
  <c r="D246" i="13"/>
  <c r="A247" i="13"/>
  <c r="E247" i="13" s="1" a="1"/>
  <c r="E247" i="13" s="1"/>
  <c r="B247" i="13"/>
  <c r="C247" i="13"/>
  <c r="D247" i="13"/>
  <c r="A248" i="13"/>
  <c r="E248" i="13" s="1" a="1"/>
  <c r="E248" i="13" s="1"/>
  <c r="B248" i="13"/>
  <c r="C248" i="13"/>
  <c r="D248" i="13"/>
  <c r="A249" i="13"/>
  <c r="E249" i="13" s="1" a="1"/>
  <c r="E249" i="13" s="1"/>
  <c r="B249" i="13"/>
  <c r="C249" i="13"/>
  <c r="D249" i="13"/>
  <c r="A250" i="13"/>
  <c r="E250" i="13" s="1" a="1"/>
  <c r="E250" i="13" s="1"/>
  <c r="B250" i="13"/>
  <c r="C250" i="13"/>
  <c r="D250" i="13"/>
  <c r="A251" i="13"/>
  <c r="E251" i="13" s="1" a="1"/>
  <c r="E251" i="13" s="1"/>
  <c r="B251" i="13"/>
  <c r="C251" i="13"/>
  <c r="D251" i="13"/>
  <c r="A252" i="13"/>
  <c r="E252" i="13" s="1" a="1"/>
  <c r="E252" i="13" s="1"/>
  <c r="B252" i="13"/>
  <c r="C252" i="13"/>
  <c r="D252" i="13"/>
  <c r="A253" i="13"/>
  <c r="E253" i="13" s="1" a="1"/>
  <c r="E253" i="13" s="1"/>
  <c r="B253" i="13"/>
  <c r="C253" i="13"/>
  <c r="D253" i="13"/>
  <c r="A254" i="13"/>
  <c r="E254" i="13" s="1" a="1"/>
  <c r="E254" i="13" s="1"/>
  <c r="B254" i="13"/>
  <c r="C254" i="13"/>
  <c r="D254" i="13"/>
  <c r="A255" i="13"/>
  <c r="E255" i="13" s="1" a="1"/>
  <c r="E255" i="13" s="1"/>
  <c r="B255" i="13"/>
  <c r="C255" i="13"/>
  <c r="D255" i="13"/>
  <c r="A256" i="13"/>
  <c r="E256" i="13" s="1" a="1"/>
  <c r="E256" i="13" s="1"/>
  <c r="B256" i="13"/>
  <c r="C256" i="13"/>
  <c r="D256" i="13"/>
  <c r="A257" i="13"/>
  <c r="E257" i="13" s="1" a="1"/>
  <c r="E257" i="13" s="1"/>
  <c r="B257" i="13"/>
  <c r="C257" i="13"/>
  <c r="D257" i="13"/>
  <c r="A258" i="13"/>
  <c r="E258" i="13" s="1" a="1"/>
  <c r="E258" i="13" s="1"/>
  <c r="B258" i="13"/>
  <c r="C258" i="13"/>
  <c r="D258" i="13"/>
  <c r="A259" i="13"/>
  <c r="E259" i="13" s="1" a="1"/>
  <c r="E259" i="13" s="1"/>
  <c r="B259" i="13"/>
  <c r="C259" i="13"/>
  <c r="D259" i="13"/>
  <c r="A260" i="13"/>
  <c r="E260" i="13" s="1" a="1"/>
  <c r="E260" i="13" s="1"/>
  <c r="B260" i="13"/>
  <c r="C260" i="13"/>
  <c r="D260" i="13"/>
  <c r="A261" i="13"/>
  <c r="E261" i="13" s="1" a="1"/>
  <c r="E261" i="13" s="1"/>
  <c r="B261" i="13"/>
  <c r="C261" i="13"/>
  <c r="D261" i="13"/>
  <c r="A262" i="13"/>
  <c r="E262" i="13" s="1" a="1"/>
  <c r="E262" i="13" s="1"/>
  <c r="B262" i="13"/>
  <c r="C262" i="13"/>
  <c r="D262" i="13"/>
  <c r="A263" i="13"/>
  <c r="E263" i="13" s="1" a="1"/>
  <c r="E263" i="13" s="1"/>
  <c r="B263" i="13"/>
  <c r="C263" i="13"/>
  <c r="D263" i="13"/>
  <c r="A264" i="13"/>
  <c r="E264" i="13" s="1" a="1"/>
  <c r="E264" i="13" s="1"/>
  <c r="B264" i="13"/>
  <c r="C264" i="13"/>
  <c r="D264" i="13"/>
  <c r="A265" i="13"/>
  <c r="E265" i="13" s="1" a="1"/>
  <c r="E265" i="13" s="1"/>
  <c r="B265" i="13"/>
  <c r="C265" i="13"/>
  <c r="D265" i="13"/>
  <c r="A266" i="13"/>
  <c r="E266" i="13" s="1" a="1"/>
  <c r="E266" i="13" s="1"/>
  <c r="B266" i="13"/>
  <c r="C266" i="13"/>
  <c r="D266" i="13"/>
  <c r="A267" i="13"/>
  <c r="E267" i="13" s="1" a="1"/>
  <c r="E267" i="13" s="1"/>
  <c r="B267" i="13"/>
  <c r="C267" i="13"/>
  <c r="D267" i="13"/>
  <c r="A268" i="13"/>
  <c r="E268" i="13" s="1" a="1"/>
  <c r="E268" i="13" s="1"/>
  <c r="B268" i="13"/>
  <c r="C268" i="13"/>
  <c r="D268" i="13"/>
  <c r="A269" i="13"/>
  <c r="E269" i="13" s="1" a="1"/>
  <c r="E269" i="13" s="1"/>
  <c r="B269" i="13"/>
  <c r="C269" i="13"/>
  <c r="D269" i="13"/>
  <c r="A270" i="13"/>
  <c r="E270" i="13" s="1" a="1"/>
  <c r="E270" i="13" s="1"/>
  <c r="B270" i="13"/>
  <c r="C270" i="13"/>
  <c r="D270" i="13"/>
  <c r="A271" i="13"/>
  <c r="E271" i="13" s="1" a="1"/>
  <c r="E271" i="13" s="1"/>
  <c r="B271" i="13"/>
  <c r="C271" i="13"/>
  <c r="D271" i="13"/>
  <c r="E224" i="1"/>
  <c r="O167" i="1" l="1"/>
  <c r="E167" i="1"/>
  <c r="O23" i="1"/>
  <c r="D35" i="2" s="1" a="1"/>
  <c r="D35" i="2" s="1"/>
  <c r="O180" i="1"/>
  <c r="O140" i="1"/>
  <c r="O139" i="1"/>
  <c r="E23" i="1"/>
  <c r="E180" i="1"/>
  <c r="E140" i="1"/>
  <c r="E139" i="1"/>
  <c r="O148" i="1"/>
  <c r="D74" i="2" s="1" a="1"/>
  <c r="D74" i="2" s="1"/>
  <c r="E148" i="1"/>
  <c r="E190" i="1"/>
  <c r="O190" i="1"/>
  <c r="D202" i="2" s="1" a="1"/>
  <c r="D202" i="2" s="1"/>
  <c r="E242" i="1"/>
  <c r="O242" i="1"/>
  <c r="D110" i="2" s="1" a="1"/>
  <c r="D110" i="2" s="1"/>
  <c r="O150" i="1"/>
  <c r="D40" i="2" s="1" a="1"/>
  <c r="D40" i="2" s="1"/>
  <c r="O125" i="1"/>
  <c r="D39" i="2" s="1" a="1"/>
  <c r="D39" i="2" s="1"/>
  <c r="E150" i="1"/>
  <c r="E125" i="1"/>
  <c r="O195" i="1"/>
  <c r="E195" i="1"/>
  <c r="O136" i="1"/>
  <c r="D104" i="2" s="1" a="1"/>
  <c r="D104" i="2" s="1"/>
  <c r="E136" i="1"/>
  <c r="O181" i="1"/>
  <c r="E181" i="1"/>
  <c r="E9" i="1"/>
  <c r="E38" i="1"/>
  <c r="E39" i="1"/>
  <c r="O39" i="1"/>
  <c r="O38" i="1"/>
  <c r="O9" i="1"/>
  <c r="E231" i="1"/>
  <c r="O231" i="1"/>
  <c r="O132" i="1"/>
  <c r="E132" i="1"/>
  <c r="O256" i="1"/>
  <c r="E256" i="1"/>
  <c r="O80" i="1"/>
  <c r="E80" i="1"/>
  <c r="O255" i="1"/>
  <c r="E255" i="1"/>
  <c r="E258" i="1"/>
  <c r="O258" i="1"/>
  <c r="D47" i="2" s="1" a="1"/>
  <c r="D47" i="2" s="1"/>
  <c r="E20" i="1"/>
  <c r="O20" i="1"/>
  <c r="E160" i="1"/>
  <c r="O160" i="1"/>
  <c r="O111" i="1"/>
  <c r="D139" i="2" s="1" a="1"/>
  <c r="D139" i="2" s="1"/>
  <c r="E111" i="1"/>
  <c r="O235" i="1"/>
  <c r="E235" i="1"/>
  <c r="E197" i="1"/>
  <c r="O197" i="1"/>
  <c r="D45" i="2" s="1" a="1"/>
  <c r="D45" i="2" s="1"/>
  <c r="E70" i="1"/>
  <c r="O70" i="1"/>
  <c r="O65" i="1"/>
  <c r="O66" i="1"/>
  <c r="E34" i="1"/>
  <c r="E65" i="1"/>
  <c r="E66" i="1"/>
  <c r="O34" i="1"/>
  <c r="O18" i="1"/>
  <c r="D5" i="2" s="1" a="1"/>
  <c r="D5" i="2" s="1"/>
  <c r="E18" i="1"/>
  <c r="D66" i="2" l="1" a="1"/>
  <c r="D66" i="2" s="1"/>
  <c r="D34" i="2" a="1"/>
  <c r="D34" i="2" s="1"/>
  <c r="O152" i="1"/>
  <c r="D18" i="2" s="1" a="1"/>
  <c r="D18" i="2" s="1"/>
  <c r="E152" i="1"/>
  <c r="O86" i="1" l="1"/>
  <c r="E86" i="1"/>
  <c r="O206" i="1"/>
  <c r="D22" i="2" s="1" a="1"/>
  <c r="D22" i="2" s="1"/>
  <c r="E206" i="1"/>
  <c r="O28" i="1" l="1"/>
  <c r="D8" i="2" s="1" a="1"/>
  <c r="D8" i="2" s="1"/>
  <c r="E28" i="1"/>
  <c r="O151" i="1" l="1"/>
  <c r="D172" i="2" s="1" a="1"/>
  <c r="D172" i="2" s="1"/>
  <c r="E151" i="1"/>
  <c r="N2" i="8" l="1"/>
  <c r="G65" i="3"/>
  <c r="F65" i="3"/>
  <c r="E65" i="3"/>
  <c r="G64" i="3"/>
  <c r="F64" i="3"/>
  <c r="E64" i="3"/>
  <c r="G63" i="3"/>
  <c r="F63" i="3"/>
  <c r="E63" i="3"/>
  <c r="G62" i="3"/>
  <c r="F62" i="3"/>
  <c r="E62" i="3"/>
  <c r="G61" i="3"/>
  <c r="F61" i="3"/>
  <c r="E61" i="3"/>
  <c r="G60" i="3"/>
  <c r="F60" i="3"/>
  <c r="E60" i="3"/>
  <c r="G59" i="3"/>
  <c r="F59" i="3"/>
  <c r="E59" i="3"/>
  <c r="G58" i="3"/>
  <c r="F58" i="3"/>
  <c r="E58" i="3"/>
  <c r="G57" i="3"/>
  <c r="F57" i="3"/>
  <c r="E57" i="3"/>
  <c r="G56" i="3"/>
  <c r="F56" i="3"/>
  <c r="E56" i="3"/>
  <c r="G55" i="3"/>
  <c r="F55" i="3"/>
  <c r="E55" i="3"/>
  <c r="G54" i="3"/>
  <c r="F54" i="3"/>
  <c r="E54" i="3"/>
  <c r="G53" i="3"/>
  <c r="F53" i="3"/>
  <c r="E53" i="3"/>
  <c r="G52" i="3"/>
  <c r="F52" i="3"/>
  <c r="E52" i="3"/>
  <c r="O100" i="1" l="1"/>
  <c r="E100" i="1" l="1"/>
  <c r="O221" i="1"/>
  <c r="D109" i="2" s="1" a="1"/>
  <c r="D109" i="2" s="1"/>
  <c r="O115" i="1" l="1"/>
  <c r="D169" i="2" s="1" a="1"/>
  <c r="D169" i="2" s="1"/>
  <c r="O110" i="1"/>
  <c r="E115" i="1"/>
  <c r="E110" i="1"/>
  <c r="O118" i="1"/>
  <c r="D73" i="2" s="1" a="1"/>
  <c r="D73" i="2" s="1"/>
  <c r="E118" i="1"/>
  <c r="O184" i="1"/>
  <c r="E184" i="1"/>
  <c r="O210" i="1" l="1"/>
  <c r="D175" i="2" s="1" a="1"/>
  <c r="D175" i="2" s="1"/>
  <c r="E210" i="1"/>
  <c r="O201" i="1"/>
  <c r="D77" i="2" s="1" a="1"/>
  <c r="D77" i="2" s="1"/>
  <c r="E201" i="1"/>
  <c r="O189" i="1"/>
  <c r="E189" i="1"/>
  <c r="O254" i="1" l="1"/>
  <c r="E254" i="1"/>
  <c r="O134" i="1"/>
  <c r="E134" i="1"/>
  <c r="O186" i="1"/>
  <c r="D75" i="2" s="1" a="1"/>
  <c r="D75" i="2" s="1"/>
  <c r="E186" i="1"/>
  <c r="O141" i="1"/>
  <c r="E141" i="1"/>
  <c r="O249" i="1"/>
  <c r="D82" i="2" s="1" a="1"/>
  <c r="D82" i="2" s="1"/>
  <c r="E249" i="1"/>
  <c r="O220" i="1"/>
  <c r="D240" i="2" s="1" a="1"/>
  <c r="D240" i="2" s="1"/>
  <c r="E220" i="1"/>
  <c r="O203" i="1"/>
  <c r="E203" i="1"/>
  <c r="O109" i="1"/>
  <c r="E109" i="1"/>
  <c r="O60" i="1"/>
  <c r="D135" i="2" s="1" a="1"/>
  <c r="D135" i="2" s="1"/>
  <c r="E60" i="1"/>
  <c r="O3" i="1"/>
  <c r="D99" i="2" s="1" a="1"/>
  <c r="D99" i="2" s="1"/>
  <c r="E3" i="1"/>
  <c r="O49" i="1"/>
  <c r="D68" i="2" s="1" a="1"/>
  <c r="D68" i="2" s="1"/>
  <c r="O217" i="1"/>
  <c r="D46" i="2" s="1" a="1"/>
  <c r="D46" i="2" s="1"/>
  <c r="E217" i="1"/>
  <c r="O202" i="1"/>
  <c r="E202" i="1"/>
  <c r="O131" i="1"/>
  <c r="E131" i="1"/>
  <c r="O128" i="1"/>
  <c r="O129" i="1"/>
  <c r="E129" i="1"/>
  <c r="E128" i="1"/>
  <c r="O97" i="1"/>
  <c r="D37" i="2" s="1" a="1"/>
  <c r="D37" i="2" s="1"/>
  <c r="E97" i="1"/>
  <c r="O37" i="1"/>
  <c r="D164" i="2" s="1" a="1"/>
  <c r="D164" i="2" s="1"/>
  <c r="E37" i="1"/>
  <c r="O17" i="1"/>
  <c r="E17" i="1"/>
  <c r="O16" i="1"/>
  <c r="E16" i="1"/>
  <c r="O4" i="1"/>
  <c r="E4" i="1"/>
  <c r="D86" i="2" l="1" a="1"/>
  <c r="D86" i="2" s="1"/>
  <c r="D85" i="2" a="1"/>
  <c r="D85" i="2" s="1"/>
  <c r="A6" i="13"/>
  <c r="A88" i="13"/>
  <c r="A87" i="13"/>
  <c r="A86" i="13"/>
  <c r="A85" i="13"/>
  <c r="A84" i="13"/>
  <c r="A83" i="13"/>
  <c r="A82" i="13"/>
  <c r="A81" i="13"/>
  <c r="A79" i="13"/>
  <c r="A76" i="13"/>
  <c r="A72" i="13"/>
  <c r="A71" i="13"/>
  <c r="A70" i="13"/>
  <c r="A69" i="13"/>
  <c r="A68" i="13"/>
  <c r="A67" i="13"/>
  <c r="A66" i="13"/>
  <c r="A64" i="13"/>
  <c r="A63" i="13"/>
  <c r="A62" i="13"/>
  <c r="A60" i="13"/>
  <c r="A59" i="13"/>
  <c r="A58" i="13"/>
  <c r="A56" i="13"/>
  <c r="A55" i="13"/>
  <c r="A53" i="13"/>
  <c r="A52" i="13"/>
  <c r="A51" i="13"/>
  <c r="A50" i="13"/>
  <c r="A49" i="13"/>
  <c r="A46" i="13"/>
  <c r="A45" i="13"/>
  <c r="A44" i="13"/>
  <c r="A43" i="13"/>
  <c r="A42" i="13"/>
  <c r="A41" i="13"/>
  <c r="A40" i="13"/>
  <c r="A39" i="13"/>
  <c r="A38" i="13"/>
  <c r="A37" i="13"/>
  <c r="A36" i="13"/>
  <c r="A35" i="13"/>
  <c r="A34" i="13"/>
  <c r="A31" i="13"/>
  <c r="A29" i="13"/>
  <c r="A27" i="13"/>
  <c r="A26" i="13"/>
  <c r="A25" i="13"/>
  <c r="A24" i="13"/>
  <c r="A23" i="13"/>
  <c r="A20" i="13"/>
  <c r="A19" i="13"/>
  <c r="A18" i="13"/>
  <c r="A17" i="13"/>
  <c r="A14" i="13"/>
  <c r="A12" i="13"/>
  <c r="A11" i="13"/>
  <c r="A7" i="13"/>
  <c r="O222" i="1" l="1"/>
  <c r="J222" i="1"/>
  <c r="E222" i="1"/>
  <c r="O112" i="1" l="1"/>
  <c r="D16" i="2" s="1" a="1"/>
  <c r="D16" i="2" s="1"/>
  <c r="J112" i="1"/>
  <c r="O164" i="1"/>
  <c r="D141" i="2" s="1" a="1"/>
  <c r="D141" i="2" s="1"/>
  <c r="J164" i="1"/>
  <c r="E164" i="1"/>
  <c r="E112" i="1"/>
  <c r="O173" i="1"/>
  <c r="J173" i="1"/>
  <c r="E173" i="1"/>
  <c r="O99" i="1"/>
  <c r="D233" i="2" s="1" a="1"/>
  <c r="D233" i="2" s="1"/>
  <c r="J99" i="1"/>
  <c r="E99" i="1"/>
  <c r="C81" i="13" l="1"/>
  <c r="D81" i="13"/>
  <c r="C82" i="13"/>
  <c r="D82" i="13"/>
  <c r="C83" i="13"/>
  <c r="D83" i="13"/>
  <c r="C84" i="13"/>
  <c r="D84" i="13"/>
  <c r="C85" i="13"/>
  <c r="D85" i="13"/>
  <c r="C86" i="13"/>
  <c r="D86" i="13"/>
  <c r="C87" i="13"/>
  <c r="D87" i="13"/>
  <c r="C88" i="13"/>
  <c r="D88" i="13"/>
  <c r="B81" i="13"/>
  <c r="B82" i="13"/>
  <c r="B83" i="13"/>
  <c r="B84" i="13"/>
  <c r="B85" i="13"/>
  <c r="B86" i="13"/>
  <c r="B87" i="13"/>
  <c r="B88" i="13"/>
  <c r="O11" i="1" l="1"/>
  <c r="J11" i="1"/>
  <c r="E11" i="1"/>
  <c r="O183" i="1"/>
  <c r="J183" i="1"/>
  <c r="E183" i="1"/>
  <c r="O32" i="1" l="1"/>
  <c r="J32" i="1"/>
  <c r="E32" i="1"/>
  <c r="O7" i="1" l="1"/>
  <c r="D131" i="2" s="1" a="1"/>
  <c r="D131" i="2" s="1"/>
  <c r="J7" i="1"/>
  <c r="E7" i="1"/>
  <c r="O178" i="1" l="1"/>
  <c r="D107" i="2" s="1" a="1"/>
  <c r="D107" i="2" s="1"/>
  <c r="J178" i="1"/>
  <c r="E178" i="1"/>
  <c r="O156" i="1"/>
  <c r="J156" i="1"/>
  <c r="E156" i="1"/>
  <c r="O260" i="1"/>
  <c r="J260" i="1"/>
  <c r="E260" i="1"/>
  <c r="O41" i="1"/>
  <c r="J41" i="1"/>
  <c r="E41" i="1"/>
  <c r="O252" i="1" l="1"/>
  <c r="J252" i="1"/>
  <c r="E252" i="1"/>
  <c r="O117" i="1"/>
  <c r="J117" i="1"/>
  <c r="E117" i="1"/>
  <c r="O124" i="1"/>
  <c r="D38" i="2" s="1" a="1"/>
  <c r="D38" i="2" s="1"/>
  <c r="J124" i="1"/>
  <c r="E124" i="1"/>
  <c r="O72" i="1" l="1"/>
  <c r="J72" i="1"/>
  <c r="E72" i="1"/>
  <c r="O68" i="1"/>
  <c r="J68" i="1"/>
  <c r="E68" i="1"/>
  <c r="O26" i="1"/>
  <c r="J26" i="1"/>
  <c r="E26" i="1"/>
  <c r="O121" i="1"/>
  <c r="J121" i="1"/>
  <c r="E121" i="1"/>
  <c r="O143" i="1"/>
  <c r="D170" i="2" s="1" a="1"/>
  <c r="D170" i="2" s="1"/>
  <c r="J143" i="1"/>
  <c r="E143" i="1"/>
  <c r="O229" i="1"/>
  <c r="D81" i="2" s="1" a="1"/>
  <c r="D81" i="2" s="1"/>
  <c r="J229" i="1"/>
  <c r="E229" i="1"/>
  <c r="O250" i="1"/>
  <c r="D111" i="2" s="1" a="1"/>
  <c r="D111" i="2" s="1"/>
  <c r="J250" i="1"/>
  <c r="E250" i="1"/>
  <c r="D84" i="2" l="1" a="1"/>
  <c r="D84" i="2" s="1"/>
  <c r="O158" i="1"/>
  <c r="D19" i="2" s="1" a="1"/>
  <c r="D19" i="2" s="1"/>
  <c r="J158" i="1"/>
  <c r="E158" i="1"/>
  <c r="O193" i="1"/>
  <c r="J193" i="1"/>
  <c r="E193" i="1"/>
  <c r="O85" i="1"/>
  <c r="D70" i="2" s="1" a="1"/>
  <c r="D70" i="2" s="1"/>
  <c r="J85" i="1" l="1"/>
  <c r="E85" i="1"/>
  <c r="O157" i="1" l="1"/>
  <c r="D105" i="2" s="1" a="1"/>
  <c r="D105" i="2" s="1"/>
  <c r="J157" i="1"/>
  <c r="E157" i="1"/>
  <c r="O2" i="1"/>
  <c r="D98" i="2" s="1" a="1"/>
  <c r="D98" i="2" s="1"/>
  <c r="J2" i="1"/>
  <c r="E2" i="1"/>
  <c r="O95" i="1" l="1"/>
  <c r="D102" i="2" s="1" a="1"/>
  <c r="D102" i="2" s="1"/>
  <c r="J95" i="1"/>
  <c r="E95" i="1"/>
  <c r="O96" i="1"/>
  <c r="J96" i="1"/>
  <c r="E96" i="1"/>
  <c r="O234" i="1"/>
  <c r="J234" i="1"/>
  <c r="E234" i="1"/>
  <c r="O236" i="1"/>
  <c r="J236" i="1"/>
  <c r="E236" i="1"/>
  <c r="O267" i="1"/>
  <c r="D48" i="2" s="1" a="1"/>
  <c r="D48" i="2" s="1"/>
  <c r="J267" i="1"/>
  <c r="E267" i="1"/>
  <c r="B249" i="2" l="1" a="1"/>
  <c r="B249" i="2" s="1"/>
  <c r="C249" i="2" a="1"/>
  <c r="C249" i="2" s="1"/>
  <c r="E249" i="2" a="1"/>
  <c r="E249" i="2" s="1"/>
  <c r="F249" i="2" a="1"/>
  <c r="F249" i="2" s="1"/>
  <c r="G249" i="2" a="1"/>
  <c r="G249" i="2" s="1"/>
  <c r="H249" i="2" a="1"/>
  <c r="H249" i="2" s="1"/>
  <c r="I249" i="2" a="1"/>
  <c r="I249" i="2" s="1"/>
  <c r="B250" i="2" a="1"/>
  <c r="B250" i="2" s="1"/>
  <c r="C250" i="2" a="1"/>
  <c r="C250" i="2" s="1"/>
  <c r="E250" i="2" a="1"/>
  <c r="E250" i="2" s="1"/>
  <c r="F250" i="2" a="1"/>
  <c r="F250" i="2" s="1"/>
  <c r="G250" i="2" a="1"/>
  <c r="G250" i="2" s="1"/>
  <c r="H250" i="2" a="1"/>
  <c r="H250" i="2" s="1"/>
  <c r="I250" i="2" a="1"/>
  <c r="I250" i="2" s="1"/>
  <c r="B251" i="2" a="1"/>
  <c r="B251" i="2" s="1"/>
  <c r="C251" i="2" a="1"/>
  <c r="C251" i="2" s="1"/>
  <c r="E251" i="2" a="1"/>
  <c r="E251" i="2" s="1"/>
  <c r="F251" i="2" a="1"/>
  <c r="F251" i="2" s="1"/>
  <c r="G251" i="2" a="1"/>
  <c r="G251" i="2" s="1"/>
  <c r="H251" i="2" a="1"/>
  <c r="H251" i="2" s="1"/>
  <c r="I251" i="2" a="1"/>
  <c r="I251" i="2" s="1"/>
  <c r="B252" i="2" a="1"/>
  <c r="B252" i="2" s="1"/>
  <c r="C252" i="2" a="1"/>
  <c r="C252" i="2" s="1"/>
  <c r="E252" i="2" a="1"/>
  <c r="E252" i="2" s="1"/>
  <c r="F252" i="2" a="1"/>
  <c r="F252" i="2" s="1"/>
  <c r="G252" i="2" a="1"/>
  <c r="G252" i="2" s="1"/>
  <c r="H252" i="2" a="1"/>
  <c r="H252" i="2" s="1"/>
  <c r="I252" i="2" a="1"/>
  <c r="I252" i="2" s="1"/>
  <c r="B253" i="2" a="1"/>
  <c r="B253" i="2" s="1"/>
  <c r="C253" i="2" a="1"/>
  <c r="C253" i="2" s="1"/>
  <c r="E253" i="2" a="1"/>
  <c r="E253" i="2" s="1"/>
  <c r="F253" i="2" a="1"/>
  <c r="F253" i="2" s="1"/>
  <c r="G253" i="2" a="1"/>
  <c r="G253" i="2" s="1"/>
  <c r="H253" i="2" a="1"/>
  <c r="H253" i="2" s="1"/>
  <c r="I253" i="2" a="1"/>
  <c r="I253" i="2" s="1"/>
  <c r="B254" i="2" a="1"/>
  <c r="B254" i="2" s="1"/>
  <c r="A254" i="2" s="1"/>
  <c r="C254" i="2" a="1"/>
  <c r="C254" i="2" s="1"/>
  <c r="E254" i="2" a="1"/>
  <c r="E254" i="2" s="1"/>
  <c r="F254" i="2" a="1"/>
  <c r="F254" i="2" s="1"/>
  <c r="G254" i="2" a="1"/>
  <c r="G254" i="2" s="1"/>
  <c r="H254" i="2" a="1"/>
  <c r="H254" i="2" s="1"/>
  <c r="I254" i="2" a="1"/>
  <c r="I254" i="2" s="1"/>
  <c r="B255" i="2" a="1"/>
  <c r="B255" i="2" s="1"/>
  <c r="A255" i="2" s="1"/>
  <c r="C255" i="2" a="1"/>
  <c r="C255" i="2" s="1"/>
  <c r="E255" i="2" a="1"/>
  <c r="E255" i="2" s="1"/>
  <c r="F255" i="2" a="1"/>
  <c r="F255" i="2" s="1"/>
  <c r="G255" i="2" a="1"/>
  <c r="G255" i="2" s="1"/>
  <c r="H255" i="2" a="1"/>
  <c r="H255" i="2" s="1"/>
  <c r="I255" i="2" a="1"/>
  <c r="I255" i="2" s="1"/>
  <c r="I226" i="2" a="1"/>
  <c r="I226" i="2" s="1"/>
  <c r="H226" i="2" a="1"/>
  <c r="H226" i="2" s="1"/>
  <c r="G226" i="2" a="1"/>
  <c r="G226" i="2" s="1"/>
  <c r="F226" i="2" a="1"/>
  <c r="F226" i="2" s="1"/>
  <c r="E226" i="2" a="1"/>
  <c r="E226" i="2" s="1"/>
  <c r="C226" i="2" a="1"/>
  <c r="C226" i="2" s="1"/>
  <c r="B226" i="2" a="1"/>
  <c r="B226" i="2" s="1"/>
  <c r="I224" i="2"/>
  <c r="A249" i="2" l="1"/>
  <c r="A250" i="2" s="1"/>
  <c r="A251" i="2" s="1"/>
  <c r="A252" i="2" s="1"/>
  <c r="A253" i="2" s="1"/>
  <c r="C251" i="16"/>
  <c r="C253" i="16"/>
  <c r="C254" i="16"/>
  <c r="C256" i="16"/>
  <c r="C265" i="16"/>
  <c r="C266" i="16"/>
  <c r="C267" i="16"/>
  <c r="C268" i="16"/>
  <c r="C269" i="16"/>
  <c r="C270" i="16"/>
  <c r="C271" i="16"/>
  <c r="C272" i="16"/>
  <c r="C273" i="16"/>
  <c r="C274" i="16"/>
  <c r="C275" i="16"/>
  <c r="C276" i="16"/>
  <c r="B3" i="16"/>
  <c r="B4" i="16"/>
  <c r="B5" i="16"/>
  <c r="B6" i="16"/>
  <c r="B7" i="16"/>
  <c r="B8" i="16"/>
  <c r="B9" i="16"/>
  <c r="B10" i="16"/>
  <c r="B11" i="16"/>
  <c r="B12" i="16"/>
  <c r="B13" i="16"/>
  <c r="B14" i="16"/>
  <c r="B15" i="16"/>
  <c r="B16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B55" i="16"/>
  <c r="B56" i="16"/>
  <c r="B57" i="16"/>
  <c r="B58" i="16"/>
  <c r="B59" i="16"/>
  <c r="B60" i="16"/>
  <c r="B61" i="16"/>
  <c r="B62" i="16"/>
  <c r="B63" i="16"/>
  <c r="B64" i="16"/>
  <c r="B65" i="16"/>
  <c r="B66" i="16"/>
  <c r="B67" i="16"/>
  <c r="B68" i="16"/>
  <c r="B69" i="16"/>
  <c r="B70" i="16"/>
  <c r="B71" i="16"/>
  <c r="B72" i="16"/>
  <c r="B73" i="16"/>
  <c r="B74" i="16"/>
  <c r="B75" i="16"/>
  <c r="B76" i="16"/>
  <c r="B77" i="16"/>
  <c r="B78" i="16"/>
  <c r="B79" i="16"/>
  <c r="B80" i="16"/>
  <c r="B81" i="16"/>
  <c r="B82" i="16"/>
  <c r="B83" i="16"/>
  <c r="B84" i="16"/>
  <c r="B85" i="16"/>
  <c r="B86" i="16"/>
  <c r="B87" i="16"/>
  <c r="B88" i="16"/>
  <c r="B89" i="16"/>
  <c r="B90" i="16"/>
  <c r="B91" i="16"/>
  <c r="B92" i="16"/>
  <c r="B93" i="16"/>
  <c r="B94" i="16"/>
  <c r="B95" i="16"/>
  <c r="B96" i="16"/>
  <c r="B97" i="16"/>
  <c r="B98" i="16"/>
  <c r="B99" i="16"/>
  <c r="B100" i="16"/>
  <c r="B101" i="16"/>
  <c r="B102" i="16"/>
  <c r="B103" i="16"/>
  <c r="B104" i="16"/>
  <c r="B105" i="16"/>
  <c r="B106" i="16"/>
  <c r="B107" i="16"/>
  <c r="B108" i="16"/>
  <c r="B109" i="16"/>
  <c r="B110" i="16"/>
  <c r="B111" i="16"/>
  <c r="B112" i="16"/>
  <c r="B113" i="16"/>
  <c r="B114" i="16"/>
  <c r="B115" i="16"/>
  <c r="B116" i="16"/>
  <c r="B117" i="16"/>
  <c r="B118" i="16"/>
  <c r="B119" i="16"/>
  <c r="B120" i="16"/>
  <c r="B121" i="16"/>
  <c r="B122" i="16"/>
  <c r="B123" i="16"/>
  <c r="B124" i="16"/>
  <c r="B125" i="16"/>
  <c r="B126" i="16"/>
  <c r="B127" i="16"/>
  <c r="B128" i="16"/>
  <c r="B129" i="16"/>
  <c r="B130" i="16"/>
  <c r="B131" i="16"/>
  <c r="B132" i="16"/>
  <c r="B133" i="16"/>
  <c r="B134" i="16"/>
  <c r="B135" i="16"/>
  <c r="B136" i="16"/>
  <c r="B137" i="16"/>
  <c r="B138" i="16"/>
  <c r="B139" i="16"/>
  <c r="B140" i="16"/>
  <c r="B141" i="16"/>
  <c r="B142" i="16"/>
  <c r="B143" i="16"/>
  <c r="B144" i="16"/>
  <c r="B145" i="16"/>
  <c r="B146" i="16"/>
  <c r="B147" i="16"/>
  <c r="B148" i="16"/>
  <c r="B149" i="16"/>
  <c r="B150" i="16"/>
  <c r="B151" i="16"/>
  <c r="B152" i="16"/>
  <c r="B153" i="16"/>
  <c r="B154" i="16"/>
  <c r="B155" i="16"/>
  <c r="B156" i="16"/>
  <c r="B157" i="16"/>
  <c r="B158" i="16"/>
  <c r="B159" i="16"/>
  <c r="B160" i="16"/>
  <c r="B161" i="16"/>
  <c r="B162" i="16"/>
  <c r="B163" i="16"/>
  <c r="B164" i="16"/>
  <c r="B165" i="16"/>
  <c r="B166" i="16"/>
  <c r="B167" i="16"/>
  <c r="B168" i="16"/>
  <c r="B169" i="16"/>
  <c r="B170" i="16"/>
  <c r="B171" i="16"/>
  <c r="B172" i="16"/>
  <c r="B173" i="16"/>
  <c r="B174" i="16"/>
  <c r="B175" i="16"/>
  <c r="B176" i="16"/>
  <c r="B177" i="16"/>
  <c r="B178" i="16"/>
  <c r="B179" i="16"/>
  <c r="B180" i="16"/>
  <c r="B181" i="16"/>
  <c r="B182" i="16"/>
  <c r="B183" i="16"/>
  <c r="B184" i="16"/>
  <c r="B185" i="16"/>
  <c r="B186" i="16"/>
  <c r="B187" i="16"/>
  <c r="B188" i="16"/>
  <c r="B189" i="16"/>
  <c r="B190" i="16"/>
  <c r="B191" i="16"/>
  <c r="B192" i="16"/>
  <c r="B193" i="16"/>
  <c r="B194" i="16"/>
  <c r="B195" i="16"/>
  <c r="B196" i="16"/>
  <c r="B197" i="16"/>
  <c r="B198" i="16"/>
  <c r="B199" i="16"/>
  <c r="B200" i="16"/>
  <c r="B201" i="16"/>
  <c r="B202" i="16"/>
  <c r="B203" i="16"/>
  <c r="B204" i="16"/>
  <c r="B205" i="16"/>
  <c r="B206" i="16"/>
  <c r="B207" i="16"/>
  <c r="B208" i="16"/>
  <c r="B209" i="16"/>
  <c r="B210" i="16"/>
  <c r="B211" i="16"/>
  <c r="B212" i="16"/>
  <c r="B213" i="16"/>
  <c r="B214" i="16"/>
  <c r="B215" i="16"/>
  <c r="B216" i="16"/>
  <c r="B217" i="16"/>
  <c r="B218" i="16"/>
  <c r="B219" i="16"/>
  <c r="B220" i="16"/>
  <c r="B221" i="16"/>
  <c r="B222" i="16"/>
  <c r="B223" i="16"/>
  <c r="B224" i="16"/>
  <c r="B225" i="16"/>
  <c r="B226" i="16"/>
  <c r="B227" i="16"/>
  <c r="B228" i="16"/>
  <c r="B229" i="16"/>
  <c r="B230" i="16"/>
  <c r="B231" i="16"/>
  <c r="B232" i="16"/>
  <c r="B233" i="16"/>
  <c r="B234" i="16"/>
  <c r="B235" i="16"/>
  <c r="B236" i="16"/>
  <c r="B237" i="16"/>
  <c r="B238" i="16"/>
  <c r="B239" i="16"/>
  <c r="B240" i="16"/>
  <c r="B241" i="16"/>
  <c r="B242" i="16"/>
  <c r="B243" i="16"/>
  <c r="B244" i="16"/>
  <c r="B245" i="16"/>
  <c r="B246" i="16"/>
  <c r="B247" i="16"/>
  <c r="B248" i="16"/>
  <c r="B249" i="16"/>
  <c r="B250" i="16"/>
  <c r="B251" i="16"/>
  <c r="B252" i="16"/>
  <c r="B253" i="16"/>
  <c r="B254" i="16"/>
  <c r="B255" i="16"/>
  <c r="B256" i="16"/>
  <c r="B257" i="16"/>
  <c r="B258" i="16"/>
  <c r="B259" i="16"/>
  <c r="B260" i="16"/>
  <c r="B261" i="16"/>
  <c r="B262" i="16"/>
  <c r="B263" i="16"/>
  <c r="B264" i="16"/>
  <c r="B265" i="16"/>
  <c r="B266" i="16"/>
  <c r="B267" i="16"/>
  <c r="B268" i="16"/>
  <c r="B269" i="16"/>
  <c r="B270" i="16"/>
  <c r="B271" i="16"/>
  <c r="B272" i="16"/>
  <c r="B273" i="16"/>
  <c r="B274" i="16"/>
  <c r="B275" i="16"/>
  <c r="B276" i="16"/>
  <c r="B2" i="16"/>
  <c r="A251" i="16"/>
  <c r="A253" i="16"/>
  <c r="A254" i="16"/>
  <c r="A256" i="16"/>
  <c r="A265" i="16"/>
  <c r="A266" i="16"/>
  <c r="A267" i="16"/>
  <c r="A268" i="16"/>
  <c r="A269" i="16"/>
  <c r="A270" i="16"/>
  <c r="A271" i="16"/>
  <c r="A272" i="16"/>
  <c r="A273" i="16"/>
  <c r="A274" i="16"/>
  <c r="A275" i="16"/>
  <c r="A276" i="16"/>
  <c r="C24" i="13" l="1"/>
  <c r="E137" i="1"/>
  <c r="B181" i="2" a="1"/>
  <c r="B181" i="2" s="1"/>
  <c r="C181" i="2" a="1"/>
  <c r="C181" i="2" s="1"/>
  <c r="E181" i="2" a="1"/>
  <c r="E181" i="2" s="1"/>
  <c r="F181" i="2" a="1"/>
  <c r="F181" i="2" s="1"/>
  <c r="G181" i="2" a="1"/>
  <c r="G181" i="2" s="1"/>
  <c r="H181" i="2" a="1"/>
  <c r="H181" i="2" s="1"/>
  <c r="I181" i="2" a="1"/>
  <c r="I181" i="2" s="1"/>
  <c r="B182" i="2" a="1"/>
  <c r="B182" i="2" s="1"/>
  <c r="C182" i="2" a="1"/>
  <c r="C182" i="2" s="1"/>
  <c r="E182" i="2" a="1"/>
  <c r="E182" i="2" s="1"/>
  <c r="F182" i="2" a="1"/>
  <c r="F182" i="2" s="1"/>
  <c r="G182" i="2" a="1"/>
  <c r="G182" i="2" s="1"/>
  <c r="H182" i="2" a="1"/>
  <c r="H182" i="2" s="1"/>
  <c r="I182" i="2" a="1"/>
  <c r="I182" i="2" s="1"/>
  <c r="B183" i="2" a="1"/>
  <c r="B183" i="2" s="1"/>
  <c r="C183" i="2" a="1"/>
  <c r="C183" i="2" s="1"/>
  <c r="E183" i="2" a="1"/>
  <c r="E183" i="2" s="1"/>
  <c r="F183" i="2" a="1"/>
  <c r="F183" i="2" s="1"/>
  <c r="G183" i="2" a="1"/>
  <c r="G183" i="2" s="1"/>
  <c r="H183" i="2" a="1"/>
  <c r="H183" i="2" s="1"/>
  <c r="I183" i="2" a="1"/>
  <c r="I183" i="2" s="1"/>
  <c r="B184" i="2" a="1"/>
  <c r="B184" i="2" s="1"/>
  <c r="C184" i="2" a="1"/>
  <c r="C184" i="2" s="1"/>
  <c r="E184" i="2" a="1"/>
  <c r="E184" i="2" s="1"/>
  <c r="F184" i="2" a="1"/>
  <c r="F184" i="2" s="1"/>
  <c r="G184" i="2" a="1"/>
  <c r="G184" i="2" s="1"/>
  <c r="H184" i="2" a="1"/>
  <c r="H184" i="2" s="1"/>
  <c r="I184" i="2" a="1"/>
  <c r="I184" i="2" s="1"/>
  <c r="B185" i="2" a="1"/>
  <c r="B185" i="2" s="1"/>
  <c r="C185" i="2" a="1"/>
  <c r="C185" i="2" s="1"/>
  <c r="E185" i="2" a="1"/>
  <c r="E185" i="2" s="1"/>
  <c r="F185" i="2" a="1"/>
  <c r="F185" i="2" s="1"/>
  <c r="G185" i="2" a="1"/>
  <c r="G185" i="2" s="1"/>
  <c r="H185" i="2" a="1"/>
  <c r="H185" i="2" s="1"/>
  <c r="I185" i="2" a="1"/>
  <c r="I185" i="2" s="1"/>
  <c r="B186" i="2" a="1"/>
  <c r="B186" i="2" s="1"/>
  <c r="C186" i="2" a="1"/>
  <c r="C186" i="2" s="1"/>
  <c r="E186" i="2" a="1"/>
  <c r="E186" i="2" s="1"/>
  <c r="F186" i="2" a="1"/>
  <c r="F186" i="2" s="1"/>
  <c r="G186" i="2" a="1"/>
  <c r="G186" i="2" s="1"/>
  <c r="H186" i="2" a="1"/>
  <c r="H186" i="2" s="1"/>
  <c r="I186" i="2" a="1"/>
  <c r="I186" i="2" s="1"/>
  <c r="B187" i="2" a="1"/>
  <c r="B187" i="2" s="1"/>
  <c r="C187" i="2" a="1"/>
  <c r="C187" i="2" s="1"/>
  <c r="E187" i="2" a="1"/>
  <c r="E187" i="2" s="1"/>
  <c r="F187" i="2" a="1"/>
  <c r="F187" i="2" s="1"/>
  <c r="G187" i="2" a="1"/>
  <c r="G187" i="2" s="1"/>
  <c r="H187" i="2" a="1"/>
  <c r="H187" i="2" s="1"/>
  <c r="I187" i="2" a="1"/>
  <c r="I187" i="2" s="1"/>
  <c r="B188" i="2" a="1"/>
  <c r="B188" i="2" s="1"/>
  <c r="C188" i="2" a="1"/>
  <c r="C188" i="2" s="1"/>
  <c r="E188" i="2" a="1"/>
  <c r="E188" i="2" s="1"/>
  <c r="F188" i="2" a="1"/>
  <c r="F188" i="2" s="1"/>
  <c r="G188" i="2" a="1"/>
  <c r="G188" i="2" s="1"/>
  <c r="H188" i="2" a="1"/>
  <c r="H188" i="2" s="1"/>
  <c r="I188" i="2" a="1"/>
  <c r="I188" i="2" s="1"/>
  <c r="B189" i="2" a="1"/>
  <c r="B189" i="2" s="1"/>
  <c r="C189" i="2" a="1"/>
  <c r="C189" i="2" s="1"/>
  <c r="E189" i="2" a="1"/>
  <c r="E189" i="2" s="1"/>
  <c r="F189" i="2" a="1"/>
  <c r="F189" i="2" s="1"/>
  <c r="G189" i="2" a="1"/>
  <c r="G189" i="2" s="1"/>
  <c r="H189" i="2" a="1"/>
  <c r="H189" i="2" s="1"/>
  <c r="I189" i="2" a="1"/>
  <c r="I189" i="2" s="1"/>
  <c r="B190" i="2" a="1"/>
  <c r="B190" i="2" s="1"/>
  <c r="C190" i="2" a="1"/>
  <c r="C190" i="2" s="1"/>
  <c r="E190" i="2" a="1"/>
  <c r="E190" i="2" s="1"/>
  <c r="F190" i="2" a="1"/>
  <c r="F190" i="2" s="1"/>
  <c r="G190" i="2" a="1"/>
  <c r="G190" i="2" s="1"/>
  <c r="H190" i="2" a="1"/>
  <c r="H190" i="2" s="1"/>
  <c r="I190" i="2" a="1"/>
  <c r="I190" i="2" s="1"/>
  <c r="B191" i="2" a="1"/>
  <c r="B191" i="2" s="1"/>
  <c r="C191" i="2" a="1"/>
  <c r="C191" i="2" s="1"/>
  <c r="E191" i="2" a="1"/>
  <c r="E191" i="2" s="1"/>
  <c r="F191" i="2" a="1"/>
  <c r="F191" i="2" s="1"/>
  <c r="G191" i="2" a="1"/>
  <c r="G191" i="2" s="1"/>
  <c r="H191" i="2" a="1"/>
  <c r="H191" i="2" s="1"/>
  <c r="I191" i="2" a="1"/>
  <c r="I191" i="2" s="1"/>
  <c r="E212" i="1"/>
  <c r="E200" i="1"/>
  <c r="E5" i="1" l="1"/>
  <c r="E84" i="1" l="1"/>
  <c r="E162" i="1"/>
  <c r="E261" i="1"/>
  <c r="E182" i="1" l="1"/>
  <c r="O138" i="1"/>
  <c r="E248" i="1" l="1"/>
  <c r="E179" i="1"/>
  <c r="E168" i="1"/>
  <c r="E149" i="1"/>
  <c r="E119" i="1"/>
  <c r="E46" i="1"/>
  <c r="B251" i="15" l="1"/>
  <c r="B252" i="15"/>
  <c r="B253" i="15"/>
  <c r="B254" i="15"/>
  <c r="B255" i="15"/>
  <c r="B256" i="15"/>
  <c r="B257" i="15"/>
  <c r="B258" i="15"/>
  <c r="B259" i="15"/>
  <c r="B260" i="15"/>
  <c r="B261" i="15"/>
  <c r="B262" i="15"/>
  <c r="B263" i="15"/>
  <c r="B264" i="15"/>
  <c r="B265" i="15"/>
  <c r="A266" i="15"/>
  <c r="B266" i="15"/>
  <c r="C266" i="15"/>
  <c r="A267" i="15"/>
  <c r="B267" i="15"/>
  <c r="C267" i="15"/>
  <c r="A268" i="15"/>
  <c r="B268" i="15"/>
  <c r="C268" i="15"/>
  <c r="A269" i="15"/>
  <c r="B269" i="15"/>
  <c r="C269" i="15"/>
  <c r="A270" i="15"/>
  <c r="B270" i="15"/>
  <c r="C270" i="15"/>
  <c r="B251" i="9"/>
  <c r="B252" i="9"/>
  <c r="B253" i="9"/>
  <c r="B254" i="9"/>
  <c r="B255" i="9"/>
  <c r="B256" i="9"/>
  <c r="B257" i="9"/>
  <c r="B258" i="9"/>
  <c r="B259" i="9"/>
  <c r="B260" i="9"/>
  <c r="B261" i="9"/>
  <c r="B262" i="9"/>
  <c r="B263" i="9"/>
  <c r="B264" i="9"/>
  <c r="B265" i="9"/>
  <c r="A266" i="9"/>
  <c r="B266" i="9"/>
  <c r="A267" i="9"/>
  <c r="B267" i="9"/>
  <c r="A268" i="9"/>
  <c r="B268" i="9"/>
  <c r="A269" i="9"/>
  <c r="B269" i="9"/>
  <c r="A270" i="9"/>
  <c r="B270" i="9"/>
  <c r="B210" i="2" a="1"/>
  <c r="B210" i="2" s="1"/>
  <c r="C210" i="2" a="1"/>
  <c r="C210" i="2" s="1"/>
  <c r="E210" i="2" a="1"/>
  <c r="E210" i="2" s="1"/>
  <c r="F210" i="2" a="1"/>
  <c r="F210" i="2" s="1"/>
  <c r="G210" i="2" a="1"/>
  <c r="G210" i="2" s="1"/>
  <c r="H210" i="2" a="1"/>
  <c r="H210" i="2" s="1"/>
  <c r="I210" i="2" a="1"/>
  <c r="I210" i="2" s="1"/>
  <c r="B211" i="2" a="1"/>
  <c r="B211" i="2" s="1"/>
  <c r="C211" i="2" a="1"/>
  <c r="C211" i="2" s="1"/>
  <c r="E211" i="2" a="1"/>
  <c r="E211" i="2" s="1"/>
  <c r="F211" i="2" a="1"/>
  <c r="F211" i="2" s="1"/>
  <c r="G211" i="2" a="1"/>
  <c r="G211" i="2" s="1"/>
  <c r="H211" i="2" a="1"/>
  <c r="H211" i="2" s="1"/>
  <c r="I211" i="2" a="1"/>
  <c r="I211" i="2" s="1"/>
  <c r="B212" i="2" a="1"/>
  <c r="B212" i="2" s="1"/>
  <c r="C212" i="2" a="1"/>
  <c r="C212" i="2" s="1"/>
  <c r="E212" i="2" a="1"/>
  <c r="E212" i="2" s="1"/>
  <c r="F212" i="2" a="1"/>
  <c r="F212" i="2" s="1"/>
  <c r="G212" i="2" a="1"/>
  <c r="G212" i="2" s="1"/>
  <c r="H212" i="2" a="1"/>
  <c r="H212" i="2" s="1"/>
  <c r="I212" i="2" a="1"/>
  <c r="I212" i="2" s="1"/>
  <c r="B213" i="2" a="1"/>
  <c r="B213" i="2" s="1"/>
  <c r="C213" i="2" a="1"/>
  <c r="C213" i="2" s="1"/>
  <c r="E213" i="2" a="1"/>
  <c r="E213" i="2" s="1"/>
  <c r="F213" i="2" a="1"/>
  <c r="F213" i="2" s="1"/>
  <c r="G213" i="2" a="1"/>
  <c r="G213" i="2" s="1"/>
  <c r="H213" i="2" a="1"/>
  <c r="H213" i="2" s="1"/>
  <c r="I213" i="2" a="1"/>
  <c r="I213" i="2" s="1"/>
  <c r="B214" i="2" a="1"/>
  <c r="B214" i="2" s="1"/>
  <c r="C214" i="2" a="1"/>
  <c r="C214" i="2" s="1"/>
  <c r="E214" i="2" a="1"/>
  <c r="E214" i="2" s="1"/>
  <c r="F214" i="2" a="1"/>
  <c r="F214" i="2" s="1"/>
  <c r="G214" i="2" a="1"/>
  <c r="G214" i="2" s="1"/>
  <c r="H214" i="2" a="1"/>
  <c r="H214" i="2" s="1"/>
  <c r="I214" i="2" a="1"/>
  <c r="I214" i="2" s="1"/>
  <c r="B215" i="2" a="1"/>
  <c r="B215" i="2" s="1"/>
  <c r="C215" i="2" a="1"/>
  <c r="C215" i="2" s="1"/>
  <c r="E215" i="2" a="1"/>
  <c r="E215" i="2" s="1"/>
  <c r="F215" i="2" a="1"/>
  <c r="F215" i="2" s="1"/>
  <c r="G215" i="2" a="1"/>
  <c r="G215" i="2" s="1"/>
  <c r="H215" i="2" a="1"/>
  <c r="H215" i="2" s="1"/>
  <c r="I215" i="2" a="1"/>
  <c r="I215" i="2" s="1"/>
  <c r="B216" i="2" a="1"/>
  <c r="B216" i="2" s="1"/>
  <c r="C216" i="2" a="1"/>
  <c r="C216" i="2" s="1"/>
  <c r="E216" i="2" a="1"/>
  <c r="E216" i="2" s="1"/>
  <c r="F216" i="2" a="1"/>
  <c r="F216" i="2" s="1"/>
  <c r="G216" i="2" a="1"/>
  <c r="G216" i="2" s="1"/>
  <c r="H216" i="2" a="1"/>
  <c r="H216" i="2" s="1"/>
  <c r="I216" i="2" a="1"/>
  <c r="I216" i="2" s="1"/>
  <c r="B217" i="2" a="1"/>
  <c r="B217" i="2" s="1"/>
  <c r="C217" i="2" a="1"/>
  <c r="C217" i="2" s="1"/>
  <c r="E217" i="2" a="1"/>
  <c r="E217" i="2" s="1"/>
  <c r="F217" i="2" a="1"/>
  <c r="F217" i="2" s="1"/>
  <c r="G217" i="2" a="1"/>
  <c r="G217" i="2" s="1"/>
  <c r="H217" i="2" a="1"/>
  <c r="H217" i="2" s="1"/>
  <c r="I217" i="2" a="1"/>
  <c r="I217" i="2" s="1"/>
  <c r="B218" i="2" a="1"/>
  <c r="B218" i="2" s="1"/>
  <c r="C218" i="2" a="1"/>
  <c r="C218" i="2" s="1"/>
  <c r="E218" i="2" a="1"/>
  <c r="E218" i="2" s="1"/>
  <c r="F218" i="2" a="1"/>
  <c r="F218" i="2" s="1"/>
  <c r="G218" i="2" a="1"/>
  <c r="G218" i="2" s="1"/>
  <c r="H218" i="2" a="1"/>
  <c r="H218" i="2" s="1"/>
  <c r="I218" i="2" a="1"/>
  <c r="I218" i="2" s="1"/>
  <c r="B219" i="2" a="1"/>
  <c r="B219" i="2" s="1"/>
  <c r="C219" i="2" a="1"/>
  <c r="C219" i="2" s="1"/>
  <c r="E219" i="2" a="1"/>
  <c r="E219" i="2" s="1"/>
  <c r="F219" i="2" a="1"/>
  <c r="F219" i="2" s="1"/>
  <c r="G219" i="2" a="1"/>
  <c r="G219" i="2" s="1"/>
  <c r="H219" i="2" a="1"/>
  <c r="H219" i="2" s="1"/>
  <c r="I219" i="2" a="1"/>
  <c r="I219" i="2" s="1"/>
  <c r="B220" i="2" a="1"/>
  <c r="B220" i="2" s="1"/>
  <c r="C220" i="2" a="1"/>
  <c r="C220" i="2" s="1"/>
  <c r="E220" i="2" a="1"/>
  <c r="E220" i="2" s="1"/>
  <c r="F220" i="2" a="1"/>
  <c r="F220" i="2" s="1"/>
  <c r="G220" i="2" a="1"/>
  <c r="G220" i="2" s="1"/>
  <c r="H220" i="2" a="1"/>
  <c r="H220" i="2" s="1"/>
  <c r="I220" i="2" a="1"/>
  <c r="I220" i="2" s="1"/>
  <c r="B221" i="2" a="1"/>
  <c r="B221" i="2" s="1"/>
  <c r="C221" i="2" a="1"/>
  <c r="C221" i="2" s="1"/>
  <c r="E221" i="2" a="1"/>
  <c r="E221" i="2" s="1"/>
  <c r="F221" i="2" a="1"/>
  <c r="F221" i="2" s="1"/>
  <c r="G221" i="2" a="1"/>
  <c r="G221" i="2" s="1"/>
  <c r="H221" i="2" a="1"/>
  <c r="H221" i="2" s="1"/>
  <c r="I221" i="2" a="1"/>
  <c r="I221" i="2" s="1"/>
  <c r="B222" i="2" a="1"/>
  <c r="B222" i="2" s="1"/>
  <c r="C222" i="2" a="1"/>
  <c r="C222" i="2" s="1"/>
  <c r="E222" i="2" a="1"/>
  <c r="E222" i="2" s="1"/>
  <c r="F222" i="2" a="1"/>
  <c r="F222" i="2" s="1"/>
  <c r="G222" i="2" a="1"/>
  <c r="G222" i="2" s="1"/>
  <c r="H222" i="2" a="1"/>
  <c r="H222" i="2" s="1"/>
  <c r="I222" i="2" a="1"/>
  <c r="I222" i="2" s="1"/>
  <c r="B223" i="2" a="1"/>
  <c r="B223" i="2" s="1"/>
  <c r="C223" i="2" a="1"/>
  <c r="C223" i="2" s="1"/>
  <c r="E223" i="2" a="1"/>
  <c r="E223" i="2" s="1"/>
  <c r="F223" i="2" a="1"/>
  <c r="F223" i="2" s="1"/>
  <c r="G223" i="2" a="1"/>
  <c r="G223" i="2" s="1"/>
  <c r="H223" i="2" a="1"/>
  <c r="H223" i="2" s="1"/>
  <c r="I223" i="2" a="1"/>
  <c r="I223" i="2" s="1"/>
  <c r="I194" i="2" a="1"/>
  <c r="I194" i="2" s="1"/>
  <c r="H194" i="2" a="1"/>
  <c r="H194" i="2" s="1"/>
  <c r="G194" i="2" a="1"/>
  <c r="G194" i="2" s="1"/>
  <c r="F194" i="2" a="1"/>
  <c r="F194" i="2" s="1"/>
  <c r="E194" i="2" a="1"/>
  <c r="E194" i="2" s="1"/>
  <c r="C194" i="2" a="1"/>
  <c r="C194" i="2" s="1"/>
  <c r="B194" i="2" a="1"/>
  <c r="B194" i="2" s="1"/>
  <c r="I162" i="2" a="1"/>
  <c r="I162" i="2" s="1"/>
  <c r="H162" i="2" a="1"/>
  <c r="H162" i="2" s="1"/>
  <c r="G162" i="2" a="1"/>
  <c r="G162" i="2" s="1"/>
  <c r="F162" i="2" a="1"/>
  <c r="F162" i="2" s="1"/>
  <c r="E162" i="2" a="1"/>
  <c r="E162" i="2" s="1"/>
  <c r="C162" i="2" a="1"/>
  <c r="C162" i="2" s="1"/>
  <c r="B162" i="2" a="1"/>
  <c r="B162" i="2" s="1"/>
  <c r="B150" i="2" a="1"/>
  <c r="B150" i="2" s="1"/>
  <c r="C150" i="2" a="1"/>
  <c r="C150" i="2" s="1"/>
  <c r="E150" i="2" a="1"/>
  <c r="E150" i="2" s="1"/>
  <c r="F150" i="2" a="1"/>
  <c r="F150" i="2" s="1"/>
  <c r="G150" i="2" a="1"/>
  <c r="G150" i="2" s="1"/>
  <c r="H150" i="2" a="1"/>
  <c r="H150" i="2" s="1"/>
  <c r="I150" i="2" a="1"/>
  <c r="I150" i="2" s="1"/>
  <c r="B151" i="2" a="1"/>
  <c r="B151" i="2" s="1"/>
  <c r="C151" i="2" a="1"/>
  <c r="C151" i="2" s="1"/>
  <c r="E151" i="2" a="1"/>
  <c r="E151" i="2" s="1"/>
  <c r="F151" i="2" a="1"/>
  <c r="F151" i="2" s="1"/>
  <c r="G151" i="2" a="1"/>
  <c r="G151" i="2" s="1"/>
  <c r="H151" i="2" a="1"/>
  <c r="H151" i="2" s="1"/>
  <c r="I151" i="2" a="1"/>
  <c r="I151" i="2" s="1"/>
  <c r="B152" i="2" a="1"/>
  <c r="B152" i="2" s="1"/>
  <c r="C152" i="2" a="1"/>
  <c r="C152" i="2" s="1"/>
  <c r="E152" i="2" a="1"/>
  <c r="E152" i="2" s="1"/>
  <c r="F152" i="2" a="1"/>
  <c r="F152" i="2" s="1"/>
  <c r="G152" i="2" a="1"/>
  <c r="G152" i="2" s="1"/>
  <c r="H152" i="2" a="1"/>
  <c r="H152" i="2" s="1"/>
  <c r="I152" i="2" a="1"/>
  <c r="I152" i="2" s="1"/>
  <c r="B153" i="2" a="1"/>
  <c r="B153" i="2" s="1"/>
  <c r="C153" i="2" a="1"/>
  <c r="C153" i="2" s="1"/>
  <c r="E153" i="2" a="1"/>
  <c r="E153" i="2" s="1"/>
  <c r="F153" i="2" a="1"/>
  <c r="F153" i="2" s="1"/>
  <c r="G153" i="2" a="1"/>
  <c r="G153" i="2" s="1"/>
  <c r="H153" i="2" a="1"/>
  <c r="H153" i="2" s="1"/>
  <c r="I153" i="2" a="1"/>
  <c r="I153" i="2" s="1"/>
  <c r="B154" i="2" a="1"/>
  <c r="B154" i="2" s="1"/>
  <c r="C154" i="2" a="1"/>
  <c r="C154" i="2" s="1"/>
  <c r="E154" i="2" a="1"/>
  <c r="E154" i="2" s="1"/>
  <c r="F154" i="2" a="1"/>
  <c r="F154" i="2" s="1"/>
  <c r="G154" i="2" a="1"/>
  <c r="G154" i="2" s="1"/>
  <c r="H154" i="2" a="1"/>
  <c r="H154" i="2" s="1"/>
  <c r="I154" i="2" a="1"/>
  <c r="I154" i="2" s="1"/>
  <c r="B155" i="2" a="1"/>
  <c r="B155" i="2" s="1"/>
  <c r="C155" i="2" a="1"/>
  <c r="C155" i="2" s="1"/>
  <c r="E155" i="2" a="1"/>
  <c r="E155" i="2" s="1"/>
  <c r="F155" i="2" a="1"/>
  <c r="F155" i="2" s="1"/>
  <c r="G155" i="2" a="1"/>
  <c r="G155" i="2" s="1"/>
  <c r="H155" i="2" a="1"/>
  <c r="H155" i="2" s="1"/>
  <c r="I155" i="2" a="1"/>
  <c r="I155" i="2" s="1"/>
  <c r="B156" i="2" a="1"/>
  <c r="B156" i="2" s="1"/>
  <c r="C156" i="2" a="1"/>
  <c r="C156" i="2" s="1"/>
  <c r="E156" i="2" a="1"/>
  <c r="E156" i="2" s="1"/>
  <c r="F156" i="2" a="1"/>
  <c r="F156" i="2" s="1"/>
  <c r="G156" i="2" a="1"/>
  <c r="G156" i="2" s="1"/>
  <c r="H156" i="2" a="1"/>
  <c r="H156" i="2" s="1"/>
  <c r="I156" i="2" a="1"/>
  <c r="I156" i="2" s="1"/>
  <c r="B157" i="2" a="1"/>
  <c r="B157" i="2" s="1"/>
  <c r="C157" i="2" a="1"/>
  <c r="C157" i="2" s="1"/>
  <c r="E157" i="2" a="1"/>
  <c r="E157" i="2" s="1"/>
  <c r="F157" i="2" a="1"/>
  <c r="F157" i="2" s="1"/>
  <c r="G157" i="2" a="1"/>
  <c r="G157" i="2" s="1"/>
  <c r="H157" i="2" a="1"/>
  <c r="H157" i="2" s="1"/>
  <c r="I157" i="2" a="1"/>
  <c r="I157" i="2" s="1"/>
  <c r="B158" i="2" a="1"/>
  <c r="B158" i="2" s="1"/>
  <c r="C158" i="2" a="1"/>
  <c r="C158" i="2" s="1"/>
  <c r="E158" i="2" a="1"/>
  <c r="E158" i="2" s="1"/>
  <c r="F158" i="2" a="1"/>
  <c r="F158" i="2" s="1"/>
  <c r="G158" i="2" a="1"/>
  <c r="G158" i="2" s="1"/>
  <c r="H158" i="2" a="1"/>
  <c r="H158" i="2" s="1"/>
  <c r="I158" i="2" a="1"/>
  <c r="I158" i="2" s="1"/>
  <c r="B159" i="2" a="1"/>
  <c r="B159" i="2" s="1"/>
  <c r="C159" i="2" a="1"/>
  <c r="C159" i="2" s="1"/>
  <c r="E159" i="2" a="1"/>
  <c r="E159" i="2" s="1"/>
  <c r="F159" i="2" a="1"/>
  <c r="F159" i="2" s="1"/>
  <c r="G159" i="2" a="1"/>
  <c r="G159" i="2" s="1"/>
  <c r="H159" i="2" a="1"/>
  <c r="H159" i="2" s="1"/>
  <c r="I159" i="2" a="1"/>
  <c r="I159" i="2" s="1"/>
  <c r="I130" i="2" a="1"/>
  <c r="I130" i="2" s="1"/>
  <c r="H130" i="2" a="1"/>
  <c r="H130" i="2" s="1"/>
  <c r="G130" i="2" a="1"/>
  <c r="G130" i="2" s="1"/>
  <c r="F130" i="2" a="1"/>
  <c r="F130" i="2" s="1"/>
  <c r="E130" i="2" a="1"/>
  <c r="E130" i="2" s="1"/>
  <c r="C130" i="2" a="1"/>
  <c r="C130" i="2" s="1"/>
  <c r="B130" i="2" a="1"/>
  <c r="B130" i="2" s="1"/>
  <c r="B114" i="2" a="1"/>
  <c r="B114" i="2" s="1"/>
  <c r="C114" i="2" a="1"/>
  <c r="C114" i="2" s="1"/>
  <c r="E114" i="2" a="1"/>
  <c r="E114" i="2" s="1"/>
  <c r="F114" i="2" a="1"/>
  <c r="F114" i="2" s="1"/>
  <c r="G114" i="2" a="1"/>
  <c r="G114" i="2" s="1"/>
  <c r="H114" i="2" a="1"/>
  <c r="H114" i="2" s="1"/>
  <c r="I114" i="2" a="1"/>
  <c r="I114" i="2" s="1"/>
  <c r="B115" i="2" a="1"/>
  <c r="B115" i="2" s="1"/>
  <c r="C115" i="2" a="1"/>
  <c r="C115" i="2" s="1"/>
  <c r="E115" i="2" a="1"/>
  <c r="E115" i="2" s="1"/>
  <c r="F115" i="2" a="1"/>
  <c r="F115" i="2" s="1"/>
  <c r="G115" i="2" a="1"/>
  <c r="G115" i="2" s="1"/>
  <c r="H115" i="2" a="1"/>
  <c r="H115" i="2" s="1"/>
  <c r="I115" i="2" a="1"/>
  <c r="I115" i="2" s="1"/>
  <c r="B116" i="2" a="1"/>
  <c r="B116" i="2" s="1"/>
  <c r="C116" i="2" a="1"/>
  <c r="C116" i="2" s="1"/>
  <c r="E116" i="2" a="1"/>
  <c r="E116" i="2" s="1"/>
  <c r="F116" i="2" a="1"/>
  <c r="F116" i="2" s="1"/>
  <c r="G116" i="2" a="1"/>
  <c r="G116" i="2" s="1"/>
  <c r="H116" i="2" a="1"/>
  <c r="H116" i="2" s="1"/>
  <c r="I116" i="2" a="1"/>
  <c r="I116" i="2" s="1"/>
  <c r="B117" i="2" a="1"/>
  <c r="B117" i="2" s="1"/>
  <c r="C117" i="2" a="1"/>
  <c r="C117" i="2" s="1"/>
  <c r="E117" i="2" a="1"/>
  <c r="E117" i="2" s="1"/>
  <c r="F117" i="2" a="1"/>
  <c r="F117" i="2" s="1"/>
  <c r="G117" i="2" a="1"/>
  <c r="G117" i="2" s="1"/>
  <c r="H117" i="2" a="1"/>
  <c r="H117" i="2" s="1"/>
  <c r="I117" i="2" a="1"/>
  <c r="I117" i="2" s="1"/>
  <c r="B118" i="2" a="1"/>
  <c r="B118" i="2" s="1"/>
  <c r="C118" i="2" a="1"/>
  <c r="C118" i="2" s="1"/>
  <c r="E118" i="2" a="1"/>
  <c r="E118" i="2" s="1"/>
  <c r="F118" i="2" a="1"/>
  <c r="F118" i="2" s="1"/>
  <c r="G118" i="2" a="1"/>
  <c r="G118" i="2" s="1"/>
  <c r="H118" i="2" a="1"/>
  <c r="H118" i="2" s="1"/>
  <c r="I118" i="2" a="1"/>
  <c r="I118" i="2" s="1"/>
  <c r="B119" i="2" a="1"/>
  <c r="B119" i="2" s="1"/>
  <c r="C119" i="2" a="1"/>
  <c r="C119" i="2" s="1"/>
  <c r="E119" i="2" a="1"/>
  <c r="E119" i="2" s="1"/>
  <c r="F119" i="2" a="1"/>
  <c r="F119" i="2" s="1"/>
  <c r="G119" i="2" a="1"/>
  <c r="G119" i="2" s="1"/>
  <c r="H119" i="2" a="1"/>
  <c r="H119" i="2" s="1"/>
  <c r="I119" i="2" a="1"/>
  <c r="I119" i="2" s="1"/>
  <c r="B120" i="2" a="1"/>
  <c r="B120" i="2" s="1"/>
  <c r="C120" i="2" a="1"/>
  <c r="C120" i="2" s="1"/>
  <c r="E120" i="2" a="1"/>
  <c r="E120" i="2" s="1"/>
  <c r="F120" i="2" a="1"/>
  <c r="F120" i="2" s="1"/>
  <c r="G120" i="2" a="1"/>
  <c r="G120" i="2" s="1"/>
  <c r="H120" i="2" a="1"/>
  <c r="H120" i="2" s="1"/>
  <c r="I120" i="2" a="1"/>
  <c r="I120" i="2" s="1"/>
  <c r="B121" i="2" a="1"/>
  <c r="B121" i="2" s="1"/>
  <c r="C121" i="2" a="1"/>
  <c r="C121" i="2" s="1"/>
  <c r="E121" i="2" a="1"/>
  <c r="E121" i="2" s="1"/>
  <c r="F121" i="2" a="1"/>
  <c r="F121" i="2" s="1"/>
  <c r="G121" i="2" a="1"/>
  <c r="G121" i="2" s="1"/>
  <c r="H121" i="2" a="1"/>
  <c r="H121" i="2" s="1"/>
  <c r="I121" i="2" a="1"/>
  <c r="I121" i="2" s="1"/>
  <c r="B122" i="2" a="1"/>
  <c r="B122" i="2" s="1"/>
  <c r="C122" i="2" a="1"/>
  <c r="C122" i="2" s="1"/>
  <c r="E122" i="2" a="1"/>
  <c r="E122" i="2" s="1"/>
  <c r="F122" i="2" a="1"/>
  <c r="F122" i="2" s="1"/>
  <c r="G122" i="2" a="1"/>
  <c r="G122" i="2" s="1"/>
  <c r="H122" i="2" a="1"/>
  <c r="H122" i="2" s="1"/>
  <c r="I122" i="2" a="1"/>
  <c r="I122" i="2" s="1"/>
  <c r="B123" i="2" a="1"/>
  <c r="B123" i="2" s="1"/>
  <c r="C123" i="2" a="1"/>
  <c r="C123" i="2" s="1"/>
  <c r="E123" i="2" a="1"/>
  <c r="E123" i="2" s="1"/>
  <c r="F123" i="2" a="1"/>
  <c r="F123" i="2" s="1"/>
  <c r="G123" i="2" a="1"/>
  <c r="G123" i="2" s="1"/>
  <c r="H123" i="2" a="1"/>
  <c r="H123" i="2" s="1"/>
  <c r="I123" i="2" a="1"/>
  <c r="I123" i="2" s="1"/>
  <c r="B124" i="2" a="1"/>
  <c r="B124" i="2" s="1"/>
  <c r="C124" i="2" a="1"/>
  <c r="C124" i="2" s="1"/>
  <c r="E124" i="2" a="1"/>
  <c r="E124" i="2" s="1"/>
  <c r="F124" i="2" a="1"/>
  <c r="F124" i="2" s="1"/>
  <c r="G124" i="2" a="1"/>
  <c r="G124" i="2" s="1"/>
  <c r="H124" i="2" a="1"/>
  <c r="H124" i="2" s="1"/>
  <c r="I124" i="2" a="1"/>
  <c r="I124" i="2" s="1"/>
  <c r="B125" i="2" a="1"/>
  <c r="B125" i="2" s="1"/>
  <c r="C125" i="2" a="1"/>
  <c r="C125" i="2" s="1"/>
  <c r="E125" i="2" a="1"/>
  <c r="E125" i="2" s="1"/>
  <c r="F125" i="2" a="1"/>
  <c r="F125" i="2" s="1"/>
  <c r="G125" i="2" a="1"/>
  <c r="G125" i="2" s="1"/>
  <c r="H125" i="2" a="1"/>
  <c r="H125" i="2" s="1"/>
  <c r="I125" i="2" a="1"/>
  <c r="I125" i="2" s="1"/>
  <c r="B126" i="2" a="1"/>
  <c r="B126" i="2" s="1"/>
  <c r="C126" i="2" a="1"/>
  <c r="C126" i="2" s="1"/>
  <c r="E126" i="2" a="1"/>
  <c r="E126" i="2" s="1"/>
  <c r="F126" i="2" a="1"/>
  <c r="F126" i="2" s="1"/>
  <c r="G126" i="2" a="1"/>
  <c r="G126" i="2" s="1"/>
  <c r="H126" i="2" a="1"/>
  <c r="H126" i="2" s="1"/>
  <c r="I126" i="2" a="1"/>
  <c r="I126" i="2" s="1"/>
  <c r="B127" i="2" a="1"/>
  <c r="B127" i="2" s="1"/>
  <c r="C127" i="2" a="1"/>
  <c r="C127" i="2" s="1"/>
  <c r="E127" i="2" a="1"/>
  <c r="E127" i="2" s="1"/>
  <c r="F127" i="2" a="1"/>
  <c r="F127" i="2" s="1"/>
  <c r="G127" i="2" a="1"/>
  <c r="G127" i="2" s="1"/>
  <c r="H127" i="2" a="1"/>
  <c r="H127" i="2" s="1"/>
  <c r="I127" i="2" a="1"/>
  <c r="I127" i="2" s="1"/>
  <c r="I98" i="2" a="1"/>
  <c r="I98" i="2" s="1"/>
  <c r="H98" i="2" a="1"/>
  <c r="H98" i="2" s="1"/>
  <c r="G98" i="2" a="1"/>
  <c r="G98" i="2" s="1"/>
  <c r="F98" i="2" a="1"/>
  <c r="F98" i="2" s="1"/>
  <c r="E98" i="2" a="1"/>
  <c r="E98" i="2" s="1"/>
  <c r="C98" i="2" a="1"/>
  <c r="C98" i="2" s="1"/>
  <c r="B98" i="2" a="1"/>
  <c r="B98" i="2" s="1"/>
  <c r="B84" i="2" a="1"/>
  <c r="B84" i="2" s="1"/>
  <c r="C84" i="2" a="1"/>
  <c r="C84" i="2" s="1"/>
  <c r="E84" i="2" a="1"/>
  <c r="E84" i="2" s="1"/>
  <c r="F84" i="2" a="1"/>
  <c r="F84" i="2" s="1"/>
  <c r="G84" i="2" a="1"/>
  <c r="G84" i="2" s="1"/>
  <c r="H84" i="2" a="1"/>
  <c r="H84" i="2" s="1"/>
  <c r="I84" i="2" a="1"/>
  <c r="I84" i="2" s="1"/>
  <c r="B85" i="2" a="1"/>
  <c r="B85" i="2" s="1"/>
  <c r="C85" i="2" a="1"/>
  <c r="C85" i="2" s="1"/>
  <c r="E85" i="2" a="1"/>
  <c r="E85" i="2" s="1"/>
  <c r="F85" i="2" a="1"/>
  <c r="F85" i="2" s="1"/>
  <c r="G85" i="2" a="1"/>
  <c r="G85" i="2" s="1"/>
  <c r="H85" i="2" a="1"/>
  <c r="H85" i="2" s="1"/>
  <c r="I85" i="2" a="1"/>
  <c r="I85" i="2" s="1"/>
  <c r="B86" i="2" a="1"/>
  <c r="B86" i="2" s="1"/>
  <c r="C86" i="2" a="1"/>
  <c r="C86" i="2" s="1"/>
  <c r="E86" i="2" a="1"/>
  <c r="E86" i="2" s="1"/>
  <c r="F86" i="2" a="1"/>
  <c r="F86" i="2" s="1"/>
  <c r="G86" i="2" a="1"/>
  <c r="G86" i="2" s="1"/>
  <c r="H86" i="2" a="1"/>
  <c r="H86" i="2" s="1"/>
  <c r="I86" i="2" a="1"/>
  <c r="I86" i="2" s="1"/>
  <c r="B87" i="2" a="1"/>
  <c r="B87" i="2" s="1"/>
  <c r="C87" i="2" a="1"/>
  <c r="C87" i="2" s="1"/>
  <c r="E87" i="2" a="1"/>
  <c r="E87" i="2" s="1"/>
  <c r="F87" i="2" a="1"/>
  <c r="F87" i="2" s="1"/>
  <c r="G87" i="2" a="1"/>
  <c r="G87" i="2" s="1"/>
  <c r="H87" i="2" a="1"/>
  <c r="H87" i="2" s="1"/>
  <c r="I87" i="2" a="1"/>
  <c r="I87" i="2" s="1"/>
  <c r="B88" i="2" a="1"/>
  <c r="B88" i="2" s="1"/>
  <c r="C88" i="2" a="1"/>
  <c r="C88" i="2" s="1"/>
  <c r="E88" i="2" a="1"/>
  <c r="E88" i="2" s="1"/>
  <c r="F88" i="2" a="1"/>
  <c r="F88" i="2" s="1"/>
  <c r="G88" i="2" a="1"/>
  <c r="G88" i="2" s="1"/>
  <c r="H88" i="2" a="1"/>
  <c r="H88" i="2" s="1"/>
  <c r="I88" i="2" a="1"/>
  <c r="I88" i="2" s="1"/>
  <c r="B89" i="2" a="1"/>
  <c r="B89" i="2" s="1"/>
  <c r="C89" i="2" a="1"/>
  <c r="C89" i="2" s="1"/>
  <c r="E89" i="2" a="1"/>
  <c r="E89" i="2" s="1"/>
  <c r="F89" i="2" a="1"/>
  <c r="F89" i="2" s="1"/>
  <c r="G89" i="2" a="1"/>
  <c r="G89" i="2" s="1"/>
  <c r="H89" i="2" a="1"/>
  <c r="H89" i="2" s="1"/>
  <c r="I89" i="2" a="1"/>
  <c r="I89" i="2" s="1"/>
  <c r="B90" i="2" a="1"/>
  <c r="B90" i="2" s="1"/>
  <c r="C90" i="2" a="1"/>
  <c r="C90" i="2" s="1"/>
  <c r="E90" i="2" a="1"/>
  <c r="E90" i="2" s="1"/>
  <c r="F90" i="2" a="1"/>
  <c r="F90" i="2" s="1"/>
  <c r="G90" i="2" a="1"/>
  <c r="G90" i="2" s="1"/>
  <c r="H90" i="2" a="1"/>
  <c r="H90" i="2" s="1"/>
  <c r="I90" i="2" a="1"/>
  <c r="I90" i="2" s="1"/>
  <c r="B91" i="2" a="1"/>
  <c r="B91" i="2" s="1"/>
  <c r="C91" i="2" a="1"/>
  <c r="C91" i="2" s="1"/>
  <c r="E91" i="2" a="1"/>
  <c r="E91" i="2" s="1"/>
  <c r="F91" i="2" a="1"/>
  <c r="F91" i="2" s="1"/>
  <c r="G91" i="2" a="1"/>
  <c r="G91" i="2" s="1"/>
  <c r="H91" i="2" a="1"/>
  <c r="H91" i="2" s="1"/>
  <c r="I91" i="2" a="1"/>
  <c r="I91" i="2" s="1"/>
  <c r="B92" i="2" a="1"/>
  <c r="B92" i="2" s="1"/>
  <c r="C92" i="2" a="1"/>
  <c r="C92" i="2" s="1"/>
  <c r="E92" i="2" a="1"/>
  <c r="E92" i="2" s="1"/>
  <c r="F92" i="2" a="1"/>
  <c r="F92" i="2" s="1"/>
  <c r="G92" i="2" a="1"/>
  <c r="G92" i="2" s="1"/>
  <c r="H92" i="2" a="1"/>
  <c r="H92" i="2" s="1"/>
  <c r="I92" i="2" a="1"/>
  <c r="I92" i="2" s="1"/>
  <c r="B93" i="2" a="1"/>
  <c r="B93" i="2" s="1"/>
  <c r="C93" i="2" a="1"/>
  <c r="C93" i="2" s="1"/>
  <c r="E93" i="2" a="1"/>
  <c r="E93" i="2" s="1"/>
  <c r="F93" i="2" a="1"/>
  <c r="F93" i="2" s="1"/>
  <c r="G93" i="2" a="1"/>
  <c r="G93" i="2" s="1"/>
  <c r="H93" i="2" a="1"/>
  <c r="H93" i="2" s="1"/>
  <c r="I93" i="2" a="1"/>
  <c r="I93" i="2" s="1"/>
  <c r="B94" i="2" a="1"/>
  <c r="B94" i="2" s="1"/>
  <c r="C94" i="2" a="1"/>
  <c r="C94" i="2" s="1"/>
  <c r="E94" i="2" a="1"/>
  <c r="E94" i="2" s="1"/>
  <c r="F94" i="2" a="1"/>
  <c r="F94" i="2" s="1"/>
  <c r="G94" i="2" a="1"/>
  <c r="G94" i="2" s="1"/>
  <c r="H94" i="2" a="1"/>
  <c r="H94" i="2" s="1"/>
  <c r="I94" i="2" a="1"/>
  <c r="I94" i="2" s="1"/>
  <c r="B95" i="2" a="1"/>
  <c r="B95" i="2" s="1"/>
  <c r="C95" i="2" a="1"/>
  <c r="C95" i="2" s="1"/>
  <c r="E95" i="2" a="1"/>
  <c r="E95" i="2" s="1"/>
  <c r="F95" i="2" a="1"/>
  <c r="F95" i="2" s="1"/>
  <c r="G95" i="2" a="1"/>
  <c r="G95" i="2" s="1"/>
  <c r="H95" i="2" a="1"/>
  <c r="H95" i="2" s="1"/>
  <c r="I95" i="2" a="1"/>
  <c r="I95" i="2" s="1"/>
  <c r="I66" i="2" a="1"/>
  <c r="I66" i="2" s="1"/>
  <c r="H66" i="2" a="1"/>
  <c r="H66" i="2" s="1"/>
  <c r="G66" i="2" a="1"/>
  <c r="G66" i="2" s="1"/>
  <c r="F66" i="2" a="1"/>
  <c r="F66" i="2" s="1"/>
  <c r="E66" i="2" a="1"/>
  <c r="E66" i="2" s="1"/>
  <c r="C66" i="2" a="1"/>
  <c r="C66" i="2" s="1"/>
  <c r="B66" i="2" a="1"/>
  <c r="B66" i="2" s="1"/>
  <c r="B51" i="2" a="1"/>
  <c r="B51" i="2" s="1"/>
  <c r="C51" i="2" a="1"/>
  <c r="C51" i="2" s="1"/>
  <c r="E51" i="2" a="1"/>
  <c r="E51" i="2" s="1"/>
  <c r="F51" i="2" a="1"/>
  <c r="F51" i="2" s="1"/>
  <c r="G51" i="2" a="1"/>
  <c r="G51" i="2" s="1"/>
  <c r="H51" i="2" a="1"/>
  <c r="H51" i="2" s="1"/>
  <c r="I51" i="2" a="1"/>
  <c r="I51" i="2" s="1"/>
  <c r="B52" i="2" a="1"/>
  <c r="B52" i="2" s="1"/>
  <c r="C52" i="2" a="1"/>
  <c r="C52" i="2" s="1"/>
  <c r="E52" i="2" a="1"/>
  <c r="E52" i="2" s="1"/>
  <c r="F52" i="2" a="1"/>
  <c r="F52" i="2" s="1"/>
  <c r="G52" i="2" a="1"/>
  <c r="G52" i="2" s="1"/>
  <c r="H52" i="2" a="1"/>
  <c r="H52" i="2" s="1"/>
  <c r="I52" i="2" a="1"/>
  <c r="I52" i="2" s="1"/>
  <c r="B53" i="2" a="1"/>
  <c r="B53" i="2" s="1"/>
  <c r="C53" i="2" a="1"/>
  <c r="C53" i="2" s="1"/>
  <c r="E53" i="2" a="1"/>
  <c r="E53" i="2" s="1"/>
  <c r="F53" i="2" a="1"/>
  <c r="F53" i="2" s="1"/>
  <c r="G53" i="2" a="1"/>
  <c r="G53" i="2" s="1"/>
  <c r="H53" i="2" a="1"/>
  <c r="H53" i="2" s="1"/>
  <c r="I53" i="2" a="1"/>
  <c r="I53" i="2" s="1"/>
  <c r="B54" i="2" a="1"/>
  <c r="B54" i="2" s="1"/>
  <c r="C54" i="2" a="1"/>
  <c r="C54" i="2" s="1"/>
  <c r="E54" i="2" a="1"/>
  <c r="E54" i="2" s="1"/>
  <c r="F54" i="2" a="1"/>
  <c r="F54" i="2" s="1"/>
  <c r="G54" i="2" a="1"/>
  <c r="G54" i="2" s="1"/>
  <c r="H54" i="2" a="1"/>
  <c r="H54" i="2" s="1"/>
  <c r="I54" i="2" a="1"/>
  <c r="I54" i="2" s="1"/>
  <c r="B55" i="2" a="1"/>
  <c r="B55" i="2" s="1"/>
  <c r="C55" i="2" a="1"/>
  <c r="C55" i="2" s="1"/>
  <c r="E55" i="2" a="1"/>
  <c r="E55" i="2" s="1"/>
  <c r="F55" i="2" a="1"/>
  <c r="F55" i="2" s="1"/>
  <c r="G55" i="2" a="1"/>
  <c r="G55" i="2" s="1"/>
  <c r="H55" i="2" a="1"/>
  <c r="H55" i="2" s="1"/>
  <c r="I55" i="2" a="1"/>
  <c r="I55" i="2" s="1"/>
  <c r="B56" i="2" a="1"/>
  <c r="B56" i="2" s="1"/>
  <c r="C56" i="2" a="1"/>
  <c r="C56" i="2" s="1"/>
  <c r="E56" i="2" a="1"/>
  <c r="E56" i="2" s="1"/>
  <c r="F56" i="2" a="1"/>
  <c r="F56" i="2" s="1"/>
  <c r="G56" i="2" a="1"/>
  <c r="G56" i="2" s="1"/>
  <c r="H56" i="2" a="1"/>
  <c r="H56" i="2" s="1"/>
  <c r="I56" i="2" a="1"/>
  <c r="I56" i="2" s="1"/>
  <c r="B57" i="2" a="1"/>
  <c r="B57" i="2" s="1"/>
  <c r="C57" i="2" a="1"/>
  <c r="C57" i="2" s="1"/>
  <c r="E57" i="2" a="1"/>
  <c r="E57" i="2" s="1"/>
  <c r="F57" i="2" a="1"/>
  <c r="F57" i="2" s="1"/>
  <c r="G57" i="2" a="1"/>
  <c r="G57" i="2" s="1"/>
  <c r="H57" i="2" a="1"/>
  <c r="H57" i="2" s="1"/>
  <c r="I57" i="2" a="1"/>
  <c r="I57" i="2" s="1"/>
  <c r="B58" i="2" a="1"/>
  <c r="B58" i="2" s="1"/>
  <c r="C58" i="2" a="1"/>
  <c r="C58" i="2" s="1"/>
  <c r="E58" i="2" a="1"/>
  <c r="E58" i="2" s="1"/>
  <c r="F58" i="2" a="1"/>
  <c r="F58" i="2" s="1"/>
  <c r="G58" i="2" a="1"/>
  <c r="G58" i="2" s="1"/>
  <c r="H58" i="2" a="1"/>
  <c r="H58" i="2" s="1"/>
  <c r="I58" i="2" a="1"/>
  <c r="I58" i="2" s="1"/>
  <c r="B59" i="2" a="1"/>
  <c r="B59" i="2" s="1"/>
  <c r="C59" i="2" a="1"/>
  <c r="C59" i="2" s="1"/>
  <c r="E59" i="2" a="1"/>
  <c r="E59" i="2" s="1"/>
  <c r="F59" i="2" a="1"/>
  <c r="F59" i="2" s="1"/>
  <c r="G59" i="2" a="1"/>
  <c r="G59" i="2" s="1"/>
  <c r="H59" i="2" a="1"/>
  <c r="H59" i="2" s="1"/>
  <c r="I59" i="2" a="1"/>
  <c r="I59" i="2" s="1"/>
  <c r="B60" i="2" a="1"/>
  <c r="B60" i="2" s="1"/>
  <c r="C60" i="2" a="1"/>
  <c r="C60" i="2" s="1"/>
  <c r="E60" i="2" a="1"/>
  <c r="E60" i="2" s="1"/>
  <c r="F60" i="2" a="1"/>
  <c r="F60" i="2" s="1"/>
  <c r="G60" i="2" a="1"/>
  <c r="G60" i="2" s="1"/>
  <c r="H60" i="2" a="1"/>
  <c r="H60" i="2" s="1"/>
  <c r="I60" i="2" a="1"/>
  <c r="I60" i="2" s="1"/>
  <c r="B61" i="2" a="1"/>
  <c r="B61" i="2" s="1"/>
  <c r="C61" i="2" a="1"/>
  <c r="C61" i="2" s="1"/>
  <c r="E61" i="2" a="1"/>
  <c r="E61" i="2" s="1"/>
  <c r="F61" i="2" a="1"/>
  <c r="F61" i="2" s="1"/>
  <c r="G61" i="2" a="1"/>
  <c r="G61" i="2" s="1"/>
  <c r="H61" i="2" a="1"/>
  <c r="H61" i="2" s="1"/>
  <c r="I61" i="2" a="1"/>
  <c r="I61" i="2" s="1"/>
  <c r="B62" i="2" a="1"/>
  <c r="B62" i="2" s="1"/>
  <c r="C62" i="2" a="1"/>
  <c r="C62" i="2" s="1"/>
  <c r="E62" i="2" a="1"/>
  <c r="E62" i="2" s="1"/>
  <c r="F62" i="2" a="1"/>
  <c r="F62" i="2" s="1"/>
  <c r="G62" i="2" a="1"/>
  <c r="G62" i="2" s="1"/>
  <c r="H62" i="2" a="1"/>
  <c r="H62" i="2" s="1"/>
  <c r="I62" i="2" a="1"/>
  <c r="I62" i="2" s="1"/>
  <c r="B63" i="2" a="1"/>
  <c r="B63" i="2" s="1"/>
  <c r="C63" i="2" a="1"/>
  <c r="C63" i="2" s="1"/>
  <c r="E63" i="2" a="1"/>
  <c r="E63" i="2" s="1"/>
  <c r="F63" i="2" a="1"/>
  <c r="F63" i="2" s="1"/>
  <c r="G63" i="2" a="1"/>
  <c r="G63" i="2" s="1"/>
  <c r="H63" i="2" a="1"/>
  <c r="H63" i="2" s="1"/>
  <c r="I63" i="2" a="1"/>
  <c r="I63" i="2" s="1"/>
  <c r="I34" i="2" a="1"/>
  <c r="I34" i="2" s="1"/>
  <c r="H34" i="2" a="1"/>
  <c r="H34" i="2" s="1"/>
  <c r="G34" i="2" a="1"/>
  <c r="G34" i="2" s="1"/>
  <c r="F34" i="2" a="1"/>
  <c r="F34" i="2" s="1"/>
  <c r="E34" i="2" a="1"/>
  <c r="E34" i="2" s="1"/>
  <c r="C34" i="2" a="1"/>
  <c r="C34" i="2" s="1"/>
  <c r="B34" i="2" a="1"/>
  <c r="B34" i="2" s="1"/>
  <c r="B28" i="2" a="1"/>
  <c r="B28" i="2" s="1"/>
  <c r="C28" i="2" a="1"/>
  <c r="C28" i="2" s="1"/>
  <c r="E28" i="2" a="1"/>
  <c r="E28" i="2" s="1"/>
  <c r="F28" i="2" a="1"/>
  <c r="F28" i="2" s="1"/>
  <c r="G28" i="2" a="1"/>
  <c r="G28" i="2" s="1"/>
  <c r="H28" i="2" a="1"/>
  <c r="H28" i="2" s="1"/>
  <c r="I28" i="2" a="1"/>
  <c r="I28" i="2" s="1"/>
  <c r="B29" i="2" a="1"/>
  <c r="B29" i="2" s="1"/>
  <c r="C29" i="2" a="1"/>
  <c r="C29" i="2" s="1"/>
  <c r="E29" i="2" a="1"/>
  <c r="E29" i="2" s="1"/>
  <c r="F29" i="2" a="1"/>
  <c r="F29" i="2" s="1"/>
  <c r="G29" i="2" a="1"/>
  <c r="G29" i="2" s="1"/>
  <c r="H29" i="2" a="1"/>
  <c r="H29" i="2" s="1"/>
  <c r="I29" i="2" a="1"/>
  <c r="I29" i="2" s="1"/>
  <c r="B30" i="2" a="1"/>
  <c r="B30" i="2" s="1"/>
  <c r="C30" i="2" a="1"/>
  <c r="C30" i="2" s="1"/>
  <c r="E30" i="2" a="1"/>
  <c r="E30" i="2" s="1"/>
  <c r="F30" i="2" a="1"/>
  <c r="F30" i="2" s="1"/>
  <c r="G30" i="2" a="1"/>
  <c r="G30" i="2" s="1"/>
  <c r="H30" i="2" a="1"/>
  <c r="H30" i="2" s="1"/>
  <c r="I30" i="2" a="1"/>
  <c r="I30" i="2" s="1"/>
  <c r="B31" i="2" a="1"/>
  <c r="B31" i="2" s="1"/>
  <c r="C31" i="2" a="1"/>
  <c r="C31" i="2" s="1"/>
  <c r="E31" i="2" a="1"/>
  <c r="E31" i="2" s="1"/>
  <c r="F31" i="2" a="1"/>
  <c r="F31" i="2" s="1"/>
  <c r="G31" i="2" a="1"/>
  <c r="G31" i="2" s="1"/>
  <c r="H31" i="2" a="1"/>
  <c r="H31" i="2" s="1"/>
  <c r="I31" i="2" a="1"/>
  <c r="I31" i="2" s="1"/>
  <c r="H3" i="2" a="1"/>
  <c r="H3" i="2" s="1"/>
  <c r="G3" i="2" a="1"/>
  <c r="G3" i="2" s="1"/>
  <c r="F3" i="2" a="1"/>
  <c r="F3" i="2" s="1"/>
  <c r="E3" i="2" a="1"/>
  <c r="E3" i="2" s="1"/>
  <c r="C3" i="2" a="1"/>
  <c r="C3" i="2" s="1"/>
  <c r="O272" i="1"/>
  <c r="J272" i="1"/>
  <c r="C270" i="9" s="1"/>
  <c r="O271" i="1"/>
  <c r="J271" i="1"/>
  <c r="C269" i="9" s="1"/>
  <c r="O270" i="1"/>
  <c r="J270" i="1"/>
  <c r="C268" i="9" s="1"/>
  <c r="O269" i="1"/>
  <c r="J269" i="1"/>
  <c r="C267" i="9" s="1"/>
  <c r="O268" i="1"/>
  <c r="J268" i="1"/>
  <c r="C266" i="9" s="1"/>
  <c r="O137" i="1"/>
  <c r="J137" i="1"/>
  <c r="O212" i="1"/>
  <c r="J212" i="1"/>
  <c r="O200" i="1"/>
  <c r="J200" i="1"/>
  <c r="O5" i="1"/>
  <c r="J5" i="1"/>
  <c r="O84" i="1"/>
  <c r="J84" i="1"/>
  <c r="O162" i="1"/>
  <c r="J162" i="1"/>
  <c r="O261" i="1"/>
  <c r="J261" i="1"/>
  <c r="O182" i="1"/>
  <c r="J182" i="1"/>
  <c r="O248" i="1"/>
  <c r="J248" i="1"/>
  <c r="O179" i="1"/>
  <c r="J179" i="1"/>
  <c r="O168" i="1"/>
  <c r="J168" i="1"/>
  <c r="O149" i="1"/>
  <c r="J149" i="1"/>
  <c r="O119" i="1"/>
  <c r="J119" i="1"/>
  <c r="O46" i="1"/>
  <c r="D67" i="2" s="1" a="1"/>
  <c r="D67" i="2" s="1"/>
  <c r="J46" i="1"/>
  <c r="O232" i="1" l="1"/>
  <c r="D26" i="2" s="1" a="1"/>
  <c r="D26" i="2" s="1"/>
  <c r="O214" i="1"/>
  <c r="O211" i="1"/>
  <c r="O213" i="1"/>
  <c r="O10" i="1" l="1"/>
  <c r="J10" i="1"/>
  <c r="E10" i="1"/>
  <c r="B216" i="15" l="1"/>
  <c r="B217" i="15"/>
  <c r="B218" i="15"/>
  <c r="B219" i="15"/>
  <c r="B220" i="15"/>
  <c r="B221" i="15"/>
  <c r="B222" i="15"/>
  <c r="B223" i="15"/>
  <c r="B224" i="15"/>
  <c r="B225" i="15"/>
  <c r="B226" i="15"/>
  <c r="B227" i="15"/>
  <c r="B228" i="15"/>
  <c r="B229" i="15"/>
  <c r="B230" i="15"/>
  <c r="B231" i="15"/>
  <c r="B232" i="15"/>
  <c r="B233" i="15"/>
  <c r="B234" i="15"/>
  <c r="B235" i="15"/>
  <c r="B236" i="15"/>
  <c r="B237" i="15"/>
  <c r="B238" i="15"/>
  <c r="B239" i="15"/>
  <c r="B240" i="15"/>
  <c r="B241" i="15"/>
  <c r="B242" i="15"/>
  <c r="B243" i="15"/>
  <c r="B244" i="15"/>
  <c r="B245" i="15"/>
  <c r="B246" i="15"/>
  <c r="B247" i="15"/>
  <c r="B248" i="15"/>
  <c r="B249" i="15"/>
  <c r="B250" i="15"/>
  <c r="B216" i="9"/>
  <c r="B217" i="9"/>
  <c r="B218" i="9"/>
  <c r="B219" i="9"/>
  <c r="B220" i="9"/>
  <c r="B221" i="9"/>
  <c r="B222" i="9"/>
  <c r="B223" i="9"/>
  <c r="B224" i="9"/>
  <c r="B225" i="9"/>
  <c r="B226" i="9"/>
  <c r="B227" i="9"/>
  <c r="B228" i="9"/>
  <c r="B229" i="9"/>
  <c r="B230" i="9"/>
  <c r="B231" i="9"/>
  <c r="B232" i="9"/>
  <c r="B233" i="9"/>
  <c r="B234" i="9"/>
  <c r="B235" i="9"/>
  <c r="B236" i="9"/>
  <c r="B237" i="9"/>
  <c r="B238" i="9"/>
  <c r="B239" i="9"/>
  <c r="B240" i="9"/>
  <c r="B241" i="9"/>
  <c r="B242" i="9"/>
  <c r="B243" i="9"/>
  <c r="B244" i="9"/>
  <c r="B245" i="9"/>
  <c r="B246" i="9"/>
  <c r="B247" i="9"/>
  <c r="B248" i="9"/>
  <c r="B249" i="9"/>
  <c r="B250" i="9"/>
  <c r="O191" i="1" l="1"/>
  <c r="D108" i="2" s="1" a="1"/>
  <c r="D108" i="2" s="1"/>
  <c r="J232" i="1" l="1"/>
  <c r="E232" i="1"/>
  <c r="O230" i="1"/>
  <c r="D176" i="2" s="1" a="1"/>
  <c r="D176" i="2" s="1"/>
  <c r="J230" i="1"/>
  <c r="E230" i="1"/>
  <c r="O219" i="1"/>
  <c r="J219" i="1"/>
  <c r="E219" i="1"/>
  <c r="O170" i="1"/>
  <c r="D106" i="2" s="1" a="1"/>
  <c r="D106" i="2" s="1"/>
  <c r="J170" i="1"/>
  <c r="E170" i="1"/>
  <c r="O133" i="1"/>
  <c r="J133" i="1"/>
  <c r="E133" i="1"/>
  <c r="O116" i="1"/>
  <c r="J116" i="1"/>
  <c r="E116" i="1"/>
  <c r="O82" i="1"/>
  <c r="J82" i="1"/>
  <c r="E82" i="1"/>
  <c r="O79" i="1"/>
  <c r="J79" i="1"/>
  <c r="E79" i="1"/>
  <c r="O53" i="1"/>
  <c r="D11" i="2" s="1" a="1"/>
  <c r="D11" i="2" s="1"/>
  <c r="J53" i="1"/>
  <c r="E53" i="1"/>
  <c r="O103" i="1"/>
  <c r="D15" i="2" s="1" a="1"/>
  <c r="D15" i="2" s="1"/>
  <c r="J103" i="1"/>
  <c r="E103" i="1"/>
  <c r="O251" i="1"/>
  <c r="D207" i="2" s="1" a="1"/>
  <c r="D207" i="2" s="1"/>
  <c r="J251" i="1"/>
  <c r="C246" i="16" s="1"/>
  <c r="E251" i="1"/>
  <c r="A246" i="16" s="1"/>
  <c r="O12" i="1"/>
  <c r="D3" i="2" s="1" a="1"/>
  <c r="D3" i="2" s="1"/>
  <c r="J12" i="1"/>
  <c r="E12" i="1"/>
  <c r="O8" i="1"/>
  <c r="J8" i="1"/>
  <c r="C9" i="16" s="1"/>
  <c r="E8" i="1"/>
  <c r="A9" i="16" s="1"/>
  <c r="O171" i="1"/>
  <c r="J171" i="1"/>
  <c r="E171" i="1"/>
  <c r="O154" i="1"/>
  <c r="J154" i="1"/>
  <c r="E154" i="1"/>
  <c r="O62" i="1"/>
  <c r="J62" i="1"/>
  <c r="E62" i="1"/>
  <c r="O199" i="1"/>
  <c r="J199" i="1"/>
  <c r="E199" i="1"/>
  <c r="O64" i="1"/>
  <c r="J64" i="1"/>
  <c r="E64" i="1"/>
  <c r="O107" i="1"/>
  <c r="D234" i="2" s="1" a="1"/>
  <c r="D234" i="2" s="1"/>
  <c r="J107" i="1"/>
  <c r="E107" i="1"/>
  <c r="O239" i="1"/>
  <c r="J239" i="1"/>
  <c r="E239" i="1"/>
  <c r="O237" i="1"/>
  <c r="D205" i="2" s="1" a="1"/>
  <c r="D205" i="2" s="1"/>
  <c r="J237" i="1"/>
  <c r="E237" i="1"/>
  <c r="O227" i="1"/>
  <c r="J227" i="1"/>
  <c r="E227" i="1"/>
  <c r="O120" i="1"/>
  <c r="J120" i="1"/>
  <c r="E120" i="1"/>
  <c r="B206" i="15" l="1"/>
  <c r="B207" i="15"/>
  <c r="B208" i="15"/>
  <c r="B209" i="15"/>
  <c r="B210" i="15"/>
  <c r="B211" i="15"/>
  <c r="B212" i="15"/>
  <c r="B213" i="15"/>
  <c r="B214" i="15"/>
  <c r="B215" i="15"/>
  <c r="B202" i="9"/>
  <c r="B203" i="9"/>
  <c r="B204" i="9"/>
  <c r="B205" i="9"/>
  <c r="B206" i="9"/>
  <c r="B207" i="9"/>
  <c r="B208" i="9"/>
  <c r="B209" i="9"/>
  <c r="B210" i="9"/>
  <c r="B211" i="9"/>
  <c r="B212" i="9"/>
  <c r="B213" i="9"/>
  <c r="B214" i="9"/>
  <c r="B215" i="9"/>
  <c r="C7" i="16"/>
  <c r="A7" i="16"/>
  <c r="J61" i="1"/>
  <c r="E61" i="1"/>
  <c r="J89" i="1"/>
  <c r="E89" i="1"/>
  <c r="J130" i="1"/>
  <c r="E130" i="1"/>
  <c r="C7" i="15" l="1"/>
  <c r="B3" i="15"/>
  <c r="B4" i="15"/>
  <c r="B5" i="15"/>
  <c r="B6" i="15"/>
  <c r="A7" i="15"/>
  <c r="B7" i="15"/>
  <c r="B8" i="15"/>
  <c r="B9" i="15"/>
  <c r="B10" i="15"/>
  <c r="B11" i="15"/>
  <c r="B12" i="15"/>
  <c r="B13" i="15"/>
  <c r="B14" i="15"/>
  <c r="B15" i="15"/>
  <c r="B16" i="15"/>
  <c r="B17" i="15"/>
  <c r="B18" i="15"/>
  <c r="B19" i="15"/>
  <c r="B20" i="15"/>
  <c r="B21" i="15"/>
  <c r="B22" i="15"/>
  <c r="B23" i="15"/>
  <c r="B24" i="15"/>
  <c r="B25" i="15"/>
  <c r="B26" i="15"/>
  <c r="B27" i="15"/>
  <c r="B28" i="15"/>
  <c r="B29" i="15"/>
  <c r="B30" i="15"/>
  <c r="B31" i="15"/>
  <c r="B32" i="15"/>
  <c r="B33" i="15"/>
  <c r="B34" i="15"/>
  <c r="B35" i="15"/>
  <c r="B36" i="15"/>
  <c r="B37" i="15"/>
  <c r="B38" i="15"/>
  <c r="B39" i="15"/>
  <c r="B40" i="15"/>
  <c r="B41" i="15"/>
  <c r="B42" i="15"/>
  <c r="B43" i="15"/>
  <c r="B44" i="15"/>
  <c r="B45" i="15"/>
  <c r="B46" i="15"/>
  <c r="B47" i="15"/>
  <c r="B48" i="15"/>
  <c r="B49" i="15"/>
  <c r="B50" i="15"/>
  <c r="B51" i="15"/>
  <c r="B52" i="15"/>
  <c r="B53" i="15"/>
  <c r="B54" i="15"/>
  <c r="B55" i="15"/>
  <c r="B56" i="15"/>
  <c r="B57" i="15"/>
  <c r="B58" i="15"/>
  <c r="B59" i="15"/>
  <c r="B60" i="15"/>
  <c r="B61" i="15"/>
  <c r="B62" i="15"/>
  <c r="B63" i="15"/>
  <c r="B64" i="15"/>
  <c r="B65" i="15"/>
  <c r="B66" i="15"/>
  <c r="B67" i="15"/>
  <c r="B68" i="15"/>
  <c r="B69" i="15"/>
  <c r="B70" i="15"/>
  <c r="B71" i="15"/>
  <c r="B72" i="15"/>
  <c r="B73" i="15"/>
  <c r="B74" i="15"/>
  <c r="B75" i="15"/>
  <c r="B76" i="15"/>
  <c r="B77" i="15"/>
  <c r="B78" i="15"/>
  <c r="B79" i="15"/>
  <c r="B80" i="15"/>
  <c r="B81" i="15"/>
  <c r="B82" i="15"/>
  <c r="B83" i="15"/>
  <c r="B84" i="15"/>
  <c r="B85" i="15"/>
  <c r="B86" i="15"/>
  <c r="B87" i="15"/>
  <c r="B88" i="15"/>
  <c r="B89" i="15"/>
  <c r="B90" i="15"/>
  <c r="B91" i="15"/>
  <c r="B92" i="15"/>
  <c r="B93" i="15"/>
  <c r="B94" i="15"/>
  <c r="B95" i="15"/>
  <c r="B96" i="15"/>
  <c r="B97" i="15"/>
  <c r="B98" i="15"/>
  <c r="B99" i="15"/>
  <c r="B100" i="15"/>
  <c r="B101" i="15"/>
  <c r="B102" i="15"/>
  <c r="B103" i="15"/>
  <c r="B104" i="15"/>
  <c r="B105" i="15"/>
  <c r="B106" i="15"/>
  <c r="B107" i="15"/>
  <c r="B108" i="15"/>
  <c r="B109" i="15"/>
  <c r="B110" i="15"/>
  <c r="B111" i="15"/>
  <c r="B112" i="15"/>
  <c r="B113" i="15"/>
  <c r="B114" i="15"/>
  <c r="B115" i="15"/>
  <c r="B116" i="15"/>
  <c r="B117" i="15"/>
  <c r="B118" i="15"/>
  <c r="B119" i="15"/>
  <c r="B120" i="15"/>
  <c r="B121" i="15"/>
  <c r="B122" i="15"/>
  <c r="B123" i="15"/>
  <c r="B124" i="15"/>
  <c r="B125" i="15"/>
  <c r="B126" i="15"/>
  <c r="B127" i="15"/>
  <c r="B128" i="15"/>
  <c r="B129" i="15"/>
  <c r="B130" i="15"/>
  <c r="B131" i="15"/>
  <c r="B132" i="15"/>
  <c r="B133" i="15"/>
  <c r="B134" i="15"/>
  <c r="B135" i="15"/>
  <c r="B136" i="15"/>
  <c r="B137" i="15"/>
  <c r="B138" i="15"/>
  <c r="B139" i="15"/>
  <c r="B140" i="15"/>
  <c r="B141" i="15"/>
  <c r="B142" i="15"/>
  <c r="B143" i="15"/>
  <c r="B144" i="15"/>
  <c r="B145" i="15"/>
  <c r="B146" i="15"/>
  <c r="B147" i="15"/>
  <c r="B148" i="15"/>
  <c r="B149" i="15"/>
  <c r="B150" i="15"/>
  <c r="B151" i="15"/>
  <c r="B152" i="15"/>
  <c r="B153" i="15"/>
  <c r="B154" i="15"/>
  <c r="B155" i="15"/>
  <c r="B156" i="15"/>
  <c r="B157" i="15"/>
  <c r="B158" i="15"/>
  <c r="B159" i="15"/>
  <c r="B160" i="15"/>
  <c r="B161" i="15"/>
  <c r="B162" i="15"/>
  <c r="B163" i="15"/>
  <c r="B164" i="15"/>
  <c r="B165" i="15"/>
  <c r="B166" i="15"/>
  <c r="B167" i="15"/>
  <c r="B168" i="15"/>
  <c r="B169" i="15"/>
  <c r="B170" i="15"/>
  <c r="B171" i="15"/>
  <c r="B172" i="15"/>
  <c r="B173" i="15"/>
  <c r="B174" i="15"/>
  <c r="B175" i="15"/>
  <c r="B176" i="15"/>
  <c r="B177" i="15"/>
  <c r="B178" i="15"/>
  <c r="B179" i="15"/>
  <c r="B180" i="15"/>
  <c r="B181" i="15"/>
  <c r="B182" i="15"/>
  <c r="B183" i="15"/>
  <c r="B184" i="15"/>
  <c r="B185" i="15"/>
  <c r="B186" i="15"/>
  <c r="B187" i="15"/>
  <c r="B188" i="15"/>
  <c r="B189" i="15"/>
  <c r="B190" i="15"/>
  <c r="B191" i="15"/>
  <c r="B192" i="15"/>
  <c r="B193" i="15"/>
  <c r="B194" i="15"/>
  <c r="B195" i="15"/>
  <c r="B196" i="15"/>
  <c r="B197" i="15"/>
  <c r="B198" i="15"/>
  <c r="B199" i="15"/>
  <c r="B200" i="15"/>
  <c r="B201" i="15"/>
  <c r="B202" i="15"/>
  <c r="B203" i="15"/>
  <c r="B204" i="15"/>
  <c r="B205" i="15"/>
  <c r="B2" i="15"/>
  <c r="O6" i="1" l="1"/>
  <c r="D130" i="2" s="1" a="1"/>
  <c r="D130" i="2" s="1"/>
  <c r="O13" i="1"/>
  <c r="D4" i="2" s="1" a="1"/>
  <c r="D4" i="2" s="1"/>
  <c r="O14" i="1"/>
  <c r="O15" i="1"/>
  <c r="O19" i="1"/>
  <c r="O22" i="1"/>
  <c r="D226" i="2" s="1" a="1"/>
  <c r="D226" i="2" s="1"/>
  <c r="O24" i="1"/>
  <c r="D6" i="2" s="1" a="1"/>
  <c r="D6" i="2" s="1"/>
  <c r="O25" i="1"/>
  <c r="D133" i="2" s="1" a="1"/>
  <c r="D133" i="2" s="1"/>
  <c r="O27" i="1"/>
  <c r="D7" i="2" s="1" a="1"/>
  <c r="D7" i="2" s="1"/>
  <c r="O30" i="1"/>
  <c r="D227" i="2" s="1" a="1"/>
  <c r="D227" i="2" s="1"/>
  <c r="O31" i="1"/>
  <c r="D162" i="2" s="1" a="1"/>
  <c r="D162" i="2" s="1"/>
  <c r="O33" i="1"/>
  <c r="O35" i="1"/>
  <c r="D163" i="2" s="1" a="1"/>
  <c r="D163" i="2" s="1"/>
  <c r="O36" i="1"/>
  <c r="O40" i="1"/>
  <c r="D194" i="2" s="1" a="1"/>
  <c r="D194" i="2" s="1"/>
  <c r="O43" i="1"/>
  <c r="D9" i="2" s="1" a="1"/>
  <c r="D9" i="2" s="1"/>
  <c r="O44" i="1"/>
  <c r="D195" i="2" s="1" a="1"/>
  <c r="D195" i="2" s="1"/>
  <c r="O45" i="1"/>
  <c r="D10" i="2" s="1" a="1"/>
  <c r="D10" i="2" s="1"/>
  <c r="O47" i="1"/>
  <c r="O48" i="1"/>
  <c r="D134" i="2" s="1" a="1"/>
  <c r="D134" i="2" s="1"/>
  <c r="O51" i="1"/>
  <c r="D228" i="2" s="1" a="1"/>
  <c r="D228" i="2" s="1"/>
  <c r="O52" i="1"/>
  <c r="D229" i="2" s="1" a="1"/>
  <c r="D229" i="2" s="1"/>
  <c r="O54" i="1"/>
  <c r="O55" i="1"/>
  <c r="D230" i="2" s="1" a="1"/>
  <c r="D230" i="2" s="1"/>
  <c r="O56" i="1"/>
  <c r="D196" i="2" s="1" a="1"/>
  <c r="D196" i="2" s="1"/>
  <c r="O57" i="1"/>
  <c r="D166" i="2" s="1" a="1"/>
  <c r="D166" i="2" s="1"/>
  <c r="O58" i="1"/>
  <c r="D197" i="2" s="1" a="1"/>
  <c r="D197" i="2" s="1"/>
  <c r="O59" i="1"/>
  <c r="D198" i="2" s="1" a="1"/>
  <c r="D198" i="2" s="1"/>
  <c r="O63" i="1"/>
  <c r="D231" i="2" s="1" a="1"/>
  <c r="D231" i="2" s="1"/>
  <c r="O67" i="1"/>
  <c r="D199" i="2" s="1" a="1"/>
  <c r="D199" i="2" s="1"/>
  <c r="O69" i="1"/>
  <c r="O71" i="1"/>
  <c r="O73" i="1"/>
  <c r="O75" i="1"/>
  <c r="D12" i="2" s="1" a="1"/>
  <c r="D12" i="2" s="1"/>
  <c r="O76" i="1"/>
  <c r="D167" i="2" s="1" a="1"/>
  <c r="D167" i="2" s="1"/>
  <c r="O77" i="1"/>
  <c r="D100" i="2" s="1" a="1"/>
  <c r="D100" i="2" s="1"/>
  <c r="O78" i="1"/>
  <c r="D168" i="2" s="1" a="1"/>
  <c r="D168" i="2" s="1"/>
  <c r="O81" i="1"/>
  <c r="D136" i="2" s="1" a="1"/>
  <c r="D136" i="2" s="1"/>
  <c r="O87" i="1"/>
  <c r="O88" i="1"/>
  <c r="O90" i="1"/>
  <c r="D13" i="2" s="1" a="1"/>
  <c r="D13" i="2" s="1"/>
  <c r="O91" i="1"/>
  <c r="D200" i="2" s="1" a="1"/>
  <c r="D200" i="2" s="1"/>
  <c r="O92" i="1"/>
  <c r="D201" i="2" s="1" a="1"/>
  <c r="D201" i="2" s="1"/>
  <c r="O93" i="1"/>
  <c r="D101" i="2" s="1" a="1"/>
  <c r="D101" i="2" s="1"/>
  <c r="O98" i="1"/>
  <c r="O101" i="1"/>
  <c r="O102" i="1"/>
  <c r="D14" i="2" s="1" a="1"/>
  <c r="D14" i="2" s="1"/>
  <c r="O105" i="1"/>
  <c r="D138" i="2" s="1" a="1"/>
  <c r="D138" i="2" s="1"/>
  <c r="O106" i="1"/>
  <c r="O113" i="1"/>
  <c r="O122" i="1"/>
  <c r="O123" i="1"/>
  <c r="O127" i="1"/>
  <c r="D140" i="2" s="1" a="1"/>
  <c r="D140" i="2" s="1"/>
  <c r="O135" i="1"/>
  <c r="O142" i="1"/>
  <c r="D235" i="2" s="1" a="1"/>
  <c r="D235" i="2" s="1"/>
  <c r="O144" i="1"/>
  <c r="D171" i="2" s="1" a="1"/>
  <c r="D171" i="2" s="1"/>
  <c r="O146" i="1"/>
  <c r="O147" i="1"/>
  <c r="O153" i="1"/>
  <c r="D173" i="2" s="1" a="1"/>
  <c r="D173" i="2" s="1"/>
  <c r="O159" i="1"/>
  <c r="O161" i="1"/>
  <c r="D236" i="2" s="1" a="1"/>
  <c r="D236" i="2" s="1"/>
  <c r="O163" i="1"/>
  <c r="O165" i="1"/>
  <c r="D237" i="2" s="1" a="1"/>
  <c r="D237" i="2" s="1"/>
  <c r="O166" i="1"/>
  <c r="D142" i="2" s="1" a="1"/>
  <c r="D142" i="2" s="1"/>
  <c r="O169" i="1"/>
  <c r="O175" i="1"/>
  <c r="O176" i="1"/>
  <c r="D143" i="2" s="1" a="1"/>
  <c r="D143" i="2" s="1"/>
  <c r="O177" i="1"/>
  <c r="O192" i="1"/>
  <c r="O196" i="1"/>
  <c r="O198" i="1"/>
  <c r="O205" i="1"/>
  <c r="D21" i="2" s="1" a="1"/>
  <c r="D21" i="2" s="1"/>
  <c r="O207" i="1"/>
  <c r="D238" i="2" s="1" a="1"/>
  <c r="D238" i="2" s="1"/>
  <c r="O209" i="1"/>
  <c r="D174" i="2" s="1" a="1"/>
  <c r="D174" i="2" s="1"/>
  <c r="O215" i="1"/>
  <c r="D23" i="2" s="1" a="1"/>
  <c r="D23" i="2" s="1"/>
  <c r="O218" i="1"/>
  <c r="D239" i="2" s="1" a="1"/>
  <c r="D239" i="2" s="1"/>
  <c r="O225" i="1"/>
  <c r="O226" i="1"/>
  <c r="D25" i="2" s="1" a="1"/>
  <c r="D25" i="2" s="1"/>
  <c r="O238" i="1"/>
  <c r="O240" i="1"/>
  <c r="D146" i="2" s="1" a="1"/>
  <c r="D146" i="2" s="1"/>
  <c r="O241" i="1"/>
  <c r="O243" i="1"/>
  <c r="D177" i="2" s="1" a="1"/>
  <c r="D177" i="2" s="1"/>
  <c r="O244" i="1"/>
  <c r="D242" i="2" s="1" a="1"/>
  <c r="D242" i="2" s="1"/>
  <c r="O245" i="1"/>
  <c r="D206" i="2" s="1" a="1"/>
  <c r="D206" i="2" s="1"/>
  <c r="O246" i="1"/>
  <c r="O247" i="1"/>
  <c r="O257" i="1"/>
  <c r="D243" i="2" s="1" a="1"/>
  <c r="D243" i="2" s="1"/>
  <c r="O259" i="1"/>
  <c r="D244" i="2" s="1" a="1"/>
  <c r="D244" i="2" s="1"/>
  <c r="O262" i="1"/>
  <c r="D245" i="2" s="1" a="1"/>
  <c r="D245" i="2" s="1"/>
  <c r="O263" i="1"/>
  <c r="D246" i="2" s="1" a="1"/>
  <c r="D246" i="2" s="1"/>
  <c r="O264" i="1"/>
  <c r="D208" i="2" s="1" a="1"/>
  <c r="D208" i="2" s="1"/>
  <c r="O265" i="1"/>
  <c r="O266" i="1"/>
  <c r="D247" i="2" s="1" a="1"/>
  <c r="D247" i="2" s="1"/>
  <c r="D147" i="2" l="1" a="1"/>
  <c r="D147" i="2" s="1"/>
  <c r="D148" i="2" a="1"/>
  <c r="D148" i="2" s="1"/>
  <c r="D144" i="2" a="1"/>
  <c r="D144" i="2" s="1"/>
  <c r="D145" i="2" a="1"/>
  <c r="D145" i="2" s="1"/>
  <c r="D210" i="2" a="1"/>
  <c r="D210" i="2" s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91" i="9"/>
  <c r="B92" i="9"/>
  <c r="B93" i="9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B131" i="9"/>
  <c r="B132" i="9"/>
  <c r="B133" i="9"/>
  <c r="B134" i="9"/>
  <c r="B135" i="9"/>
  <c r="B136" i="9"/>
  <c r="B137" i="9"/>
  <c r="B138" i="9"/>
  <c r="B139" i="9"/>
  <c r="B140" i="9"/>
  <c r="B141" i="9"/>
  <c r="B142" i="9"/>
  <c r="B143" i="9"/>
  <c r="B144" i="9"/>
  <c r="B145" i="9"/>
  <c r="B146" i="9"/>
  <c r="B147" i="9"/>
  <c r="B148" i="9"/>
  <c r="B149" i="9"/>
  <c r="B150" i="9"/>
  <c r="B151" i="9"/>
  <c r="B152" i="9"/>
  <c r="B153" i="9"/>
  <c r="B154" i="9"/>
  <c r="B155" i="9"/>
  <c r="B156" i="9"/>
  <c r="B157" i="9"/>
  <c r="B158" i="9"/>
  <c r="B159" i="9"/>
  <c r="B160" i="9"/>
  <c r="B161" i="9"/>
  <c r="B162" i="9"/>
  <c r="B163" i="9"/>
  <c r="B164" i="9"/>
  <c r="B165" i="9"/>
  <c r="B166" i="9"/>
  <c r="B167" i="9"/>
  <c r="B168" i="9"/>
  <c r="B169" i="9"/>
  <c r="B170" i="9"/>
  <c r="B171" i="9"/>
  <c r="B172" i="9"/>
  <c r="B173" i="9"/>
  <c r="B174" i="9"/>
  <c r="B175" i="9"/>
  <c r="B176" i="9"/>
  <c r="B177" i="9"/>
  <c r="B178" i="9"/>
  <c r="B179" i="9"/>
  <c r="B180" i="9"/>
  <c r="B181" i="9"/>
  <c r="B182" i="9"/>
  <c r="B183" i="9"/>
  <c r="B184" i="9"/>
  <c r="B185" i="9"/>
  <c r="B186" i="9"/>
  <c r="B187" i="9"/>
  <c r="B188" i="9"/>
  <c r="B189" i="9"/>
  <c r="B190" i="9"/>
  <c r="B191" i="9"/>
  <c r="B192" i="9"/>
  <c r="B193" i="9"/>
  <c r="B194" i="9"/>
  <c r="B195" i="9"/>
  <c r="B196" i="9"/>
  <c r="B197" i="9"/>
  <c r="B198" i="9"/>
  <c r="B199" i="9"/>
  <c r="B200" i="9"/>
  <c r="B201" i="9"/>
  <c r="A3" i="13" l="1"/>
  <c r="E3" i="13" s="1" a="1"/>
  <c r="E3" i="13" s="1"/>
  <c r="B3" i="13"/>
  <c r="C3" i="13"/>
  <c r="D3" i="13"/>
  <c r="A4" i="13"/>
  <c r="E4" i="13" s="1" a="1"/>
  <c r="E4" i="13" s="1"/>
  <c r="B4" i="13"/>
  <c r="C4" i="13"/>
  <c r="D4" i="13"/>
  <c r="A5" i="13"/>
  <c r="E5" i="13" s="1" a="1"/>
  <c r="E5" i="13" s="1"/>
  <c r="B5" i="13"/>
  <c r="C5" i="13"/>
  <c r="D5" i="13"/>
  <c r="E6" i="13" a="1"/>
  <c r="E6" i="13" s="1"/>
  <c r="B6" i="13"/>
  <c r="C6" i="13"/>
  <c r="D6" i="13"/>
  <c r="E7" i="13" a="1"/>
  <c r="E7" i="13" s="1"/>
  <c r="B7" i="13"/>
  <c r="C7" i="13"/>
  <c r="D7" i="13"/>
  <c r="A8" i="13"/>
  <c r="E8" i="13" s="1" a="1"/>
  <c r="E8" i="13" s="1"/>
  <c r="B8" i="13"/>
  <c r="C8" i="13"/>
  <c r="D8" i="13"/>
  <c r="A9" i="13"/>
  <c r="E9" i="13" s="1" a="1"/>
  <c r="E9" i="13" s="1"/>
  <c r="B9" i="13"/>
  <c r="C9" i="13"/>
  <c r="D9" i="13"/>
  <c r="A10" i="13"/>
  <c r="E10" i="13" s="1" a="1"/>
  <c r="E10" i="13" s="1"/>
  <c r="B10" i="13"/>
  <c r="C10" i="13"/>
  <c r="D10" i="13"/>
  <c r="E11" i="13" a="1"/>
  <c r="E11" i="13" s="1"/>
  <c r="B11" i="13"/>
  <c r="C11" i="13"/>
  <c r="D11" i="13"/>
  <c r="E12" i="13" a="1"/>
  <c r="E12" i="13" s="1"/>
  <c r="B12" i="13"/>
  <c r="C12" i="13"/>
  <c r="D12" i="13"/>
  <c r="A13" i="13"/>
  <c r="E13" i="13" s="1" a="1"/>
  <c r="E13" i="13" s="1"/>
  <c r="B13" i="13"/>
  <c r="C13" i="13"/>
  <c r="D13" i="13"/>
  <c r="E14" i="13" a="1"/>
  <c r="E14" i="13" s="1"/>
  <c r="B14" i="13"/>
  <c r="C14" i="13"/>
  <c r="D14" i="13"/>
  <c r="A15" i="13"/>
  <c r="E15" i="13" s="1" a="1"/>
  <c r="E15" i="13" s="1"/>
  <c r="B15" i="13"/>
  <c r="C15" i="13"/>
  <c r="D15" i="13"/>
  <c r="A16" i="13"/>
  <c r="E16" i="13" s="1" a="1"/>
  <c r="E16" i="13" s="1"/>
  <c r="B16" i="13"/>
  <c r="C16" i="13"/>
  <c r="D16" i="13"/>
  <c r="E17" i="13" a="1"/>
  <c r="E17" i="13" s="1"/>
  <c r="B17" i="13"/>
  <c r="C17" i="13"/>
  <c r="D17" i="13"/>
  <c r="E18" i="13" a="1"/>
  <c r="E18" i="13" s="1"/>
  <c r="B18" i="13"/>
  <c r="C18" i="13"/>
  <c r="D18" i="13"/>
  <c r="E19" i="13" a="1"/>
  <c r="E19" i="13" s="1"/>
  <c r="B19" i="13"/>
  <c r="C19" i="13"/>
  <c r="D19" i="13"/>
  <c r="E20" i="13" a="1"/>
  <c r="E20" i="13" s="1"/>
  <c r="B20" i="13"/>
  <c r="C20" i="13"/>
  <c r="D20" i="13"/>
  <c r="A21" i="13"/>
  <c r="E21" i="13" s="1" a="1"/>
  <c r="E21" i="13" s="1"/>
  <c r="B21" i="13"/>
  <c r="C21" i="13"/>
  <c r="D21" i="13"/>
  <c r="A22" i="13"/>
  <c r="E22" i="13" s="1" a="1"/>
  <c r="E22" i="13" s="1"/>
  <c r="B22" i="13"/>
  <c r="C22" i="13"/>
  <c r="D22" i="13"/>
  <c r="E23" i="13" a="1"/>
  <c r="E23" i="13" s="1"/>
  <c r="B23" i="13"/>
  <c r="C23" i="13"/>
  <c r="D23" i="13"/>
  <c r="E24" i="13" a="1"/>
  <c r="E24" i="13" s="1"/>
  <c r="B24" i="13"/>
  <c r="D24" i="13"/>
  <c r="E25" i="13" a="1"/>
  <c r="E25" i="13" s="1"/>
  <c r="B25" i="13"/>
  <c r="C25" i="13"/>
  <c r="D25" i="13"/>
  <c r="E26" i="13" a="1"/>
  <c r="E26" i="13" s="1"/>
  <c r="B26" i="13"/>
  <c r="C26" i="13"/>
  <c r="D26" i="13"/>
  <c r="E27" i="13" a="1"/>
  <c r="E27" i="13" s="1"/>
  <c r="B27" i="13"/>
  <c r="C27" i="13"/>
  <c r="D27" i="13"/>
  <c r="A28" i="13"/>
  <c r="E28" i="13" s="1" a="1"/>
  <c r="E28" i="13" s="1"/>
  <c r="B28" i="13"/>
  <c r="C28" i="13"/>
  <c r="D28" i="13"/>
  <c r="E29" i="13" a="1"/>
  <c r="E29" i="13" s="1"/>
  <c r="B29" i="13"/>
  <c r="C29" i="13"/>
  <c r="D29" i="13"/>
  <c r="A30" i="13"/>
  <c r="E30" i="13" s="1" a="1"/>
  <c r="E30" i="13" s="1"/>
  <c r="B30" i="13"/>
  <c r="C30" i="13"/>
  <c r="D30" i="13"/>
  <c r="E31" i="13" a="1"/>
  <c r="E31" i="13" s="1"/>
  <c r="B31" i="13"/>
  <c r="C31" i="13"/>
  <c r="D31" i="13"/>
  <c r="A32" i="13"/>
  <c r="E32" i="13" s="1" a="1"/>
  <c r="E32" i="13" s="1"/>
  <c r="B32" i="13"/>
  <c r="C32" i="13"/>
  <c r="D32" i="13"/>
  <c r="A33" i="13"/>
  <c r="E33" i="13" s="1" a="1"/>
  <c r="E33" i="13" s="1"/>
  <c r="B33" i="13"/>
  <c r="C33" i="13"/>
  <c r="D33" i="13"/>
  <c r="E34" i="13" a="1"/>
  <c r="E34" i="13" s="1"/>
  <c r="B34" i="13"/>
  <c r="C34" i="13"/>
  <c r="D34" i="13"/>
  <c r="E35" i="13" a="1"/>
  <c r="E35" i="13" s="1"/>
  <c r="B35" i="13"/>
  <c r="C35" i="13"/>
  <c r="D35" i="13"/>
  <c r="E36" i="13" a="1"/>
  <c r="E36" i="13" s="1"/>
  <c r="B36" i="13"/>
  <c r="C36" i="13"/>
  <c r="D36" i="13"/>
  <c r="E37" i="13" a="1"/>
  <c r="E37" i="13" s="1"/>
  <c r="B37" i="13"/>
  <c r="C37" i="13"/>
  <c r="D37" i="13"/>
  <c r="E38" i="13" a="1"/>
  <c r="E38" i="13" s="1"/>
  <c r="B38" i="13"/>
  <c r="C38" i="13"/>
  <c r="D38" i="13"/>
  <c r="E39" i="13" a="1"/>
  <c r="E39" i="13" s="1"/>
  <c r="B39" i="13"/>
  <c r="C39" i="13"/>
  <c r="D39" i="13"/>
  <c r="E40" i="13" a="1"/>
  <c r="E40" i="13" s="1"/>
  <c r="B40" i="13"/>
  <c r="C40" i="13"/>
  <c r="D40" i="13"/>
  <c r="E41" i="13" a="1"/>
  <c r="E41" i="13" s="1"/>
  <c r="B41" i="13"/>
  <c r="C41" i="13"/>
  <c r="D41" i="13"/>
  <c r="E42" i="13" a="1"/>
  <c r="E42" i="13" s="1"/>
  <c r="B42" i="13"/>
  <c r="C42" i="13"/>
  <c r="D42" i="13"/>
  <c r="E43" i="13" a="1"/>
  <c r="E43" i="13" s="1"/>
  <c r="B43" i="13"/>
  <c r="C43" i="13"/>
  <c r="D43" i="13"/>
  <c r="E44" i="13" a="1"/>
  <c r="E44" i="13" s="1"/>
  <c r="B44" i="13"/>
  <c r="C44" i="13"/>
  <c r="D44" i="13"/>
  <c r="E45" i="13" a="1"/>
  <c r="E45" i="13" s="1"/>
  <c r="B45" i="13"/>
  <c r="C45" i="13"/>
  <c r="D45" i="13"/>
  <c r="E46" i="13" a="1"/>
  <c r="E46" i="13" s="1"/>
  <c r="B46" i="13"/>
  <c r="C46" i="13"/>
  <c r="D46" i="13"/>
  <c r="A47" i="13"/>
  <c r="E47" i="13" s="1" a="1"/>
  <c r="E47" i="13" s="1"/>
  <c r="B47" i="13"/>
  <c r="C47" i="13"/>
  <c r="D47" i="13"/>
  <c r="A48" i="13"/>
  <c r="E48" i="13" s="1" a="1"/>
  <c r="E48" i="13" s="1"/>
  <c r="B48" i="13"/>
  <c r="C48" i="13"/>
  <c r="D48" i="13"/>
  <c r="E49" i="13" a="1"/>
  <c r="E49" i="13" s="1"/>
  <c r="B49" i="13"/>
  <c r="C49" i="13"/>
  <c r="D49" i="13"/>
  <c r="E50" i="13" a="1"/>
  <c r="E50" i="13" s="1"/>
  <c r="B50" i="13"/>
  <c r="C50" i="13"/>
  <c r="D50" i="13"/>
  <c r="E51" i="13" a="1"/>
  <c r="E51" i="13" s="1"/>
  <c r="B51" i="13"/>
  <c r="C51" i="13"/>
  <c r="D51" i="13"/>
  <c r="E52" i="13" a="1"/>
  <c r="E52" i="13" s="1"/>
  <c r="B52" i="13"/>
  <c r="C52" i="13"/>
  <c r="D52" i="13"/>
  <c r="E53" i="13" a="1"/>
  <c r="E53" i="13" s="1"/>
  <c r="B53" i="13"/>
  <c r="C53" i="13"/>
  <c r="D53" i="13"/>
  <c r="A54" i="13"/>
  <c r="E54" i="13" s="1" a="1"/>
  <c r="E54" i="13" s="1"/>
  <c r="B54" i="13"/>
  <c r="C54" i="13"/>
  <c r="D54" i="13"/>
  <c r="E55" i="13" a="1"/>
  <c r="E55" i="13" s="1"/>
  <c r="B55" i="13"/>
  <c r="C55" i="13"/>
  <c r="D55" i="13"/>
  <c r="E56" i="13" a="1"/>
  <c r="E56" i="13" s="1"/>
  <c r="B56" i="13"/>
  <c r="C56" i="13"/>
  <c r="D56" i="13"/>
  <c r="A57" i="13"/>
  <c r="E57" i="13" s="1" a="1"/>
  <c r="E57" i="13" s="1"/>
  <c r="B57" i="13"/>
  <c r="C57" i="13"/>
  <c r="D57" i="13"/>
  <c r="E58" i="13" a="1"/>
  <c r="E58" i="13" s="1"/>
  <c r="B58" i="13"/>
  <c r="C58" i="13"/>
  <c r="D58" i="13"/>
  <c r="E59" i="13" a="1"/>
  <c r="E59" i="13" s="1"/>
  <c r="B59" i="13"/>
  <c r="C59" i="13"/>
  <c r="D59" i="13"/>
  <c r="E60" i="13" a="1"/>
  <c r="E60" i="13" s="1"/>
  <c r="B60" i="13"/>
  <c r="C60" i="13"/>
  <c r="D60" i="13"/>
  <c r="A61" i="13"/>
  <c r="E61" i="13" s="1" a="1"/>
  <c r="E61" i="13" s="1"/>
  <c r="B61" i="13"/>
  <c r="C61" i="13"/>
  <c r="D61" i="13"/>
  <c r="E62" i="13" a="1"/>
  <c r="E62" i="13" s="1"/>
  <c r="B62" i="13"/>
  <c r="C62" i="13"/>
  <c r="D62" i="13"/>
  <c r="E63" i="13" a="1"/>
  <c r="E63" i="13" s="1"/>
  <c r="B63" i="13"/>
  <c r="C63" i="13"/>
  <c r="D63" i="13"/>
  <c r="E64" i="13" a="1"/>
  <c r="E64" i="13" s="1"/>
  <c r="B64" i="13"/>
  <c r="C64" i="13"/>
  <c r="D64" i="13"/>
  <c r="A65" i="13"/>
  <c r="E65" i="13" s="1" a="1"/>
  <c r="E65" i="13" s="1"/>
  <c r="B65" i="13"/>
  <c r="C65" i="13"/>
  <c r="D65" i="13"/>
  <c r="E66" i="13" a="1"/>
  <c r="E66" i="13" s="1"/>
  <c r="B66" i="13"/>
  <c r="C66" i="13"/>
  <c r="D66" i="13"/>
  <c r="E67" i="13" a="1"/>
  <c r="E67" i="13" s="1"/>
  <c r="B67" i="13"/>
  <c r="C67" i="13"/>
  <c r="D67" i="13"/>
  <c r="E68" i="13" a="1"/>
  <c r="E68" i="13" s="1"/>
  <c r="B68" i="13"/>
  <c r="C68" i="13"/>
  <c r="D68" i="13"/>
  <c r="E69" i="13" a="1"/>
  <c r="E69" i="13" s="1"/>
  <c r="B69" i="13"/>
  <c r="C69" i="13"/>
  <c r="D69" i="13"/>
  <c r="E70" i="13" a="1"/>
  <c r="E70" i="13" s="1"/>
  <c r="B70" i="13"/>
  <c r="C70" i="13"/>
  <c r="D70" i="13"/>
  <c r="E71" i="13" a="1"/>
  <c r="E71" i="13" s="1"/>
  <c r="B71" i="13"/>
  <c r="C71" i="13"/>
  <c r="D71" i="13"/>
  <c r="E72" i="13" a="1"/>
  <c r="E72" i="13" s="1"/>
  <c r="B72" i="13"/>
  <c r="C72" i="13"/>
  <c r="D72" i="13"/>
  <c r="A73" i="13"/>
  <c r="E73" i="13" s="1" a="1"/>
  <c r="E73" i="13" s="1"/>
  <c r="B73" i="13"/>
  <c r="C73" i="13"/>
  <c r="D73" i="13"/>
  <c r="A74" i="13"/>
  <c r="E74" i="13" s="1" a="1"/>
  <c r="E74" i="13" s="1"/>
  <c r="B74" i="13"/>
  <c r="C74" i="13"/>
  <c r="D74" i="13"/>
  <c r="A75" i="13"/>
  <c r="E75" i="13" s="1" a="1"/>
  <c r="E75" i="13" s="1"/>
  <c r="B75" i="13"/>
  <c r="C75" i="13"/>
  <c r="D75" i="13"/>
  <c r="E76" i="13" a="1"/>
  <c r="E76" i="13" s="1"/>
  <c r="B76" i="13"/>
  <c r="C76" i="13"/>
  <c r="D76" i="13"/>
  <c r="A77" i="13"/>
  <c r="E77" i="13" s="1" a="1"/>
  <c r="E77" i="13" s="1"/>
  <c r="B77" i="13"/>
  <c r="C77" i="13"/>
  <c r="D77" i="13"/>
  <c r="A78" i="13"/>
  <c r="E78" i="13" s="1" a="1"/>
  <c r="E78" i="13" s="1"/>
  <c r="B78" i="13"/>
  <c r="C78" i="13"/>
  <c r="D78" i="13"/>
  <c r="E79" i="13" a="1"/>
  <c r="E79" i="13" s="1"/>
  <c r="B79" i="13"/>
  <c r="C79" i="13"/>
  <c r="D79" i="13"/>
  <c r="A80" i="13"/>
  <c r="E80" i="13" s="1" a="1"/>
  <c r="E80" i="13" s="1"/>
  <c r="B80" i="13"/>
  <c r="C80" i="13"/>
  <c r="D80" i="13"/>
  <c r="E81" i="13" a="1"/>
  <c r="E81" i="13" s="1"/>
  <c r="E82" i="13" a="1"/>
  <c r="E82" i="13" s="1"/>
  <c r="E83" i="13" a="1"/>
  <c r="E83" i="13" s="1"/>
  <c r="E84" i="13" a="1"/>
  <c r="E84" i="13" s="1"/>
  <c r="E85" i="13" a="1"/>
  <c r="E85" i="13" s="1"/>
  <c r="E86" i="13" a="1"/>
  <c r="E86" i="13" s="1"/>
  <c r="E87" i="13" a="1"/>
  <c r="E87" i="13" s="1"/>
  <c r="E88" i="13" a="1"/>
  <c r="E88" i="13" s="1"/>
  <c r="D2" i="13"/>
  <c r="J54" i="1" l="1"/>
  <c r="E54" i="1"/>
  <c r="J266" i="1" l="1"/>
  <c r="C264" i="16" s="1"/>
  <c r="E266" i="1"/>
  <c r="A264" i="16" s="1"/>
  <c r="J264" i="1"/>
  <c r="E264" i="1"/>
  <c r="J263" i="1"/>
  <c r="E263" i="1"/>
  <c r="J262" i="1"/>
  <c r="E262" i="1"/>
  <c r="J259" i="1"/>
  <c r="E259" i="1"/>
  <c r="J257" i="1"/>
  <c r="C255" i="16" s="1"/>
  <c r="E257" i="1"/>
  <c r="A255" i="16" s="1"/>
  <c r="J247" i="1"/>
  <c r="E247" i="1"/>
  <c r="J245" i="1"/>
  <c r="C230" i="16" s="1"/>
  <c r="E245" i="1"/>
  <c r="A230" i="16" s="1"/>
  <c r="J244" i="1"/>
  <c r="E244" i="1"/>
  <c r="J243" i="1"/>
  <c r="E243" i="1"/>
  <c r="J241" i="1"/>
  <c r="E241" i="1"/>
  <c r="J240" i="1"/>
  <c r="C225" i="16" s="1"/>
  <c r="E240" i="1"/>
  <c r="A225" i="16" s="1"/>
  <c r="J238" i="1"/>
  <c r="E238" i="1"/>
  <c r="J226" i="1"/>
  <c r="E226" i="1"/>
  <c r="J225" i="1"/>
  <c r="E225" i="1"/>
  <c r="J218" i="1"/>
  <c r="E218" i="1"/>
  <c r="J215" i="1"/>
  <c r="E215" i="1"/>
  <c r="J214" i="1"/>
  <c r="E214" i="1"/>
  <c r="J209" i="1"/>
  <c r="E209" i="1"/>
  <c r="J207" i="1"/>
  <c r="E207" i="1"/>
  <c r="J205" i="1"/>
  <c r="E205" i="1"/>
  <c r="J198" i="1"/>
  <c r="E198" i="1"/>
  <c r="J196" i="1"/>
  <c r="E196" i="1"/>
  <c r="J192" i="1"/>
  <c r="E192" i="1"/>
  <c r="J177" i="1"/>
  <c r="E177" i="1"/>
  <c r="J176" i="1"/>
  <c r="E176" i="1"/>
  <c r="J169" i="1"/>
  <c r="E169" i="1"/>
  <c r="J166" i="1"/>
  <c r="E166" i="1"/>
  <c r="J165" i="1"/>
  <c r="E165" i="1"/>
  <c r="J163" i="1"/>
  <c r="E163" i="1"/>
  <c r="J161" i="1"/>
  <c r="E161" i="1"/>
  <c r="J153" i="1"/>
  <c r="E153" i="1"/>
  <c r="J147" i="1"/>
  <c r="E147" i="1"/>
  <c r="J146" i="1"/>
  <c r="E146" i="1"/>
  <c r="J145" i="1"/>
  <c r="E145" i="1"/>
  <c r="J144" i="1"/>
  <c r="E144" i="1"/>
  <c r="J142" i="1"/>
  <c r="E142" i="1"/>
  <c r="J135" i="1"/>
  <c r="E135" i="1"/>
  <c r="J123" i="1"/>
  <c r="E123" i="1"/>
  <c r="J122" i="1"/>
  <c r="E122" i="1"/>
  <c r="J113" i="1"/>
  <c r="E113" i="1"/>
  <c r="J106" i="1"/>
  <c r="E106" i="1"/>
  <c r="J105" i="1"/>
  <c r="E105" i="1"/>
  <c r="J102" i="1"/>
  <c r="E102" i="1"/>
  <c r="J101" i="1"/>
  <c r="E101" i="1"/>
  <c r="J98" i="1"/>
  <c r="E98" i="1"/>
  <c r="J93" i="1"/>
  <c r="E93" i="1"/>
  <c r="J92" i="1"/>
  <c r="E92" i="1"/>
  <c r="J91" i="1"/>
  <c r="E91" i="1"/>
  <c r="J87" i="1"/>
  <c r="E87" i="1"/>
  <c r="J81" i="1"/>
  <c r="E81" i="1"/>
  <c r="J78" i="1"/>
  <c r="E78" i="1"/>
  <c r="J76" i="1"/>
  <c r="E76" i="1"/>
  <c r="J75" i="1"/>
  <c r="E75" i="1"/>
  <c r="J71" i="1"/>
  <c r="E71" i="1"/>
  <c r="J69" i="1"/>
  <c r="E69" i="1"/>
  <c r="J67" i="1"/>
  <c r="E67" i="1"/>
  <c r="J63" i="1"/>
  <c r="E63" i="1"/>
  <c r="J59" i="1"/>
  <c r="E59" i="1"/>
  <c r="J58" i="1"/>
  <c r="E58" i="1"/>
  <c r="J57" i="1"/>
  <c r="C3" i="16" s="1"/>
  <c r="E57" i="1"/>
  <c r="J56" i="1"/>
  <c r="E56" i="1"/>
  <c r="J55" i="1"/>
  <c r="E55" i="1"/>
  <c r="J52" i="1"/>
  <c r="E52" i="1"/>
  <c r="J51" i="1"/>
  <c r="E51" i="1"/>
  <c r="J48" i="1"/>
  <c r="E48" i="1"/>
  <c r="J47" i="1"/>
  <c r="E47" i="1"/>
  <c r="J44" i="1"/>
  <c r="E44" i="1"/>
  <c r="J40" i="1"/>
  <c r="E40" i="1"/>
  <c r="J35" i="1"/>
  <c r="E35" i="1"/>
  <c r="J33" i="1"/>
  <c r="E33" i="1"/>
  <c r="J31" i="1"/>
  <c r="E31" i="1"/>
  <c r="J30" i="1"/>
  <c r="E30" i="1"/>
  <c r="J27" i="1"/>
  <c r="E27" i="1"/>
  <c r="J25" i="1"/>
  <c r="E25" i="1"/>
  <c r="J24" i="1"/>
  <c r="E24" i="1"/>
  <c r="J22" i="1"/>
  <c r="C15" i="16" s="1"/>
  <c r="E22" i="1"/>
  <c r="A15" i="16" s="1"/>
  <c r="J19" i="1"/>
  <c r="E19" i="1"/>
  <c r="J15" i="1"/>
  <c r="E15" i="1"/>
  <c r="J14" i="1"/>
  <c r="E14" i="1"/>
  <c r="J13" i="1"/>
  <c r="E13" i="1"/>
  <c r="A10" i="16" s="1"/>
  <c r="A258" i="16" l="1"/>
  <c r="A261" i="16"/>
  <c r="C258" i="16"/>
  <c r="C261" i="16"/>
  <c r="A259" i="16"/>
  <c r="A262" i="16"/>
  <c r="C259" i="16"/>
  <c r="C262" i="16"/>
  <c r="C247" i="16"/>
  <c r="C257" i="16"/>
  <c r="A229" i="16"/>
  <c r="A252" i="16"/>
  <c r="C229" i="16"/>
  <c r="C252" i="16"/>
  <c r="A247" i="16"/>
  <c r="A257" i="16"/>
  <c r="C244" i="16"/>
  <c r="C248" i="16"/>
  <c r="A244" i="16"/>
  <c r="A248" i="16"/>
  <c r="A224" i="16"/>
  <c r="A228" i="16"/>
  <c r="A245" i="16"/>
  <c r="A249" i="16"/>
  <c r="C224" i="16"/>
  <c r="C228" i="16"/>
  <c r="C245" i="16"/>
  <c r="C249" i="16"/>
  <c r="C239" i="16"/>
  <c r="A239" i="16"/>
  <c r="C223" i="16"/>
  <c r="C222" i="16"/>
  <c r="A223" i="16"/>
  <c r="A222" i="16"/>
  <c r="A232" i="16"/>
  <c r="A238" i="16"/>
  <c r="A243" i="16"/>
  <c r="C238" i="16"/>
  <c r="C243" i="16"/>
  <c r="A231" i="16"/>
  <c r="C231" i="16"/>
  <c r="C232" i="16"/>
  <c r="A226" i="16"/>
  <c r="A227" i="16"/>
  <c r="A233" i="16"/>
  <c r="C226" i="16"/>
  <c r="C227" i="16"/>
  <c r="C233" i="16"/>
  <c r="A236" i="16"/>
  <c r="C236" i="16"/>
  <c r="C128" i="16"/>
  <c r="A128" i="16"/>
  <c r="C14" i="16"/>
  <c r="C10" i="16"/>
  <c r="C10" i="15"/>
  <c r="A2" i="16"/>
  <c r="A3" i="16"/>
  <c r="A14" i="16"/>
  <c r="A131" i="16"/>
  <c r="C89" i="16"/>
  <c r="A89" i="16"/>
  <c r="A20" i="16"/>
  <c r="A25" i="16"/>
  <c r="A53" i="16"/>
  <c r="C25" i="16"/>
  <c r="C20" i="16"/>
  <c r="C119" i="16"/>
  <c r="C53" i="16"/>
  <c r="A19" i="16"/>
  <c r="A69" i="16"/>
  <c r="C69" i="16"/>
  <c r="C19" i="16"/>
  <c r="A119" i="16"/>
  <c r="C154" i="16"/>
  <c r="A87" i="16"/>
  <c r="A154" i="16"/>
  <c r="A210" i="16"/>
  <c r="C210" i="16"/>
  <c r="A213" i="16"/>
  <c r="C213" i="16"/>
  <c r="C87" i="16"/>
  <c r="A82" i="16"/>
  <c r="C23" i="16"/>
  <c r="A115" i="16"/>
  <c r="A123" i="16"/>
  <c r="A137" i="16"/>
  <c r="C115" i="16"/>
  <c r="C123" i="16"/>
  <c r="C131" i="16"/>
  <c r="C137" i="16"/>
  <c r="A52" i="16"/>
  <c r="A54" i="16"/>
  <c r="C52" i="16"/>
  <c r="C54" i="16"/>
  <c r="C82" i="16"/>
  <c r="A61" i="16"/>
  <c r="C61" i="16"/>
  <c r="C126" i="16"/>
  <c r="C197" i="16"/>
  <c r="A96" i="16"/>
  <c r="C96" i="16"/>
  <c r="A158" i="16"/>
  <c r="C158" i="16"/>
  <c r="A126" i="16"/>
  <c r="A197" i="16"/>
  <c r="A55" i="16"/>
  <c r="C24" i="16"/>
  <c r="C55" i="16"/>
  <c r="A24" i="16"/>
  <c r="C83" i="16"/>
  <c r="C141" i="16"/>
  <c r="C17" i="16"/>
  <c r="C18" i="16"/>
  <c r="A47" i="16"/>
  <c r="A76" i="16"/>
  <c r="A117" i="16"/>
  <c r="A130" i="16"/>
  <c r="C47" i="16"/>
  <c r="C76" i="16"/>
  <c r="C117" i="16"/>
  <c r="C130" i="16"/>
  <c r="A58" i="16"/>
  <c r="A26" i="16"/>
  <c r="C26" i="16"/>
  <c r="A17" i="16"/>
  <c r="A18" i="16"/>
  <c r="C58" i="16"/>
  <c r="A83" i="16"/>
  <c r="A21" i="16"/>
  <c r="A23" i="16"/>
  <c r="C16" i="16"/>
  <c r="C22" i="16"/>
  <c r="C59" i="16"/>
  <c r="A141" i="16"/>
  <c r="A14" i="15"/>
  <c r="A191" i="16"/>
  <c r="C191" i="16"/>
  <c r="A51" i="16"/>
  <c r="C14" i="15"/>
  <c r="C51" i="16"/>
  <c r="C21" i="16"/>
  <c r="A16" i="16"/>
  <c r="A22" i="16"/>
  <c r="A59" i="16"/>
  <c r="A105" i="16"/>
  <c r="C105" i="16"/>
  <c r="A120" i="16"/>
  <c r="A122" i="16"/>
  <c r="C120" i="16"/>
  <c r="C122" i="16"/>
  <c r="C183" i="16"/>
  <c r="A111" i="16"/>
  <c r="A135" i="16"/>
  <c r="C111" i="16"/>
  <c r="C135" i="16"/>
  <c r="A183" i="16"/>
  <c r="C11" i="15"/>
  <c r="C11" i="16"/>
  <c r="C12" i="16"/>
  <c r="C2" i="15"/>
  <c r="C2" i="16"/>
  <c r="A13" i="15"/>
  <c r="A13" i="16"/>
  <c r="C13" i="15"/>
  <c r="C13" i="16"/>
  <c r="A11" i="15"/>
  <c r="A11" i="16"/>
  <c r="A12" i="16"/>
  <c r="A2" i="15"/>
  <c r="E1" i="15"/>
  <c r="A265" i="15"/>
  <c r="A265" i="9"/>
  <c r="C265" i="15"/>
  <c r="C265" i="9"/>
  <c r="A257" i="15"/>
  <c r="C257" i="15"/>
  <c r="A252" i="15"/>
  <c r="C252" i="15"/>
  <c r="A11" i="9"/>
  <c r="C7" i="9"/>
  <c r="A7" i="9"/>
  <c r="C11" i="9"/>
  <c r="C254" i="15"/>
  <c r="C258" i="15"/>
  <c r="C258" i="9"/>
  <c r="A255" i="15"/>
  <c r="C255" i="15"/>
  <c r="A256" i="9"/>
  <c r="A256" i="15"/>
  <c r="C256" i="15"/>
  <c r="C256" i="9"/>
  <c r="A254" i="15"/>
  <c r="A258" i="15"/>
  <c r="A258" i="9"/>
  <c r="A238" i="15"/>
  <c r="C238" i="15"/>
  <c r="C22" i="15"/>
  <c r="A22" i="15"/>
  <c r="A23" i="15"/>
  <c r="C26" i="15"/>
  <c r="C24" i="15"/>
  <c r="C13" i="9"/>
  <c r="C23" i="15"/>
  <c r="A24" i="15"/>
  <c r="A26" i="15"/>
  <c r="C3" i="9"/>
  <c r="C3" i="15"/>
  <c r="A3" i="9"/>
  <c r="A3" i="15"/>
  <c r="A10" i="15"/>
  <c r="A14" i="9"/>
  <c r="C14" i="9"/>
  <c r="C26" i="9"/>
  <c r="A13" i="9"/>
  <c r="A26" i="9"/>
  <c r="I192" i="2"/>
  <c r="I160" i="2"/>
  <c r="I128" i="2"/>
  <c r="I96" i="2"/>
  <c r="I64" i="2"/>
  <c r="I32" i="2"/>
  <c r="I1" i="2"/>
  <c r="A2" i="13" l="1"/>
  <c r="E2" i="13" s="1" a="1"/>
  <c r="E2" i="13" s="1"/>
  <c r="C2" i="13"/>
  <c r="B2" i="13"/>
  <c r="J73" i="1" l="1"/>
  <c r="C57" i="16" s="1"/>
  <c r="J88" i="1"/>
  <c r="J6" i="1"/>
  <c r="J175" i="1"/>
  <c r="J77" i="1"/>
  <c r="C78" i="16" s="1"/>
  <c r="J246" i="1"/>
  <c r="J159" i="1"/>
  <c r="J36" i="1"/>
  <c r="C24" i="9" s="1"/>
  <c r="J90" i="1"/>
  <c r="C4" i="16"/>
  <c r="C8" i="16"/>
  <c r="J265" i="1"/>
  <c r="C263" i="16" s="1"/>
  <c r="J45" i="1"/>
  <c r="J43" i="1"/>
  <c r="C43" i="9" s="1"/>
  <c r="J127" i="1"/>
  <c r="C127" i="16" s="1"/>
  <c r="J221" i="1"/>
  <c r="J49" i="1"/>
  <c r="J138" i="1"/>
  <c r="C111" i="15" s="1"/>
  <c r="J191" i="1"/>
  <c r="C190" i="16" s="1"/>
  <c r="C253" i="15"/>
  <c r="J223" i="1"/>
  <c r="J213" i="1"/>
  <c r="J211" i="1"/>
  <c r="C2" i="9"/>
  <c r="E73" i="1"/>
  <c r="A57" i="16" s="1"/>
  <c r="E88" i="1"/>
  <c r="E6" i="1"/>
  <c r="E175" i="1"/>
  <c r="E77" i="1"/>
  <c r="A78" i="16" s="1"/>
  <c r="E246" i="1"/>
  <c r="E159" i="1"/>
  <c r="E36" i="1"/>
  <c r="A24" i="9" s="1"/>
  <c r="E90" i="1"/>
  <c r="A4" i="16"/>
  <c r="A8" i="16"/>
  <c r="E265" i="1"/>
  <c r="A263" i="16" s="1"/>
  <c r="E45" i="1"/>
  <c r="E43" i="1"/>
  <c r="A43" i="9" s="1"/>
  <c r="E127" i="1"/>
  <c r="A127" i="16" s="1"/>
  <c r="E221" i="1"/>
  <c r="E49" i="1"/>
  <c r="E138" i="1"/>
  <c r="A111" i="9" s="1"/>
  <c r="E191" i="1"/>
  <c r="A190" i="16" s="1"/>
  <c r="A253" i="15"/>
  <c r="E223" i="1"/>
  <c r="E213" i="1"/>
  <c r="E211" i="1"/>
  <c r="A2" i="9"/>
  <c r="A215" i="16" l="1"/>
  <c r="A219" i="15"/>
  <c r="C215" i="16"/>
  <c r="C219" i="15"/>
  <c r="C220" i="16"/>
  <c r="C221" i="16"/>
  <c r="A220" i="16"/>
  <c r="A221" i="16"/>
  <c r="A92" i="16"/>
  <c r="A91" i="16"/>
  <c r="C92" i="16"/>
  <c r="C91" i="16"/>
  <c r="A202" i="16"/>
  <c r="A217" i="16"/>
  <c r="A28" i="16"/>
  <c r="A43" i="16"/>
  <c r="A43" i="15"/>
  <c r="C202" i="16"/>
  <c r="C217" i="16"/>
  <c r="C28" i="16"/>
  <c r="C43" i="16"/>
  <c r="C43" i="15"/>
  <c r="A50" i="16"/>
  <c r="A49" i="16"/>
  <c r="C50" i="16"/>
  <c r="C49" i="16"/>
  <c r="A188" i="16"/>
  <c r="A185" i="16"/>
  <c r="C188" i="16"/>
  <c r="C185" i="16"/>
  <c r="A250" i="16"/>
  <c r="A260" i="16"/>
  <c r="C250" i="16"/>
  <c r="C260" i="16"/>
  <c r="A200" i="16"/>
  <c r="A216" i="16"/>
  <c r="C200" i="16"/>
  <c r="C216" i="16"/>
  <c r="A86" i="16"/>
  <c r="A88" i="16"/>
  <c r="C86" i="16"/>
  <c r="C88" i="16"/>
  <c r="A177" i="16"/>
  <c r="A181" i="16"/>
  <c r="C177" i="16"/>
  <c r="C181" i="16"/>
  <c r="A63" i="16"/>
  <c r="A75" i="16"/>
  <c r="C63" i="16"/>
  <c r="C75" i="16"/>
  <c r="A189" i="16"/>
  <c r="A192" i="16"/>
  <c r="C240" i="16"/>
  <c r="C240" i="15"/>
  <c r="C189" i="16"/>
  <c r="C192" i="16"/>
  <c r="A240" i="16"/>
  <c r="A240" i="15"/>
  <c r="C242" i="16"/>
  <c r="C241" i="16"/>
  <c r="A242" i="16"/>
  <c r="A241" i="16"/>
  <c r="A46" i="16"/>
  <c r="A46" i="15"/>
  <c r="C46" i="15"/>
  <c r="C46" i="16"/>
  <c r="C84" i="16"/>
  <c r="C85" i="16"/>
  <c r="C196" i="16"/>
  <c r="C198" i="16"/>
  <c r="C237" i="16"/>
  <c r="C237" i="15"/>
  <c r="A196" i="16"/>
  <c r="A198" i="16"/>
  <c r="A237" i="16"/>
  <c r="A237" i="15"/>
  <c r="A84" i="16"/>
  <c r="A85" i="16"/>
  <c r="C186" i="16"/>
  <c r="C187" i="16"/>
  <c r="A234" i="16"/>
  <c r="A235" i="15"/>
  <c r="A235" i="16"/>
  <c r="C234" i="16"/>
  <c r="C235" i="15"/>
  <c r="C235" i="16"/>
  <c r="A186" i="16"/>
  <c r="A187" i="16"/>
  <c r="A193" i="16"/>
  <c r="A194" i="16"/>
  <c r="C193" i="16"/>
  <c r="C194" i="16"/>
  <c r="A184" i="16"/>
  <c r="A195" i="16"/>
  <c r="C184" i="16"/>
  <c r="C195" i="16"/>
  <c r="A39" i="16"/>
  <c r="A45" i="16"/>
  <c r="C39" i="16"/>
  <c r="C45" i="16"/>
  <c r="A147" i="16"/>
  <c r="A156" i="16"/>
  <c r="C147" i="16"/>
  <c r="C156" i="16"/>
  <c r="A169" i="16"/>
  <c r="A182" i="16"/>
  <c r="C169" i="16"/>
  <c r="C182" i="16"/>
  <c r="C209" i="16"/>
  <c r="C218" i="15"/>
  <c r="A209" i="16"/>
  <c r="A218" i="15"/>
  <c r="C149" i="16"/>
  <c r="A149" i="16"/>
  <c r="A73" i="16"/>
  <c r="A74" i="16"/>
  <c r="A207" i="16"/>
  <c r="A208" i="16"/>
  <c r="C207" i="16"/>
  <c r="C208" i="16"/>
  <c r="C73" i="16"/>
  <c r="C74" i="16"/>
  <c r="A101" i="16"/>
  <c r="A102" i="16"/>
  <c r="C111" i="9"/>
  <c r="C101" i="16"/>
  <c r="C102" i="16"/>
  <c r="A94" i="16"/>
  <c r="A111" i="15"/>
  <c r="A170" i="16"/>
  <c r="A203" i="16"/>
  <c r="A205" i="16"/>
  <c r="C170" i="16"/>
  <c r="C203" i="16"/>
  <c r="C205" i="16"/>
  <c r="C159" i="16"/>
  <c r="C162" i="16"/>
  <c r="A159" i="16"/>
  <c r="A162" i="16"/>
  <c r="C44" i="16"/>
  <c r="C100" i="16"/>
  <c r="A44" i="16"/>
  <c r="A100" i="16"/>
  <c r="A56" i="16"/>
  <c r="A62" i="16"/>
  <c r="C56" i="16"/>
  <c r="C62" i="16"/>
  <c r="A95" i="16"/>
  <c r="A164" i="16"/>
  <c r="A133" i="16"/>
  <c r="A140" i="16"/>
  <c r="A201" i="16"/>
  <c r="A199" i="16"/>
  <c r="C95" i="16"/>
  <c r="C164" i="16"/>
  <c r="C133" i="16"/>
  <c r="C140" i="16"/>
  <c r="C201" i="16"/>
  <c r="C199" i="16"/>
  <c r="A129" i="16"/>
  <c r="C129" i="16"/>
  <c r="A29" i="16"/>
  <c r="A121" i="16"/>
  <c r="C97" i="16"/>
  <c r="C48" i="15"/>
  <c r="C48" i="16"/>
  <c r="C29" i="16"/>
  <c r="C121" i="16"/>
  <c r="C6" i="16"/>
  <c r="C12" i="15"/>
  <c r="C12" i="9"/>
  <c r="A6" i="16"/>
  <c r="A12" i="9"/>
  <c r="A12" i="15"/>
  <c r="A97" i="16"/>
  <c r="A48" i="16"/>
  <c r="A48" i="15"/>
  <c r="C90" i="16"/>
  <c r="C98" i="16"/>
  <c r="A178" i="16"/>
  <c r="A163" i="16"/>
  <c r="A65" i="16"/>
  <c r="A72" i="16"/>
  <c r="A90" i="16"/>
  <c r="A98" i="16"/>
  <c r="C178" i="16"/>
  <c r="C163" i="16"/>
  <c r="C65" i="16"/>
  <c r="C72" i="16"/>
  <c r="C180" i="16"/>
  <c r="C155" i="16"/>
  <c r="A180" i="16"/>
  <c r="A155" i="16"/>
  <c r="A157" i="16"/>
  <c r="A124" i="16"/>
  <c r="C157" i="16"/>
  <c r="C124" i="16"/>
  <c r="C25" i="15"/>
  <c r="C25" i="9"/>
  <c r="A219" i="16"/>
  <c r="A176" i="16"/>
  <c r="C219" i="16"/>
  <c r="C176" i="16"/>
  <c r="C118" i="16"/>
  <c r="C118" i="15"/>
  <c r="A118" i="16"/>
  <c r="A118" i="15"/>
  <c r="C116" i="9"/>
  <c r="C94" i="16"/>
  <c r="A25" i="15"/>
  <c r="A25" i="9"/>
  <c r="A219" i="9"/>
  <c r="C219" i="9"/>
  <c r="A116" i="9"/>
  <c r="A143" i="16"/>
  <c r="A148" i="16"/>
  <c r="A116" i="16"/>
  <c r="A116" i="15"/>
  <c r="C116" i="15"/>
  <c r="C116" i="16"/>
  <c r="C143" i="16"/>
  <c r="C148" i="16"/>
  <c r="A214" i="16"/>
  <c r="A218" i="16"/>
  <c r="A175" i="16"/>
  <c r="A179" i="16"/>
  <c r="C214" i="16"/>
  <c r="C218" i="16"/>
  <c r="C175" i="16"/>
  <c r="C179" i="16"/>
  <c r="A144" i="16"/>
  <c r="C144" i="16"/>
  <c r="A107" i="16"/>
  <c r="A108" i="16"/>
  <c r="A108" i="15"/>
  <c r="A112" i="16"/>
  <c r="A114" i="16"/>
  <c r="A80" i="16"/>
  <c r="A81" i="16"/>
  <c r="C107" i="16"/>
  <c r="C108" i="16"/>
  <c r="C108" i="15"/>
  <c r="A41" i="16"/>
  <c r="A42" i="16"/>
  <c r="C41" i="16"/>
  <c r="C42" i="16"/>
  <c r="A171" i="16"/>
  <c r="A174" i="16"/>
  <c r="C112" i="16"/>
  <c r="C114" i="16"/>
  <c r="C80" i="16"/>
  <c r="C81" i="16"/>
  <c r="A66" i="16"/>
  <c r="A68" i="16"/>
  <c r="C171" i="16"/>
  <c r="C174" i="16"/>
  <c r="C66" i="16"/>
  <c r="C68" i="16"/>
  <c r="A113" i="16"/>
  <c r="A172" i="16"/>
  <c r="C113" i="16"/>
  <c r="C67" i="16"/>
  <c r="C173" i="16"/>
  <c r="C211" i="16"/>
  <c r="C212" i="16"/>
  <c r="A150" i="16"/>
  <c r="A151" i="16"/>
  <c r="C172" i="16"/>
  <c r="A67" i="16"/>
  <c r="C150" i="16"/>
  <c r="C151" i="16"/>
  <c r="C35" i="15"/>
  <c r="C35" i="16"/>
  <c r="C35" i="9"/>
  <c r="A173" i="16"/>
  <c r="A211" i="16"/>
  <c r="A212" i="16"/>
  <c r="A35" i="9"/>
  <c r="A35" i="15"/>
  <c r="A35" i="16"/>
  <c r="A77" i="16"/>
  <c r="A79" i="16"/>
  <c r="C104" i="16"/>
  <c r="C106" i="16"/>
  <c r="A40" i="9"/>
  <c r="A40" i="16"/>
  <c r="A40" i="15"/>
  <c r="A161" i="16"/>
  <c r="A165" i="16"/>
  <c r="C77" i="16"/>
  <c r="C79" i="16"/>
  <c r="C139" i="16"/>
  <c r="C142" i="16"/>
  <c r="C40" i="15"/>
  <c r="C40" i="9"/>
  <c r="C40" i="16"/>
  <c r="A104" i="16"/>
  <c r="A106" i="16"/>
  <c r="C161" i="16"/>
  <c r="C165" i="16"/>
  <c r="A139" i="16"/>
  <c r="A142" i="16"/>
  <c r="A60" i="16"/>
  <c r="A64" i="16"/>
  <c r="C60" i="16"/>
  <c r="C64" i="16"/>
  <c r="A109" i="16"/>
  <c r="A110" i="16"/>
  <c r="A204" i="16"/>
  <c r="A206" i="16"/>
  <c r="C109" i="16"/>
  <c r="C110" i="16"/>
  <c r="A167" i="16"/>
  <c r="A168" i="16"/>
  <c r="C204" i="16"/>
  <c r="C206" i="16"/>
  <c r="C167" i="16"/>
  <c r="C168" i="16"/>
  <c r="A103" i="15"/>
  <c r="A99" i="16"/>
  <c r="A109" i="15"/>
  <c r="A109" i="9"/>
  <c r="A34" i="16"/>
  <c r="A34" i="9"/>
  <c r="A34" i="15"/>
  <c r="A29" i="15"/>
  <c r="A29" i="9"/>
  <c r="C93" i="16"/>
  <c r="C103" i="16"/>
  <c r="C136" i="16"/>
  <c r="C145" i="16"/>
  <c r="A38" i="15"/>
  <c r="A38" i="9"/>
  <c r="A38" i="16"/>
  <c r="A156" i="15"/>
  <c r="A166" i="16"/>
  <c r="C109" i="15"/>
  <c r="C109" i="9"/>
  <c r="C34" i="16"/>
  <c r="C34" i="15"/>
  <c r="C34" i="9"/>
  <c r="C125" i="16"/>
  <c r="C138" i="16"/>
  <c r="C103" i="15"/>
  <c r="C29" i="9"/>
  <c r="C29" i="15"/>
  <c r="C38" i="16"/>
  <c r="C38" i="15"/>
  <c r="C38" i="9"/>
  <c r="A146" i="16"/>
  <c r="A160" i="16"/>
  <c r="A93" i="16"/>
  <c r="A103" i="16"/>
  <c r="C146" i="16"/>
  <c r="C160" i="16"/>
  <c r="C156" i="15"/>
  <c r="C166" i="16"/>
  <c r="A136" i="16"/>
  <c r="A145" i="16"/>
  <c r="A125" i="16"/>
  <c r="A138" i="16"/>
  <c r="A27" i="15"/>
  <c r="A28" i="15"/>
  <c r="A28" i="9"/>
  <c r="A5" i="15"/>
  <c r="A6" i="15"/>
  <c r="A6" i="9"/>
  <c r="A36" i="16"/>
  <c r="A37" i="15"/>
  <c r="A37" i="16"/>
  <c r="C32" i="16"/>
  <c r="C33" i="16"/>
  <c r="C33" i="15"/>
  <c r="C33" i="9"/>
  <c r="C71" i="15"/>
  <c r="C71" i="16"/>
  <c r="C30" i="16"/>
  <c r="C31" i="9"/>
  <c r="C31" i="15"/>
  <c r="C31" i="16"/>
  <c r="C27" i="15"/>
  <c r="C28" i="9"/>
  <c r="C28" i="15"/>
  <c r="C5" i="15"/>
  <c r="C6" i="15"/>
  <c r="C6" i="9"/>
  <c r="A30" i="16"/>
  <c r="A31" i="9"/>
  <c r="A31" i="16"/>
  <c r="A31" i="15"/>
  <c r="C36" i="16"/>
  <c r="C37" i="15"/>
  <c r="C37" i="16"/>
  <c r="A32" i="16"/>
  <c r="A33" i="16"/>
  <c r="A33" i="9"/>
  <c r="A33" i="15"/>
  <c r="A71" i="15"/>
  <c r="A71" i="16"/>
  <c r="C132" i="16"/>
  <c r="C134" i="16"/>
  <c r="A132" i="16"/>
  <c r="A134" i="16"/>
  <c r="A5" i="9"/>
  <c r="A5" i="16"/>
  <c r="C99" i="15"/>
  <c r="C99" i="16"/>
  <c r="C94" i="15"/>
  <c r="C70" i="16"/>
  <c r="A27" i="9"/>
  <c r="A27" i="16"/>
  <c r="A216" i="15"/>
  <c r="A152" i="16"/>
  <c r="A217" i="15"/>
  <c r="A153" i="16"/>
  <c r="C27" i="9"/>
  <c r="C27" i="16"/>
  <c r="C5" i="9"/>
  <c r="C5" i="16"/>
  <c r="C216" i="15"/>
  <c r="C152" i="16"/>
  <c r="A94" i="15"/>
  <c r="A70" i="16"/>
  <c r="C217" i="15"/>
  <c r="C153" i="16"/>
  <c r="A36" i="15"/>
  <c r="A36" i="9"/>
  <c r="C30" i="15"/>
  <c r="C30" i="9"/>
  <c r="C4" i="15"/>
  <c r="C4" i="9"/>
  <c r="C32" i="15"/>
  <c r="C32" i="9"/>
  <c r="A30" i="15"/>
  <c r="A30" i="9"/>
  <c r="C36" i="15"/>
  <c r="C36" i="9"/>
  <c r="A4" i="15"/>
  <c r="A4" i="9"/>
  <c r="A32" i="15"/>
  <c r="A32" i="9"/>
  <c r="C255" i="9"/>
  <c r="C257" i="9"/>
  <c r="A255" i="9"/>
  <c r="A257" i="9"/>
  <c r="C264" i="15"/>
  <c r="C264" i="9"/>
  <c r="A264" i="15"/>
  <c r="A264" i="9"/>
  <c r="A263" i="9"/>
  <c r="A263" i="15"/>
  <c r="C263" i="9"/>
  <c r="C263" i="15"/>
  <c r="A251" i="9"/>
  <c r="A251" i="15"/>
  <c r="C262" i="9"/>
  <c r="C262" i="15"/>
  <c r="C243" i="15"/>
  <c r="C244" i="9"/>
  <c r="C244" i="15"/>
  <c r="A262" i="9"/>
  <c r="A262" i="15"/>
  <c r="C251" i="15"/>
  <c r="C251" i="9"/>
  <c r="A243" i="15"/>
  <c r="A244" i="9"/>
  <c r="A244" i="15"/>
  <c r="C80" i="15"/>
  <c r="A80" i="15"/>
  <c r="A261" i="15"/>
  <c r="A261" i="9"/>
  <c r="C250" i="15"/>
  <c r="C250" i="9"/>
  <c r="C247" i="15"/>
  <c r="C247" i="9"/>
  <c r="A250" i="15"/>
  <c r="A250" i="9"/>
  <c r="A247" i="9"/>
  <c r="A247" i="15"/>
  <c r="C253" i="9"/>
  <c r="C254" i="9"/>
  <c r="A253" i="9"/>
  <c r="A254" i="9"/>
  <c r="C261" i="15"/>
  <c r="C261" i="9"/>
  <c r="C242" i="15"/>
  <c r="C242" i="9"/>
  <c r="A22" i="9"/>
  <c r="A23" i="9"/>
  <c r="A260" i="15"/>
  <c r="A260" i="9"/>
  <c r="A242" i="15"/>
  <c r="A242" i="9"/>
  <c r="A99" i="15"/>
  <c r="C9" i="15"/>
  <c r="C10" i="9"/>
  <c r="A9" i="15"/>
  <c r="A10" i="9"/>
  <c r="C22" i="9"/>
  <c r="C23" i="9"/>
  <c r="C260" i="9"/>
  <c r="C260" i="15"/>
  <c r="C142" i="15"/>
  <c r="A142" i="15"/>
  <c r="C241" i="15"/>
  <c r="C241" i="9"/>
  <c r="A218" i="9"/>
  <c r="A235" i="9"/>
  <c r="A241" i="15"/>
  <c r="A241" i="9"/>
  <c r="C245" i="15"/>
  <c r="C245" i="9"/>
  <c r="A236" i="15"/>
  <c r="A248" i="15"/>
  <c r="A248" i="9"/>
  <c r="A245" i="9"/>
  <c r="A245" i="15"/>
  <c r="C248" i="15"/>
  <c r="C248" i="9"/>
  <c r="C218" i="9"/>
  <c r="C235" i="9"/>
  <c r="C243" i="9"/>
  <c r="C252" i="9"/>
  <c r="A243" i="9"/>
  <c r="A252" i="9"/>
  <c r="A259" i="9"/>
  <c r="A259" i="15"/>
  <c r="C59" i="9"/>
  <c r="C59" i="15"/>
  <c r="A59" i="15"/>
  <c r="A59" i="9"/>
  <c r="C259" i="15"/>
  <c r="C259" i="9"/>
  <c r="A249" i="15"/>
  <c r="A249" i="9"/>
  <c r="C236" i="15"/>
  <c r="C249" i="15"/>
  <c r="C249" i="9"/>
  <c r="A246" i="15"/>
  <c r="A246" i="9"/>
  <c r="C246" i="15"/>
  <c r="C246" i="9"/>
  <c r="A51" i="9"/>
  <c r="A51" i="15"/>
  <c r="C240" i="9"/>
  <c r="C239" i="15"/>
  <c r="A240" i="9"/>
  <c r="A239" i="15"/>
  <c r="C51" i="9"/>
  <c r="C51" i="15"/>
  <c r="C205" i="15"/>
  <c r="A234" i="9"/>
  <c r="A234" i="15"/>
  <c r="C234" i="9"/>
  <c r="C234" i="15"/>
  <c r="A229" i="15"/>
  <c r="A229" i="9"/>
  <c r="A233" i="9"/>
  <c r="A233" i="15"/>
  <c r="A238" i="9"/>
  <c r="A239" i="9"/>
  <c r="A205" i="15"/>
  <c r="C229" i="9"/>
  <c r="C229" i="15"/>
  <c r="C216" i="9"/>
  <c r="C217" i="9"/>
  <c r="C233" i="15"/>
  <c r="C233" i="9"/>
  <c r="A216" i="9"/>
  <c r="A217" i="9"/>
  <c r="C238" i="9"/>
  <c r="C239" i="9"/>
  <c r="A187" i="15"/>
  <c r="C187" i="15"/>
  <c r="A228" i="15"/>
  <c r="A228" i="9"/>
  <c r="A225" i="15"/>
  <c r="A225" i="9"/>
  <c r="C222" i="15"/>
  <c r="C222" i="9"/>
  <c r="A232" i="15"/>
  <c r="A232" i="9"/>
  <c r="C228" i="15"/>
  <c r="C228" i="9"/>
  <c r="A222" i="15"/>
  <c r="A222" i="9"/>
  <c r="C232" i="9"/>
  <c r="C232" i="15"/>
  <c r="C225" i="15"/>
  <c r="C225" i="9"/>
  <c r="C142" i="9"/>
  <c r="A224" i="15"/>
  <c r="A224" i="9"/>
  <c r="A231" i="9"/>
  <c r="A231" i="15"/>
  <c r="A236" i="9"/>
  <c r="A237" i="9"/>
  <c r="A142" i="9"/>
  <c r="A132" i="15"/>
  <c r="A133" i="15"/>
  <c r="C227" i="9"/>
  <c r="C227" i="15"/>
  <c r="A221" i="15"/>
  <c r="A221" i="9"/>
  <c r="C231" i="9"/>
  <c r="C231" i="15"/>
  <c r="C224" i="15"/>
  <c r="C224" i="9"/>
  <c r="A227" i="15"/>
  <c r="A227" i="9"/>
  <c r="C221" i="15"/>
  <c r="C221" i="9"/>
  <c r="C236" i="9"/>
  <c r="C237" i="9"/>
  <c r="C132" i="15"/>
  <c r="C133" i="15"/>
  <c r="C220" i="15"/>
  <c r="C220" i="9"/>
  <c r="C226" i="15"/>
  <c r="C226" i="9"/>
  <c r="A220" i="15"/>
  <c r="A220" i="9"/>
  <c r="C230" i="15"/>
  <c r="C230" i="9"/>
  <c r="C214" i="15"/>
  <c r="C223" i="15"/>
  <c r="C223" i="9"/>
  <c r="A226" i="15"/>
  <c r="A226" i="9"/>
  <c r="A214" i="15"/>
  <c r="A223" i="15"/>
  <c r="A223" i="9"/>
  <c r="A230" i="15"/>
  <c r="A230" i="9"/>
  <c r="A132" i="9"/>
  <c r="A133" i="9"/>
  <c r="C21" i="15"/>
  <c r="C21" i="9"/>
  <c r="A21" i="9"/>
  <c r="A21" i="15"/>
  <c r="C62" i="9"/>
  <c r="C62" i="15"/>
  <c r="C192" i="15"/>
  <c r="C169" i="15"/>
  <c r="C132" i="9"/>
  <c r="C133" i="9"/>
  <c r="C160" i="15"/>
  <c r="A62" i="15"/>
  <c r="A62" i="9"/>
  <c r="C50" i="15"/>
  <c r="C54" i="15"/>
  <c r="A162" i="15"/>
  <c r="A169" i="15"/>
  <c r="A50" i="15"/>
  <c r="A54" i="15"/>
  <c r="A160" i="15"/>
  <c r="A165" i="15"/>
  <c r="A20" i="15"/>
  <c r="A20" i="9"/>
  <c r="A147" i="15"/>
  <c r="A149" i="15"/>
  <c r="A149" i="9"/>
  <c r="C140" i="15"/>
  <c r="C140" i="9"/>
  <c r="A140" i="9"/>
  <c r="A140" i="15"/>
  <c r="C17" i="15"/>
  <c r="C17" i="9"/>
  <c r="A124" i="15"/>
  <c r="A124" i="9"/>
  <c r="C20" i="9"/>
  <c r="C20" i="15"/>
  <c r="A17" i="9"/>
  <c r="A17" i="15"/>
  <c r="A192" i="15"/>
  <c r="C124" i="9"/>
  <c r="C124" i="15"/>
  <c r="C147" i="15"/>
  <c r="C149" i="15"/>
  <c r="C149" i="9"/>
  <c r="A195" i="15"/>
  <c r="A200" i="15"/>
  <c r="C162" i="15"/>
  <c r="C195" i="15"/>
  <c r="C200" i="15"/>
  <c r="A197" i="9"/>
  <c r="C188" i="15"/>
  <c r="C197" i="15"/>
  <c r="A188" i="15"/>
  <c r="A197" i="15"/>
  <c r="C177" i="15"/>
  <c r="C178" i="15"/>
  <c r="A186" i="9"/>
  <c r="A177" i="15"/>
  <c r="A178" i="15"/>
  <c r="C214" i="9"/>
  <c r="A214" i="9"/>
  <c r="A193" i="15"/>
  <c r="A69" i="15"/>
  <c r="C197" i="9"/>
  <c r="A102" i="9"/>
  <c r="A102" i="15"/>
  <c r="A131" i="15"/>
  <c r="A138" i="15"/>
  <c r="C102" i="9"/>
  <c r="C102" i="15"/>
  <c r="C131" i="15"/>
  <c r="C138" i="15"/>
  <c r="C193" i="15"/>
  <c r="A215" i="15"/>
  <c r="A215" i="9"/>
  <c r="A152" i="9"/>
  <c r="A152" i="15"/>
  <c r="A60" i="15"/>
  <c r="A61" i="15"/>
  <c r="A61" i="9"/>
  <c r="C125" i="15"/>
  <c r="C127" i="15"/>
  <c r="C69" i="15"/>
  <c r="C96" i="15"/>
  <c r="C96" i="9"/>
  <c r="C55" i="15"/>
  <c r="C56" i="15"/>
  <c r="C56" i="9"/>
  <c r="A55" i="15"/>
  <c r="A56" i="15"/>
  <c r="A56" i="9"/>
  <c r="C215" i="15"/>
  <c r="C215" i="9"/>
  <c r="C152" i="15"/>
  <c r="C152" i="9"/>
  <c r="C60" i="15"/>
  <c r="C61" i="15"/>
  <c r="C61" i="9"/>
  <c r="C151" i="15"/>
  <c r="C157" i="15"/>
  <c r="A153" i="15"/>
  <c r="A161" i="15"/>
  <c r="A161" i="9"/>
  <c r="A96" i="15"/>
  <c r="A96" i="9"/>
  <c r="A125" i="15"/>
  <c r="A127" i="15"/>
  <c r="A151" i="15"/>
  <c r="A157" i="15"/>
  <c r="C153" i="15"/>
  <c r="C161" i="15"/>
  <c r="C161" i="9"/>
  <c r="A172" i="15"/>
  <c r="C172" i="15"/>
  <c r="C210" i="9"/>
  <c r="C210" i="15"/>
  <c r="A212" i="9"/>
  <c r="A212" i="15"/>
  <c r="A210" i="15"/>
  <c r="A210" i="9"/>
  <c r="C212" i="15"/>
  <c r="C212" i="9"/>
  <c r="A209" i="9"/>
  <c r="A209" i="15"/>
  <c r="A100" i="15"/>
  <c r="A100" i="9"/>
  <c r="A66" i="15"/>
  <c r="A68" i="15"/>
  <c r="C166" i="15"/>
  <c r="C171" i="15"/>
  <c r="C46" i="9"/>
  <c r="C48" i="9"/>
  <c r="A181" i="15"/>
  <c r="A189" i="15"/>
  <c r="C209" i="9"/>
  <c r="C209" i="15"/>
  <c r="C85" i="15"/>
  <c r="C87" i="9"/>
  <c r="C87" i="15"/>
  <c r="A46" i="9"/>
  <c r="A48" i="9"/>
  <c r="C100" i="15"/>
  <c r="C100" i="9"/>
  <c r="C66" i="15"/>
  <c r="C68" i="15"/>
  <c r="C74" i="15"/>
  <c r="C76" i="15"/>
  <c r="A74" i="15"/>
  <c r="A76" i="15"/>
  <c r="C159" i="15"/>
  <c r="C163" i="15"/>
  <c r="A112" i="15"/>
  <c r="A117" i="9"/>
  <c r="A117" i="15"/>
  <c r="A141" i="9"/>
  <c r="A141" i="15"/>
  <c r="A81" i="15"/>
  <c r="A81" i="9"/>
  <c r="A166" i="15"/>
  <c r="A171" i="15"/>
  <c r="A159" i="15"/>
  <c r="A163" i="15"/>
  <c r="A85" i="15"/>
  <c r="A87" i="15"/>
  <c r="A87" i="9"/>
  <c r="C112" i="15"/>
  <c r="C117" i="9"/>
  <c r="C117" i="15"/>
  <c r="C141" i="15"/>
  <c r="C141" i="9"/>
  <c r="C81" i="15"/>
  <c r="C81" i="9"/>
  <c r="C181" i="15"/>
  <c r="C189" i="15"/>
  <c r="C146" i="15"/>
  <c r="A167" i="15"/>
  <c r="A168" i="15"/>
  <c r="A203" i="15"/>
  <c r="A204" i="15"/>
  <c r="A204" i="9"/>
  <c r="A201" i="15"/>
  <c r="A202" i="9"/>
  <c r="A202" i="15"/>
  <c r="A146" i="15"/>
  <c r="C107" i="15"/>
  <c r="C108" i="9"/>
  <c r="A18" i="15"/>
  <c r="A19" i="9"/>
  <c r="A19" i="15"/>
  <c r="A208" i="9"/>
  <c r="A208" i="15"/>
  <c r="A53" i="9"/>
  <c r="A53" i="15"/>
  <c r="A121" i="15"/>
  <c r="C167" i="15"/>
  <c r="C168" i="15"/>
  <c r="C203" i="15"/>
  <c r="C204" i="9"/>
  <c r="C204" i="15"/>
  <c r="C15" i="15"/>
  <c r="C16" i="15"/>
  <c r="C16" i="9"/>
  <c r="C88" i="15"/>
  <c r="C89" i="9"/>
  <c r="C89" i="15"/>
  <c r="A107" i="15"/>
  <c r="A108" i="9"/>
  <c r="C18" i="15"/>
  <c r="C19" i="15"/>
  <c r="C19" i="9"/>
  <c r="C208" i="9"/>
  <c r="C208" i="15"/>
  <c r="C53" i="15"/>
  <c r="C53" i="9"/>
  <c r="C185" i="9"/>
  <c r="C165" i="15"/>
  <c r="C201" i="15"/>
  <c r="C202" i="15"/>
  <c r="C202" i="9"/>
  <c r="A15" i="15"/>
  <c r="A16" i="15"/>
  <c r="A16" i="9"/>
  <c r="A88" i="15"/>
  <c r="A89" i="15"/>
  <c r="A89" i="9"/>
  <c r="C121" i="15"/>
  <c r="A192" i="9"/>
  <c r="C192" i="9"/>
  <c r="A52" i="9"/>
  <c r="A52" i="15"/>
  <c r="C57" i="9"/>
  <c r="C57" i="15"/>
  <c r="A189" i="9"/>
  <c r="A174" i="15"/>
  <c r="C207" i="9"/>
  <c r="C207" i="15"/>
  <c r="A145" i="9"/>
  <c r="A145" i="15"/>
  <c r="A57" i="9"/>
  <c r="A57" i="15"/>
  <c r="A207" i="9"/>
  <c r="A207" i="15"/>
  <c r="C145" i="9"/>
  <c r="C145" i="15"/>
  <c r="C52" i="9"/>
  <c r="C52" i="15"/>
  <c r="C189" i="9"/>
  <c r="C174" i="15"/>
  <c r="A195" i="9"/>
  <c r="A203" i="9"/>
  <c r="A97" i="15"/>
  <c r="A97" i="9"/>
  <c r="C184" i="15"/>
  <c r="C186" i="15"/>
  <c r="C196" i="15"/>
  <c r="C198" i="15"/>
  <c r="C92" i="15"/>
  <c r="C92" i="9"/>
  <c r="C122" i="15"/>
  <c r="C122" i="9"/>
  <c r="A213" i="15"/>
  <c r="A213" i="9"/>
  <c r="A136" i="15"/>
  <c r="A136" i="9"/>
  <c r="A137" i="15"/>
  <c r="A137" i="9"/>
  <c r="A78" i="9"/>
  <c r="A78" i="15"/>
  <c r="C195" i="9"/>
  <c r="C203" i="9"/>
  <c r="C148" i="15"/>
  <c r="C150" i="9"/>
  <c r="C150" i="15"/>
  <c r="C180" i="15"/>
  <c r="C182" i="15"/>
  <c r="A184" i="15"/>
  <c r="A186" i="15"/>
  <c r="A196" i="15"/>
  <c r="A198" i="15"/>
  <c r="A92" i="9"/>
  <c r="A92" i="15"/>
  <c r="A122" i="9"/>
  <c r="A122" i="15"/>
  <c r="C97" i="9"/>
  <c r="C97" i="15"/>
  <c r="A148" i="15"/>
  <c r="A150" i="15"/>
  <c r="A150" i="9"/>
  <c r="A180" i="15"/>
  <c r="A182" i="15"/>
  <c r="C213" i="15"/>
  <c r="C213" i="9"/>
  <c r="C136" i="9"/>
  <c r="C136" i="15"/>
  <c r="C137" i="9"/>
  <c r="C137" i="15"/>
  <c r="C78" i="15"/>
  <c r="C78" i="9"/>
  <c r="A201" i="9"/>
  <c r="C201" i="9"/>
  <c r="A194" i="9"/>
  <c r="A205" i="9"/>
  <c r="A95" i="9"/>
  <c r="A95" i="15"/>
  <c r="A194" i="15"/>
  <c r="A199" i="15"/>
  <c r="A63" i="15"/>
  <c r="A65" i="15"/>
  <c r="A65" i="9"/>
  <c r="A128" i="9"/>
  <c r="A128" i="15"/>
  <c r="A144" i="15"/>
  <c r="A144" i="9"/>
  <c r="A72" i="15"/>
  <c r="A72" i="9"/>
  <c r="C42" i="15"/>
  <c r="C45" i="15"/>
  <c r="C45" i="9"/>
  <c r="C90" i="15"/>
  <c r="C90" i="9"/>
  <c r="A106" i="15"/>
  <c r="A110" i="15"/>
  <c r="A110" i="9"/>
  <c r="A211" i="15"/>
  <c r="A211" i="9"/>
  <c r="A134" i="9"/>
  <c r="A134" i="15"/>
  <c r="A120" i="15"/>
  <c r="A135" i="9"/>
  <c r="A135" i="15"/>
  <c r="A67" i="15"/>
  <c r="A77" i="15"/>
  <c r="A77" i="9"/>
  <c r="C49" i="9"/>
  <c r="C49" i="15"/>
  <c r="C185" i="15"/>
  <c r="C190" i="15"/>
  <c r="C83" i="9"/>
  <c r="C83" i="15"/>
  <c r="A42" i="15"/>
  <c r="A45" i="15"/>
  <c r="A45" i="9"/>
  <c r="A90" i="15"/>
  <c r="A90" i="9"/>
  <c r="C194" i="9"/>
  <c r="C205" i="9"/>
  <c r="C95" i="15"/>
  <c r="C95" i="9"/>
  <c r="C194" i="15"/>
  <c r="C199" i="15"/>
  <c r="C63" i="15"/>
  <c r="C65" i="15"/>
  <c r="C128" i="15"/>
  <c r="C128" i="9"/>
  <c r="C144" i="15"/>
  <c r="C144" i="9"/>
  <c r="C72" i="15"/>
  <c r="C72" i="9"/>
  <c r="A49" i="9"/>
  <c r="A49" i="15"/>
  <c r="A185" i="15"/>
  <c r="A190" i="15"/>
  <c r="A83" i="9"/>
  <c r="A83" i="15"/>
  <c r="C106" i="15"/>
  <c r="C110" i="15"/>
  <c r="C110" i="9"/>
  <c r="C211" i="15"/>
  <c r="C211" i="9"/>
  <c r="C134" i="9"/>
  <c r="C134" i="15"/>
  <c r="C120" i="15"/>
  <c r="C135" i="15"/>
  <c r="C135" i="9"/>
  <c r="C67" i="15"/>
  <c r="C77" i="15"/>
  <c r="C77" i="9"/>
  <c r="A191" i="9"/>
  <c r="A138" i="9"/>
  <c r="A158" i="15"/>
  <c r="A179" i="15"/>
  <c r="A198" i="9"/>
  <c r="A18" i="9"/>
  <c r="A44" i="15"/>
  <c r="A47" i="9"/>
  <c r="A47" i="15"/>
  <c r="A82" i="15"/>
  <c r="A82" i="9"/>
  <c r="A154" i="15"/>
  <c r="A175" i="15"/>
  <c r="A193" i="9"/>
  <c r="A146" i="9"/>
  <c r="A185" i="9"/>
  <c r="A91" i="9"/>
  <c r="A91" i="15"/>
  <c r="A41" i="15"/>
  <c r="A41" i="9"/>
  <c r="A113" i="15"/>
  <c r="A123" i="15"/>
  <c r="A126" i="15"/>
  <c r="A139" i="15"/>
  <c r="A139" i="9"/>
  <c r="A64" i="15"/>
  <c r="A70" i="15"/>
  <c r="A70" i="9"/>
  <c r="C200" i="9"/>
  <c r="C196" i="9"/>
  <c r="C151" i="9"/>
  <c r="C188" i="9"/>
  <c r="C66" i="9"/>
  <c r="C158" i="15"/>
  <c r="C179" i="15"/>
  <c r="C170" i="15"/>
  <c r="C191" i="15"/>
  <c r="C93" i="15"/>
  <c r="C101" i="15"/>
  <c r="C101" i="9"/>
  <c r="C86" i="9"/>
  <c r="C86" i="15"/>
  <c r="C105" i="15"/>
  <c r="C115" i="15"/>
  <c r="C115" i="9"/>
  <c r="A199" i="9"/>
  <c r="A160" i="9"/>
  <c r="A187" i="9"/>
  <c r="A55" i="9"/>
  <c r="A143" i="9"/>
  <c r="A143" i="15"/>
  <c r="A200" i="9"/>
  <c r="A196" i="9"/>
  <c r="A151" i="9"/>
  <c r="A188" i="9"/>
  <c r="A66" i="9"/>
  <c r="A206" i="15"/>
  <c r="A206" i="9"/>
  <c r="A119" i="15"/>
  <c r="A129" i="15"/>
  <c r="A155" i="15"/>
  <c r="A176" i="15"/>
  <c r="A104" i="15"/>
  <c r="A114" i="15"/>
  <c r="C199" i="9"/>
  <c r="C160" i="9"/>
  <c r="C191" i="9"/>
  <c r="C138" i="9"/>
  <c r="C187" i="9"/>
  <c r="C55" i="9"/>
  <c r="C44" i="15"/>
  <c r="C47" i="15"/>
  <c r="C47" i="9"/>
  <c r="C82" i="15"/>
  <c r="C82" i="9"/>
  <c r="C143" i="15"/>
  <c r="C143" i="9"/>
  <c r="C154" i="15"/>
  <c r="C175" i="15"/>
  <c r="A170" i="15"/>
  <c r="A191" i="15"/>
  <c r="A93" i="15"/>
  <c r="A101" i="15"/>
  <c r="A101" i="9"/>
  <c r="A86" i="9"/>
  <c r="A86" i="15"/>
  <c r="A105" i="15"/>
  <c r="A115" i="15"/>
  <c r="A115" i="9"/>
  <c r="C198" i="9"/>
  <c r="C18" i="9"/>
  <c r="C190" i="9"/>
  <c r="C50" i="9"/>
  <c r="C91" i="9"/>
  <c r="C91" i="15"/>
  <c r="C41" i="15"/>
  <c r="C41" i="9"/>
  <c r="C113" i="15"/>
  <c r="C123" i="15"/>
  <c r="C126" i="15"/>
  <c r="C139" i="15"/>
  <c r="C139" i="9"/>
  <c r="C64" i="15"/>
  <c r="C70" i="15"/>
  <c r="C70" i="9"/>
  <c r="A190" i="9"/>
  <c r="A50" i="9"/>
  <c r="C193" i="9"/>
  <c r="C146" i="9"/>
  <c r="C206" i="15"/>
  <c r="C206" i="9"/>
  <c r="C119" i="15"/>
  <c r="C129" i="15"/>
  <c r="C155" i="15"/>
  <c r="C176" i="15"/>
  <c r="C104" i="15"/>
  <c r="C114" i="15"/>
  <c r="A180" i="9"/>
  <c r="A183" i="15"/>
  <c r="C80" i="9"/>
  <c r="C79" i="15"/>
  <c r="A175" i="9"/>
  <c r="A8" i="15"/>
  <c r="A80" i="9"/>
  <c r="A79" i="15"/>
  <c r="C76" i="9"/>
  <c r="C75" i="15"/>
  <c r="C163" i="9"/>
  <c r="C164" i="15"/>
  <c r="C131" i="9"/>
  <c r="C130" i="15"/>
  <c r="C74" i="9"/>
  <c r="C73" i="15"/>
  <c r="A76" i="9"/>
  <c r="A75" i="15"/>
  <c r="A163" i="9"/>
  <c r="A164" i="15"/>
  <c r="A131" i="9"/>
  <c r="A130" i="15"/>
  <c r="A74" i="9"/>
  <c r="A73" i="15"/>
  <c r="C85" i="9"/>
  <c r="C84" i="15"/>
  <c r="C177" i="9"/>
  <c r="C173" i="15"/>
  <c r="C39" i="9"/>
  <c r="C39" i="15"/>
  <c r="C58" i="9"/>
  <c r="C58" i="15"/>
  <c r="A184" i="9"/>
  <c r="A98" i="15"/>
  <c r="C175" i="9"/>
  <c r="C8" i="15"/>
  <c r="A85" i="9"/>
  <c r="A84" i="15"/>
  <c r="A177" i="9"/>
  <c r="A173" i="15"/>
  <c r="A39" i="9"/>
  <c r="A39" i="15"/>
  <c r="A58" i="9"/>
  <c r="A58" i="15"/>
  <c r="C184" i="9"/>
  <c r="C98" i="15"/>
  <c r="C180" i="9"/>
  <c r="C183" i="15"/>
  <c r="A158" i="9"/>
  <c r="A159" i="9"/>
  <c r="A93" i="9"/>
  <c r="A94" i="9"/>
  <c r="A105" i="9"/>
  <c r="A106" i="9"/>
  <c r="C158" i="9"/>
  <c r="C159" i="9"/>
  <c r="C93" i="9"/>
  <c r="C94" i="9"/>
  <c r="C105" i="9"/>
  <c r="C106" i="9"/>
  <c r="C186" i="9"/>
  <c r="C65" i="9"/>
  <c r="A112" i="9"/>
  <c r="A114" i="9"/>
  <c r="A126" i="9"/>
  <c r="A127" i="9"/>
  <c r="C112" i="9"/>
  <c r="C114" i="9"/>
  <c r="C126" i="9"/>
  <c r="C127" i="9"/>
  <c r="A120" i="9"/>
  <c r="A121" i="9"/>
  <c r="A67" i="9"/>
  <c r="A68" i="9"/>
  <c r="C120" i="9"/>
  <c r="C121" i="9"/>
  <c r="C67" i="9"/>
  <c r="C68" i="9"/>
  <c r="A129" i="9"/>
  <c r="A130" i="9"/>
  <c r="C129" i="9"/>
  <c r="C130" i="9"/>
  <c r="A154" i="9"/>
  <c r="A155" i="9"/>
  <c r="C154" i="9"/>
  <c r="C155" i="9"/>
  <c r="A183" i="9"/>
  <c r="A42" i="9"/>
  <c r="A179" i="9"/>
  <c r="A157" i="9"/>
  <c r="A75" i="9"/>
  <c r="A79" i="9"/>
  <c r="A99" i="9"/>
  <c r="A104" i="9"/>
  <c r="C183" i="9"/>
  <c r="C42" i="9"/>
  <c r="C179" i="9"/>
  <c r="C157" i="9"/>
  <c r="C75" i="9"/>
  <c r="C79" i="9"/>
  <c r="C99" i="9"/>
  <c r="C104" i="9"/>
  <c r="A182" i="9"/>
  <c r="A44" i="9"/>
  <c r="A178" i="9"/>
  <c r="A15" i="9"/>
  <c r="A147" i="9"/>
  <c r="A153" i="9"/>
  <c r="A69" i="9"/>
  <c r="A73" i="9"/>
  <c r="C182" i="9"/>
  <c r="C44" i="9"/>
  <c r="C178" i="9"/>
  <c r="C15" i="9"/>
  <c r="C147" i="9"/>
  <c r="C153" i="9"/>
  <c r="C69" i="9"/>
  <c r="C73" i="9"/>
  <c r="A181" i="9"/>
  <c r="A84" i="9"/>
  <c r="A119" i="9"/>
  <c r="A125" i="9"/>
  <c r="A60" i="9"/>
  <c r="A64" i="9"/>
  <c r="C181" i="9"/>
  <c r="C84" i="9"/>
  <c r="C119" i="9"/>
  <c r="C125" i="9"/>
  <c r="C60" i="9"/>
  <c r="C64" i="9"/>
  <c r="A176" i="9"/>
  <c r="A118" i="9"/>
  <c r="A8" i="9"/>
  <c r="A9" i="9"/>
  <c r="A98" i="9"/>
  <c r="A103" i="9"/>
  <c r="C176" i="9"/>
  <c r="C118" i="9"/>
  <c r="C8" i="9"/>
  <c r="C9" i="9"/>
  <c r="C98" i="9"/>
  <c r="C103" i="9"/>
  <c r="A171" i="9"/>
  <c r="A162" i="9"/>
  <c r="A167" i="9"/>
  <c r="A88" i="9"/>
  <c r="C171" i="9"/>
  <c r="C162" i="9"/>
  <c r="C167" i="9"/>
  <c r="C88" i="9"/>
  <c r="A174" i="9"/>
  <c r="A71" i="9"/>
  <c r="A170" i="9"/>
  <c r="A156" i="9"/>
  <c r="A166" i="9"/>
  <c r="A123" i="9"/>
  <c r="C174" i="9"/>
  <c r="C71" i="9"/>
  <c r="C170" i="9"/>
  <c r="C156" i="9"/>
  <c r="C166" i="9"/>
  <c r="C123" i="9"/>
  <c r="A173" i="9"/>
  <c r="A37" i="9"/>
  <c r="A169" i="9"/>
  <c r="A54" i="9"/>
  <c r="A165" i="9"/>
  <c r="A107" i="9"/>
  <c r="C173" i="9"/>
  <c r="C37" i="9"/>
  <c r="C169" i="9"/>
  <c r="C54" i="9"/>
  <c r="C165" i="9"/>
  <c r="C107" i="9"/>
  <c r="A172" i="9"/>
  <c r="A113" i="9"/>
  <c r="A168" i="9"/>
  <c r="A63" i="9"/>
  <c r="A164" i="9"/>
  <c r="A148" i="9"/>
  <c r="C172" i="9"/>
  <c r="C113" i="9"/>
  <c r="C168" i="9"/>
  <c r="C63" i="9"/>
  <c r="C164" i="9"/>
  <c r="C148" i="9"/>
  <c r="B2" i="9"/>
  <c r="A159" i="2" l="1"/>
  <c r="A158" i="2"/>
  <c r="A157" i="2"/>
  <c r="A127" i="2"/>
  <c r="A126" i="2"/>
  <c r="A125" i="2"/>
  <c r="A63" i="2"/>
  <c r="A31" i="2"/>
  <c r="A114" i="2" l="1"/>
  <c r="A115" i="2" s="1"/>
  <c r="A116" i="2" s="1"/>
  <c r="A117" i="2" s="1"/>
  <c r="A118" i="2" s="1"/>
  <c r="A119" i="2" s="1"/>
  <c r="A120" i="2" s="1"/>
  <c r="A121" i="2" s="1"/>
  <c r="A122" i="2" s="1"/>
  <c r="A123" i="2" s="1"/>
  <c r="A124" i="2" s="1"/>
  <c r="A150" i="2"/>
  <c r="A151" i="2" s="1"/>
  <c r="A152" i="2" s="1"/>
  <c r="A153" i="2" s="1"/>
  <c r="A154" i="2" s="1"/>
  <c r="A155" i="2" s="1"/>
  <c r="A156" i="2" s="1"/>
  <c r="A181" i="2"/>
  <c r="A182" i="2" s="1"/>
  <c r="A183" i="2" s="1"/>
  <c r="A184" i="2" s="1"/>
  <c r="A185" i="2" s="1"/>
  <c r="A186" i="2" s="1"/>
  <c r="A187" i="2" s="1"/>
  <c r="A188" i="2" s="1"/>
  <c r="A189" i="2" s="1"/>
  <c r="A190" i="2" s="1"/>
  <c r="A191" i="2" s="1"/>
  <c r="A210" i="2"/>
  <c r="A211" i="2" s="1"/>
  <c r="A212" i="2" s="1"/>
  <c r="A213" i="2" s="1"/>
  <c r="A214" i="2" s="1"/>
  <c r="A215" i="2" s="1"/>
  <c r="A216" i="2" s="1"/>
  <c r="A217" i="2" s="1"/>
  <c r="A218" i="2" s="1"/>
  <c r="A219" i="2" s="1"/>
  <c r="A220" i="2" s="1"/>
  <c r="A221" i="2" s="1"/>
  <c r="A222" i="2" s="1"/>
  <c r="A223" i="2" s="1"/>
  <c r="A84" i="2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51" i="2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28" i="2"/>
  <c r="A29" i="2" s="1"/>
  <c r="A30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Nancy Ferrara</author>
    <author>Nancy</author>
  </authors>
  <commentList>
    <comment ref="A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Nancy Ferrara:</t>
        </r>
        <r>
          <rPr>
            <sz val="9"/>
            <color indexed="81"/>
            <rFont val="Tahoma"/>
            <family val="2"/>
          </rPr>
          <t xml:space="preserve">
See NOTES at bottom of list</t>
        </r>
      </text>
    </comment>
    <comment ref="AD1" authorId="1" shapeId="0" xr:uid="{00000000-0006-0000-0000-000002000000}">
      <text>
        <r>
          <rPr>
            <b/>
            <sz val="9"/>
            <color indexed="81"/>
            <rFont val="Tahoma"/>
            <family val="2"/>
          </rPr>
          <t xml:space="preserve">Nancy:
</t>
        </r>
        <r>
          <rPr>
            <sz val="9"/>
            <color indexed="81"/>
            <rFont val="Tahoma"/>
            <family val="2"/>
          </rPr>
          <t xml:space="preserve">
This column for 3rd party identification
</t>
        </r>
      </text>
    </comment>
  </commentList>
</comments>
</file>

<file path=xl/sharedStrings.xml><?xml version="1.0" encoding="utf-8"?>
<sst xmlns="http://schemas.openxmlformats.org/spreadsheetml/2006/main" count="3702" uniqueCount="1668">
  <si>
    <t>Birthdate</t>
  </si>
  <si>
    <t>E-mail</t>
  </si>
  <si>
    <t>Chair</t>
  </si>
  <si>
    <t>Wave</t>
  </si>
  <si>
    <t>Consent</t>
  </si>
  <si>
    <t>Pix</t>
  </si>
  <si>
    <t>Mom</t>
  </si>
  <si>
    <t>From</t>
  </si>
  <si>
    <t>M</t>
  </si>
  <si>
    <t>S</t>
  </si>
  <si>
    <t>L</t>
  </si>
  <si>
    <t>sandrakleiserblack@gmail.com</t>
  </si>
  <si>
    <t>bblankenship6@yahoo.com</t>
  </si>
  <si>
    <t>dkbourbakis@gmail.com</t>
  </si>
  <si>
    <t>nbourbakis@gmail.com</t>
  </si>
  <si>
    <t>bowmanrsaa@gmail.com</t>
  </si>
  <si>
    <t>kjbarthele@aol.com</t>
  </si>
  <si>
    <t>ckgmdbraun@aol.com</t>
  </si>
  <si>
    <t>joycebrun@hotmail.com</t>
  </si>
  <si>
    <t>philipbrun2010@gmail.com</t>
  </si>
  <si>
    <t>fscairos@aol.com</t>
  </si>
  <si>
    <t>fredcairo62@yahoo.com</t>
  </si>
  <si>
    <t>lauracalcutta@gmail.com</t>
  </si>
  <si>
    <t>jchockey@woh.rr.com</t>
  </si>
  <si>
    <t>piemansmom@yahoo.com</t>
  </si>
  <si>
    <t>jtconlee2@yahoo.com</t>
  </si>
  <si>
    <t>christie0108@gmail.com</t>
  </si>
  <si>
    <t>cory@davenportcfp.com</t>
  </si>
  <si>
    <t>iansmom247@gmail.com</t>
  </si>
  <si>
    <t>jcpnd@netzero.com</t>
  </si>
  <si>
    <t>kathy@denlinger.us</t>
  </si>
  <si>
    <t>lynn.dewine@gmail.com</t>
  </si>
  <si>
    <t>theresa.dorn@wright.edu</t>
  </si>
  <si>
    <t>cdorn11@icloud.com</t>
  </si>
  <si>
    <t>bdoroh@msn.com</t>
  </si>
  <si>
    <t>sdrerup@sbcglobal.net</t>
  </si>
  <si>
    <t>smdrewry@yahoo.com</t>
  </si>
  <si>
    <t>wbdrewry@yahoo.com</t>
  </si>
  <si>
    <t>cduckro@yahoo.com</t>
  </si>
  <si>
    <t>carol@everson.com</t>
  </si>
  <si>
    <t>brian@everson.com</t>
  </si>
  <si>
    <t>nancyferrara@ameritech.net</t>
  </si>
  <si>
    <t>maforman@woh.rr.com</t>
  </si>
  <si>
    <t>dforman2@who.rr.com</t>
  </si>
  <si>
    <t>lezlie.gill@icloud.com</t>
  </si>
  <si>
    <t>margaret.gillette@gmail.com</t>
  </si>
  <si>
    <t>steve.gillette@gmail.com</t>
  </si>
  <si>
    <t>poleena@ymail.com</t>
  </si>
  <si>
    <t>barblyle2@gmail.com</t>
  </si>
  <si>
    <t>msheyne@gmail.com</t>
  </si>
  <si>
    <t>dheyne@gmail.com</t>
  </si>
  <si>
    <t>pathorst@aol.com</t>
  </si>
  <si>
    <t>thorsey@aol.com</t>
  </si>
  <si>
    <t>cdhume@ameritech.net</t>
  </si>
  <si>
    <t>bndjackson@ameritech.net</t>
  </si>
  <si>
    <t>lezleymo@gmail.com</t>
  </si>
  <si>
    <t>shanetanderson@gmail.com</t>
  </si>
  <si>
    <t>gwalani_pooja@yahoo.com</t>
  </si>
  <si>
    <t>kalaninikhil@yahoo.com</t>
  </si>
  <si>
    <t>richella@engineer.com</t>
  </si>
  <si>
    <t>gklovings@att.net</t>
  </si>
  <si>
    <t>centervilledad@att.net</t>
  </si>
  <si>
    <t>lulumccall@me.com</t>
  </si>
  <si>
    <t>sylvmcdona@aol.com</t>
  </si>
  <si>
    <t>mowillmike@aol.com</t>
  </si>
  <si>
    <t>emcgovern@woh.rr.com</t>
  </si>
  <si>
    <t>kmcgovern@woh.rr.com</t>
  </si>
  <si>
    <t>ddmram@woh.rr.com</t>
  </si>
  <si>
    <t>narlcj@hotmail.com</t>
  </si>
  <si>
    <t>jjsl27@aol.com</t>
  </si>
  <si>
    <t>stevejjsl@aol.com</t>
  </si>
  <si>
    <t>kara_kilian@hotmail.com</t>
  </si>
  <si>
    <t>seanpobrien20@hotmail.com</t>
  </si>
  <si>
    <t>mullinc78@yahoo.com</t>
  </si>
  <si>
    <t>doneill1972@gmail.com</t>
  </si>
  <si>
    <t>kentnative12@gmail.com</t>
  </si>
  <si>
    <t>phillips0719@aol.com</t>
  </si>
  <si>
    <t>ldr32hotrod@aol.com</t>
  </si>
  <si>
    <t>rolllc@ameritech.net</t>
  </si>
  <si>
    <t>patty.m.roll.gmail.com</t>
  </si>
  <si>
    <t>roselius@woh.rr.com</t>
  </si>
  <si>
    <t>jroselius@woh.rr.com</t>
  </si>
  <si>
    <t>lschneider1088@gmail.com</t>
  </si>
  <si>
    <t>jschneider3@cinci.rr.com</t>
  </si>
  <si>
    <t>lsherman62@aol.com</t>
  </si>
  <si>
    <t>neejmescher@gmail.com</t>
  </si>
  <si>
    <t>mescher34@gmail.com</t>
  </si>
  <si>
    <t>Short</t>
  </si>
  <si>
    <t>ohiosink7@aol.com</t>
  </si>
  <si>
    <t>spar_4234@hotmail.com</t>
  </si>
  <si>
    <t>dougstanziano@yahoo.com</t>
  </si>
  <si>
    <t>jlthorner@aol.com</t>
  </si>
  <si>
    <t>b.uphouse@yahoo.com</t>
  </si>
  <si>
    <t>steve.uphouse@sbcglobal.net</t>
  </si>
  <si>
    <t>jlv2125@gmail.com</t>
  </si>
  <si>
    <t>avorrasi@hotmail.com</t>
  </si>
  <si>
    <t>edvorrasi@yahoo.com</t>
  </si>
  <si>
    <t>kwittberg@gmail.com</t>
  </si>
  <si>
    <t>tomwittberg@gmail.com</t>
  </si>
  <si>
    <t>joebwoeste@yahoo.com</t>
  </si>
  <si>
    <t>kennethwysong@sbcglobal.net</t>
  </si>
  <si>
    <t>zurleezim@gmail.com</t>
  </si>
  <si>
    <t>Hotwheels</t>
  </si>
  <si>
    <t>First</t>
  </si>
  <si>
    <t>Last</t>
  </si>
  <si>
    <t>Parent First</t>
  </si>
  <si>
    <t>Parent Last</t>
  </si>
  <si>
    <t>AC</t>
  </si>
  <si>
    <t>Phone</t>
  </si>
  <si>
    <t>Full Name</t>
  </si>
  <si>
    <t>Street</t>
  </si>
  <si>
    <t>City</t>
  </si>
  <si>
    <t>St</t>
  </si>
  <si>
    <t>ZIP</t>
  </si>
  <si>
    <t>Centerville</t>
  </si>
  <si>
    <t>OH</t>
  </si>
  <si>
    <t>Wings</t>
  </si>
  <si>
    <t>Tyler</t>
  </si>
  <si>
    <t>Springboro</t>
  </si>
  <si>
    <t>Christian</t>
  </si>
  <si>
    <t>Miamisburg</t>
  </si>
  <si>
    <t>Shooters</t>
  </si>
  <si>
    <t>Dribblers</t>
  </si>
  <si>
    <t>Dayton</t>
  </si>
  <si>
    <t>Jeremy</t>
  </si>
  <si>
    <t>Kettering</t>
  </si>
  <si>
    <t>Sandra</t>
  </si>
  <si>
    <t xml:space="preserve">Black </t>
  </si>
  <si>
    <t>Naomi</t>
  </si>
  <si>
    <t>Black</t>
  </si>
  <si>
    <t>113 Goldengate Dr</t>
  </si>
  <si>
    <t>287-1967</t>
  </si>
  <si>
    <t xml:space="preserve">Brandy </t>
  </si>
  <si>
    <t>Blankenship</t>
  </si>
  <si>
    <t>2670 Opal Dr</t>
  </si>
  <si>
    <t>Middletown</t>
  </si>
  <si>
    <t>424-9359</t>
  </si>
  <si>
    <t>Xenia</t>
  </si>
  <si>
    <t>Despina</t>
  </si>
  <si>
    <t>Bourbakis</t>
  </si>
  <si>
    <t>Evangelia</t>
  </si>
  <si>
    <t>9834 Country Creek Way</t>
  </si>
  <si>
    <t>886-2448</t>
  </si>
  <si>
    <t>Waynesville</t>
  </si>
  <si>
    <t>Sweepers</t>
  </si>
  <si>
    <t>Susan</t>
  </si>
  <si>
    <t>Bowman</t>
  </si>
  <si>
    <t>Aaron</t>
  </si>
  <si>
    <t>4095 Lytle Rd</t>
  </si>
  <si>
    <t>897-4095</t>
  </si>
  <si>
    <t>Kim</t>
  </si>
  <si>
    <t>Braun</t>
  </si>
  <si>
    <t>Gretchen</t>
  </si>
  <si>
    <t>2154 Hedge Gate Blvd</t>
  </si>
  <si>
    <t>Beavercreek</t>
  </si>
  <si>
    <t>426-9100</t>
  </si>
  <si>
    <t>Carlisle</t>
  </si>
  <si>
    <t>Joyce/Phil</t>
  </si>
  <si>
    <t>Brun</t>
  </si>
  <si>
    <t>Janice</t>
  </si>
  <si>
    <t>562 W Alex Bell Rd</t>
  </si>
  <si>
    <t>439-4977</t>
  </si>
  <si>
    <t>Lindsay</t>
  </si>
  <si>
    <t>Fred/Shirley</t>
  </si>
  <si>
    <t>Cairo</t>
  </si>
  <si>
    <t>Fred</t>
  </si>
  <si>
    <t>37 W Wren Cir</t>
  </si>
  <si>
    <t>254-1577</t>
  </si>
  <si>
    <t>Passers</t>
  </si>
  <si>
    <t>Tom/Laura</t>
  </si>
  <si>
    <t>Calcutta</t>
  </si>
  <si>
    <t>Benny</t>
  </si>
  <si>
    <t>1858 Beaverton Dr</t>
  </si>
  <si>
    <t>298-3261</t>
  </si>
  <si>
    <t>Alexander</t>
  </si>
  <si>
    <t>Joseph/Angel</t>
  </si>
  <si>
    <t>Chockey</t>
  </si>
  <si>
    <t>Jackson</t>
  </si>
  <si>
    <t>4348 Chippewa Trail</t>
  </si>
  <si>
    <t>Jamestown</t>
  </si>
  <si>
    <t>675-3430</t>
  </si>
  <si>
    <t>Kickers</t>
  </si>
  <si>
    <t>Conlee</t>
  </si>
  <si>
    <t>Steven</t>
  </si>
  <si>
    <t>2299 Adrian Ct</t>
  </si>
  <si>
    <t>623-7402</t>
  </si>
  <si>
    <t>Christie/Cory</t>
  </si>
  <si>
    <t>Davenport</t>
  </si>
  <si>
    <t>Ellie</t>
  </si>
  <si>
    <t>504 Country Squire Ct</t>
  </si>
  <si>
    <t>241-9449</t>
  </si>
  <si>
    <t>Shawna/John</t>
  </si>
  <si>
    <t>Davis</t>
  </si>
  <si>
    <t>Ian</t>
  </si>
  <si>
    <t>241-3595</t>
  </si>
  <si>
    <t>Will</t>
  </si>
  <si>
    <t>Kathy</t>
  </si>
  <si>
    <t>Denlinger</t>
  </si>
  <si>
    <t>Kendra</t>
  </si>
  <si>
    <t>2799 Emerald Way</t>
  </si>
  <si>
    <t>886-5091</t>
  </si>
  <si>
    <t>Lynn</t>
  </si>
  <si>
    <t>DeWine</t>
  </si>
  <si>
    <t xml:space="preserve">Ryan </t>
  </si>
  <si>
    <t>6605-2 Brigham Sq</t>
  </si>
  <si>
    <t>434-6939</t>
  </si>
  <si>
    <t>Theresa/Craig</t>
  </si>
  <si>
    <t>Dorn</t>
  </si>
  <si>
    <t>Matt</t>
  </si>
  <si>
    <t>1483 Townhall</t>
  </si>
  <si>
    <t>271-3248</t>
  </si>
  <si>
    <t>Brian/Barbara</t>
  </si>
  <si>
    <t>Doroh</t>
  </si>
  <si>
    <t>Laura</t>
  </si>
  <si>
    <t>1564 Silverlake Dr</t>
  </si>
  <si>
    <t>434-0499</t>
  </si>
  <si>
    <t>Scott/Lesley</t>
  </si>
  <si>
    <t>Drerup</t>
  </si>
  <si>
    <t>2005 Indigo Trail</t>
  </si>
  <si>
    <t>291-2804</t>
  </si>
  <si>
    <t>William/Sharon</t>
  </si>
  <si>
    <t>Drewry</t>
  </si>
  <si>
    <t>Nick</t>
  </si>
  <si>
    <t>485 Evergreen Dr</t>
  </si>
  <si>
    <t>748-4403</t>
  </si>
  <si>
    <t>Carol/Greg</t>
  </si>
  <si>
    <t>Duckro</t>
  </si>
  <si>
    <t>Jack</t>
  </si>
  <si>
    <t>3915 Elliot Ave</t>
  </si>
  <si>
    <t>252-4336</t>
  </si>
  <si>
    <t>Carol/Brian</t>
  </si>
  <si>
    <t>Everson</t>
  </si>
  <si>
    <t>Jake</t>
  </si>
  <si>
    <t>885-7409</t>
  </si>
  <si>
    <t>Bill/Nancy</t>
  </si>
  <si>
    <t>Ferrara</t>
  </si>
  <si>
    <t>Tracie</t>
  </si>
  <si>
    <t>1120 Belvo Estates Ct</t>
  </si>
  <si>
    <t>866-2166</t>
  </si>
  <si>
    <t>David/Melanie</t>
  </si>
  <si>
    <t>Forman</t>
  </si>
  <si>
    <t>Sarah</t>
  </si>
  <si>
    <t>544 Hyde Park Dr</t>
  </si>
  <si>
    <t>938-8155</t>
  </si>
  <si>
    <t>Mark/Lezlie</t>
  </si>
  <si>
    <t>Gillespie</t>
  </si>
  <si>
    <t>Julianne</t>
  </si>
  <si>
    <t>929 Malone Ave</t>
  </si>
  <si>
    <t>299-4124</t>
  </si>
  <si>
    <t>Margaret/Steve</t>
  </si>
  <si>
    <t>Gillette</t>
  </si>
  <si>
    <t>Avery</t>
  </si>
  <si>
    <t>625 Saddlewood Ave</t>
  </si>
  <si>
    <t>886-6923</t>
  </si>
  <si>
    <t>Killian</t>
  </si>
  <si>
    <t>Poleena/Michael</t>
  </si>
  <si>
    <t>Greely</t>
  </si>
  <si>
    <t>Matthew</t>
  </si>
  <si>
    <t>10119 Washington Church Rd</t>
  </si>
  <si>
    <t>829-5953</t>
  </si>
  <si>
    <t>Barb</t>
  </si>
  <si>
    <t>Lyle</t>
  </si>
  <si>
    <t>Alicia</t>
  </si>
  <si>
    <t>Hanna</t>
  </si>
  <si>
    <t>371-4870</t>
  </si>
  <si>
    <t>Dean/Mindy</t>
  </si>
  <si>
    <t>Heyne</t>
  </si>
  <si>
    <t>Cody</t>
  </si>
  <si>
    <t>8282 Rhine Way</t>
  </si>
  <si>
    <t>436-1521</t>
  </si>
  <si>
    <t>Michael</t>
  </si>
  <si>
    <t>Nicolas</t>
  </si>
  <si>
    <t>Thomas/Patricia</t>
  </si>
  <si>
    <t>Horstman</t>
  </si>
  <si>
    <t>Beth</t>
  </si>
  <si>
    <t>2337 Spicer Dr</t>
  </si>
  <si>
    <t>429-4582</t>
  </si>
  <si>
    <t>Megan/Todd</t>
  </si>
  <si>
    <t>Howson</t>
  </si>
  <si>
    <t>Jakob</t>
  </si>
  <si>
    <t>1895 Edith Marie Dr</t>
  </si>
  <si>
    <t>416-4862</t>
  </si>
  <si>
    <t>Chris/Cara</t>
  </si>
  <si>
    <t>Hume</t>
  </si>
  <si>
    <t>Corey</t>
  </si>
  <si>
    <t>2161 Hedge Gate Blvd</t>
  </si>
  <si>
    <t>426-6789</t>
  </si>
  <si>
    <t>Diane/Bob</t>
  </si>
  <si>
    <t>Sophie</t>
  </si>
  <si>
    <t>1303 Adams Way</t>
  </si>
  <si>
    <t>320-9753</t>
  </si>
  <si>
    <t xml:space="preserve">Lezley </t>
  </si>
  <si>
    <t>Pisone</t>
  </si>
  <si>
    <t>Mohammed</t>
  </si>
  <si>
    <t>Jamal</t>
  </si>
  <si>
    <t>130 Snowhill Ave</t>
  </si>
  <si>
    <t>231-0123</t>
  </si>
  <si>
    <t>Pooja/Nikhil</t>
  </si>
  <si>
    <t>Kalani</t>
  </si>
  <si>
    <t>Akshay</t>
  </si>
  <si>
    <t>2247 Princess Dr</t>
  </si>
  <si>
    <t>490-1095</t>
  </si>
  <si>
    <t xml:space="preserve">Centerville </t>
  </si>
  <si>
    <t>Joshua</t>
  </si>
  <si>
    <t>Washington Twp</t>
  </si>
  <si>
    <t>Ella/Richard</t>
  </si>
  <si>
    <t>Kutter</t>
  </si>
  <si>
    <t>Julia</t>
  </si>
  <si>
    <t>2415 Countryside Dr</t>
  </si>
  <si>
    <t>Fairborn</t>
  </si>
  <si>
    <t>878-3123</t>
  </si>
  <si>
    <t>Thomas</t>
  </si>
  <si>
    <t>Nancy</t>
  </si>
  <si>
    <t>Leonard</t>
  </si>
  <si>
    <t>Gary/Kimberly</t>
  </si>
  <si>
    <t>Lovings</t>
  </si>
  <si>
    <t xml:space="preserve">Kyra </t>
  </si>
  <si>
    <t>1553 Roamont Dr</t>
  </si>
  <si>
    <t>902-7754</t>
  </si>
  <si>
    <t>Sean</t>
  </si>
  <si>
    <t>Jacob</t>
  </si>
  <si>
    <t>McCall</t>
  </si>
  <si>
    <t>4740 Eagleview Dr</t>
  </si>
  <si>
    <t>825-8531</t>
  </si>
  <si>
    <t>Bradshaw</t>
  </si>
  <si>
    <t>Timothy</t>
  </si>
  <si>
    <t>McCleese</t>
  </si>
  <si>
    <t>5050 Bigger Rd</t>
  </si>
  <si>
    <t>Slyvia/Maurice</t>
  </si>
  <si>
    <t>McDonald</t>
  </si>
  <si>
    <t>429-4246</t>
  </si>
  <si>
    <t>Kevin/Colleen</t>
  </si>
  <si>
    <t>McGovern</t>
  </si>
  <si>
    <t>Kayley</t>
  </si>
  <si>
    <t>1841 Swift Pl</t>
  </si>
  <si>
    <t>427-4797</t>
  </si>
  <si>
    <t>Rob/Dawn</t>
  </si>
  <si>
    <t>Millhouse</t>
  </si>
  <si>
    <t>Alan</t>
  </si>
  <si>
    <t>921 Ashcreek Dr</t>
  </si>
  <si>
    <t>435-8028</t>
  </si>
  <si>
    <t>Catherine/Lawrence</t>
  </si>
  <si>
    <t>Nartker</t>
  </si>
  <si>
    <t>Joe</t>
  </si>
  <si>
    <t>1180 Club Cir</t>
  </si>
  <si>
    <t>291-3480</t>
  </si>
  <si>
    <t>Neiman</t>
  </si>
  <si>
    <t>Joey</t>
  </si>
  <si>
    <t>2909 Vale Dr</t>
  </si>
  <si>
    <t>294-3640</t>
  </si>
  <si>
    <t>Kara</t>
  </si>
  <si>
    <t>Patrick</t>
  </si>
  <si>
    <t>O'Brien</t>
  </si>
  <si>
    <t>192 Laurel Oak Ct</t>
  </si>
  <si>
    <t>474-7216</t>
  </si>
  <si>
    <t>Christina/David</t>
  </si>
  <si>
    <t>O'Neill</t>
  </si>
  <si>
    <t>31 Libby Ct</t>
  </si>
  <si>
    <t>Franklin</t>
  </si>
  <si>
    <t>594-9646</t>
  </si>
  <si>
    <t>Kent</t>
  </si>
  <si>
    <t>Peters</t>
  </si>
  <si>
    <t>Kylie</t>
  </si>
  <si>
    <t>8847 Washington Colony Dr</t>
  </si>
  <si>
    <t>580-8721</t>
  </si>
  <si>
    <t>Cindy/Scott</t>
  </si>
  <si>
    <t>Phillips</t>
  </si>
  <si>
    <t>Callie</t>
  </si>
  <si>
    <t>375 W Pugh Dr</t>
  </si>
  <si>
    <t>885-0707</t>
  </si>
  <si>
    <t>Larry/Patricia</t>
  </si>
  <si>
    <t>Richmond</t>
  </si>
  <si>
    <t>Daniel</t>
  </si>
  <si>
    <t>3360 Suburban Dr</t>
  </si>
  <si>
    <t>429-9048</t>
  </si>
  <si>
    <t>Lance/Patricia</t>
  </si>
  <si>
    <t>Roll</t>
  </si>
  <si>
    <t>Tessa</t>
  </si>
  <si>
    <t>201 Vohusia Ave</t>
  </si>
  <si>
    <t>298-5305</t>
  </si>
  <si>
    <t>John/Normajean</t>
  </si>
  <si>
    <t>Roselius</t>
  </si>
  <si>
    <t>Melissa</t>
  </si>
  <si>
    <t>439-5432</t>
  </si>
  <si>
    <t>Carol/Bill</t>
  </si>
  <si>
    <t>Sauer</t>
  </si>
  <si>
    <t>David</t>
  </si>
  <si>
    <t>820 Lovetta Dr</t>
  </si>
  <si>
    <t>395-0502</t>
  </si>
  <si>
    <t>Tony/Judith</t>
  </si>
  <si>
    <t>Sayger</t>
  </si>
  <si>
    <t>Crislyn</t>
  </si>
  <si>
    <t>1695 N Belleview Dr</t>
  </si>
  <si>
    <t>Bellbrook</t>
  </si>
  <si>
    <t>848-4046</t>
  </si>
  <si>
    <t>Jerry/Lara</t>
  </si>
  <si>
    <t>Schneider</t>
  </si>
  <si>
    <t>Calvin</t>
  </si>
  <si>
    <t>6524 Staverton Dr</t>
  </si>
  <si>
    <t>626-0660</t>
  </si>
  <si>
    <t>Wanda/Larry</t>
  </si>
  <si>
    <t>Sherman</t>
  </si>
  <si>
    <t>Jin</t>
  </si>
  <si>
    <t>1910 Lord Fittwalter Dr</t>
  </si>
  <si>
    <t>866-1899</t>
  </si>
  <si>
    <t>Bill/Neej</t>
  </si>
  <si>
    <t>Shockley</t>
  </si>
  <si>
    <t>1320 Glen Jean Ct</t>
  </si>
  <si>
    <t>673-1109</t>
  </si>
  <si>
    <t>Connie</t>
  </si>
  <si>
    <t>Sink</t>
  </si>
  <si>
    <t>Erik</t>
  </si>
  <si>
    <t>3218 Sunny Crest Ln</t>
  </si>
  <si>
    <t>294-7094</t>
  </si>
  <si>
    <t>Smith</t>
  </si>
  <si>
    <t>Noah</t>
  </si>
  <si>
    <t>Megan</t>
  </si>
  <si>
    <t>Sparks</t>
  </si>
  <si>
    <t>Zac</t>
  </si>
  <si>
    <t>7625 Cloverbrook Park Dr</t>
  </si>
  <si>
    <t>439-3923</t>
  </si>
  <si>
    <t>Douglas</t>
  </si>
  <si>
    <t>Stanziano</t>
  </si>
  <si>
    <t>Leondo</t>
  </si>
  <si>
    <t>607 Uplands Camp Rd</t>
  </si>
  <si>
    <t>299-3021</t>
  </si>
  <si>
    <t>Cooper</t>
  </si>
  <si>
    <t>Thorner</t>
  </si>
  <si>
    <t>Scott</t>
  </si>
  <si>
    <t xml:space="preserve">Brenda </t>
  </si>
  <si>
    <t>Uphouse</t>
  </si>
  <si>
    <t>6237 Rivercliff Ln</t>
  </si>
  <si>
    <t>West Carrollton</t>
  </si>
  <si>
    <t>435-0028</t>
  </si>
  <si>
    <t>Van Zant</t>
  </si>
  <si>
    <t>Vincent</t>
  </si>
  <si>
    <t>1900 Courtland Ave</t>
  </si>
  <si>
    <t>John</t>
  </si>
  <si>
    <t>Aimee/Ed</t>
  </si>
  <si>
    <t>Vorrasi</t>
  </si>
  <si>
    <t>Dominic</t>
  </si>
  <si>
    <t>266 Woodstream Dr</t>
  </si>
  <si>
    <t>886-5081</t>
  </si>
  <si>
    <t>Joseph/Julie</t>
  </si>
  <si>
    <t>Vorsteg</t>
  </si>
  <si>
    <t>Joseph</t>
  </si>
  <si>
    <t>Vorsteg Jr</t>
  </si>
  <si>
    <t>1715 Horlacher Ave</t>
  </si>
  <si>
    <t>252-2044</t>
  </si>
  <si>
    <t>Kissick</t>
  </si>
  <si>
    <t>Wagenbach</t>
  </si>
  <si>
    <t>2903 Chalmar Dr</t>
  </si>
  <si>
    <t>429-1880</t>
  </si>
  <si>
    <t>Adam</t>
  </si>
  <si>
    <t>Tom/Kathy</t>
  </si>
  <si>
    <t>Wittberg</t>
  </si>
  <si>
    <t>Paul</t>
  </si>
  <si>
    <t>813 Gainsborough Rd</t>
  </si>
  <si>
    <t>299-7633</t>
  </si>
  <si>
    <t>Woeste</t>
  </si>
  <si>
    <t>9047 S Normandy Ln</t>
  </si>
  <si>
    <t>885-5198</t>
  </si>
  <si>
    <t>Kenneth/Sue</t>
  </si>
  <si>
    <t>Wysong</t>
  </si>
  <si>
    <t>105 McVey Pl</t>
  </si>
  <si>
    <t>748-1271</t>
  </si>
  <si>
    <t>Ed/Dee</t>
  </si>
  <si>
    <t>Yoakum</t>
  </si>
  <si>
    <t>Javon</t>
  </si>
  <si>
    <t>4347 Willow Run Dr</t>
  </si>
  <si>
    <t>554-5991</t>
  </si>
  <si>
    <t>Karron</t>
  </si>
  <si>
    <t>Shirley</t>
  </si>
  <si>
    <t>Zimmerman</t>
  </si>
  <si>
    <t>Jessica</t>
  </si>
  <si>
    <t>3204 Sudbury Dr</t>
  </si>
  <si>
    <t>938-6232</t>
  </si>
  <si>
    <r>
      <t xml:space="preserve">Field: </t>
    </r>
    <r>
      <rPr>
        <b/>
        <sz val="12"/>
        <rFont val="Arial"/>
        <family val="2"/>
      </rPr>
      <t>Red</t>
    </r>
  </si>
  <si>
    <r>
      <t xml:space="preserve">Field: </t>
    </r>
    <r>
      <rPr>
        <b/>
        <sz val="12"/>
        <rFont val="Arial"/>
        <family val="2"/>
      </rPr>
      <t>Parking Lot</t>
    </r>
  </si>
  <si>
    <r>
      <t xml:space="preserve">Ages: </t>
    </r>
    <r>
      <rPr>
        <b/>
        <sz val="12"/>
        <rFont val="Arial"/>
        <family val="2"/>
      </rPr>
      <t>All</t>
    </r>
  </si>
  <si>
    <r>
      <t xml:space="preserve">Field: </t>
    </r>
    <r>
      <rPr>
        <b/>
        <sz val="12"/>
        <rFont val="Arial"/>
        <family val="2"/>
      </rPr>
      <t>Purple</t>
    </r>
  </si>
  <si>
    <r>
      <t xml:space="preserve">Field: </t>
    </r>
    <r>
      <rPr>
        <b/>
        <sz val="12"/>
        <rFont val="Arial"/>
        <family val="2"/>
      </rPr>
      <t>Orange</t>
    </r>
  </si>
  <si>
    <r>
      <t xml:space="preserve">Field: </t>
    </r>
    <r>
      <rPr>
        <b/>
        <sz val="12"/>
        <rFont val="Arial"/>
        <family val="2"/>
      </rPr>
      <t>Blue</t>
    </r>
  </si>
  <si>
    <r>
      <t xml:space="preserve">Field: </t>
    </r>
    <r>
      <rPr>
        <b/>
        <sz val="12"/>
        <rFont val="Arial"/>
        <family val="2"/>
      </rPr>
      <t>Yellow</t>
    </r>
  </si>
  <si>
    <r>
      <t xml:space="preserve">Field: </t>
    </r>
    <r>
      <rPr>
        <b/>
        <sz val="12"/>
        <rFont val="Arial"/>
        <family val="2"/>
      </rPr>
      <t>Green</t>
    </r>
  </si>
  <si>
    <t>Team</t>
  </si>
  <si>
    <t>829-7085</t>
  </si>
  <si>
    <t>Head Coach</t>
  </si>
  <si>
    <t>XL</t>
  </si>
  <si>
    <t>776-6173</t>
  </si>
  <si>
    <t>glavinnr@gmail.com</t>
  </si>
  <si>
    <t>545-2966</t>
  </si>
  <si>
    <t>305-6768</t>
  </si>
  <si>
    <t>694-5071</t>
  </si>
  <si>
    <t>Shirt</t>
  </si>
  <si>
    <t>Sock</t>
  </si>
  <si>
    <t>Title</t>
  </si>
  <si>
    <t>932-2957</t>
  </si>
  <si>
    <t xml:space="preserve">Jon </t>
  </si>
  <si>
    <t xml:space="preserve">Craig </t>
  </si>
  <si>
    <t>Dana</t>
  </si>
  <si>
    <t>Bob</t>
  </si>
  <si>
    <t>Sheila</t>
  </si>
  <si>
    <t>Tony</t>
  </si>
  <si>
    <t>Greg</t>
  </si>
  <si>
    <t>Bill</t>
  </si>
  <si>
    <t>Dring</t>
  </si>
  <si>
    <t>Glavin</t>
  </si>
  <si>
    <t>Pappert</t>
  </si>
  <si>
    <t>Wasmund</t>
  </si>
  <si>
    <t>Assistant</t>
  </si>
  <si>
    <t>Brown</t>
  </si>
  <si>
    <t>Jason</t>
  </si>
  <si>
    <t>Senkowski</t>
  </si>
  <si>
    <t>laurasenkowski@yahoo.com</t>
  </si>
  <si>
    <t>Wesley</t>
  </si>
  <si>
    <t>Brewer</t>
  </si>
  <si>
    <t>Charles</t>
  </si>
  <si>
    <t>141 Chestnut Ave</t>
  </si>
  <si>
    <t>367-6852</t>
  </si>
  <si>
    <t>rewerb937@gmail.com</t>
  </si>
  <si>
    <t>Tyon/Marcie</t>
  </si>
  <si>
    <t>Candy</t>
  </si>
  <si>
    <t>38 Blackstone Dr</t>
  </si>
  <si>
    <t>626-9951</t>
  </si>
  <si>
    <t>mhefflin1014@att.net</t>
  </si>
  <si>
    <t>tgbrown0120@att.net</t>
  </si>
  <si>
    <t>Crosby</t>
  </si>
  <si>
    <t>Andrew</t>
  </si>
  <si>
    <t>9217 N. Creek Ln</t>
  </si>
  <si>
    <t>654-2442</t>
  </si>
  <si>
    <t>jklmjac@aol.com</t>
  </si>
  <si>
    <t>Cheryl</t>
  </si>
  <si>
    <t>Flowers</t>
  </si>
  <si>
    <t>491 W Spring Valley Pk</t>
  </si>
  <si>
    <t>438-3248</t>
  </si>
  <si>
    <t>Marilyn</t>
  </si>
  <si>
    <t>Gale/Aaron</t>
  </si>
  <si>
    <t>Marshall</t>
  </si>
  <si>
    <t>1161 Yankee Woods Dr</t>
  </si>
  <si>
    <t>531-2903</t>
  </si>
  <si>
    <t>Nicholes</t>
  </si>
  <si>
    <t>Shanae</t>
  </si>
  <si>
    <t>Germantown</t>
  </si>
  <si>
    <t>Melissa/David</t>
  </si>
  <si>
    <t>Vaughn</t>
  </si>
  <si>
    <t>Gabriel</t>
  </si>
  <si>
    <t>266-4071</t>
  </si>
  <si>
    <t>melissa.vaughn1227@my.sinclair.edu</t>
  </si>
  <si>
    <t>david.vaughn@my.sinclair.edu</t>
  </si>
  <si>
    <t>Paula</t>
  </si>
  <si>
    <t>Washington</t>
  </si>
  <si>
    <t>Terry</t>
  </si>
  <si>
    <t>619 Circle Rd</t>
  </si>
  <si>
    <t>268-8125</t>
  </si>
  <si>
    <t>paula-washington@sbcglobal.net</t>
  </si>
  <si>
    <r>
      <t xml:space="preserve">E-mail </t>
    </r>
    <r>
      <rPr>
        <b/>
        <i/>
        <sz val="9"/>
        <rFont val="Arial"/>
        <family val="2"/>
      </rPr>
      <t>- Contact 1 (or Mother)</t>
    </r>
  </si>
  <si>
    <r>
      <t xml:space="preserve">E-mail </t>
    </r>
    <r>
      <rPr>
        <b/>
        <i/>
        <sz val="9"/>
        <rFont val="Arial"/>
        <family val="2"/>
      </rPr>
      <t>- Contact 2 (or Father)</t>
    </r>
  </si>
  <si>
    <t>Current
Team</t>
  </si>
  <si>
    <t>Previous
Team</t>
  </si>
  <si>
    <t>Combined
City, State zip</t>
  </si>
  <si>
    <t>City, State Zip</t>
  </si>
  <si>
    <t>Socks</t>
  </si>
  <si>
    <t xml:space="preserve">Shorts </t>
  </si>
  <si>
    <t>Comments</t>
  </si>
  <si>
    <t>Banquet Total</t>
  </si>
  <si>
    <t>Oakwood</t>
  </si>
  <si>
    <t>Nicole/Dan</t>
  </si>
  <si>
    <t>Grant</t>
  </si>
  <si>
    <t>9186 Country Pond Trail</t>
  </si>
  <si>
    <t>481-8609</t>
  </si>
  <si>
    <t>necolegibson33@yahoo.com</t>
  </si>
  <si>
    <t>diskukedan26@yahoo.com</t>
  </si>
  <si>
    <t>Jennifer/Jerrod</t>
  </si>
  <si>
    <t>Fry</t>
  </si>
  <si>
    <t>65 Graywood Ct</t>
  </si>
  <si>
    <t>332-0902</t>
  </si>
  <si>
    <t>jennybfry@gmail.com</t>
  </si>
  <si>
    <t>Jerrodbfry@gmail.com</t>
  </si>
  <si>
    <t>Shannon/Gary</t>
  </si>
  <si>
    <t>Hardy</t>
  </si>
  <si>
    <t>Gavin</t>
  </si>
  <si>
    <t>11 E Cottage Ave</t>
  </si>
  <si>
    <t>847-8572</t>
  </si>
  <si>
    <t>Shannonhardy@yahoo.com</t>
  </si>
  <si>
    <t>Victoria</t>
  </si>
  <si>
    <t>4323 Turtle Dove Way</t>
  </si>
  <si>
    <t>859-1427</t>
  </si>
  <si>
    <t>vetinge@yahoo.com</t>
  </si>
  <si>
    <t>Peffley</t>
  </si>
  <si>
    <t>2221 Shroyer Road</t>
  </si>
  <si>
    <t>542-1776</t>
  </si>
  <si>
    <t>sarahrose1122@gmail.com</t>
  </si>
  <si>
    <t>timpeffley@yahoo.com</t>
  </si>
  <si>
    <t>joevorstag@yahoo.com</t>
  </si>
  <si>
    <t>Cario</t>
  </si>
  <si>
    <t>716-4040</t>
  </si>
  <si>
    <t>Ella</t>
  </si>
  <si>
    <t>Angie/Ken</t>
  </si>
  <si>
    <t>Warburton</t>
  </si>
  <si>
    <t>Ethan</t>
  </si>
  <si>
    <t>333 Triangle Dr</t>
  </si>
  <si>
    <t>607-4499</t>
  </si>
  <si>
    <t>angelamccord20@gmail.com</t>
  </si>
  <si>
    <t>kenwarburton2004@yahoo.com</t>
  </si>
  <si>
    <t>Crystal</t>
  </si>
  <si>
    <t>Clark</t>
  </si>
  <si>
    <t>Serenity</t>
  </si>
  <si>
    <t>Morton</t>
  </si>
  <si>
    <t>2160 Pompano Circle</t>
  </si>
  <si>
    <t>288-3689</t>
  </si>
  <si>
    <t>crystaseeley99@gmail.com</t>
  </si>
  <si>
    <t>9372600370@gowebsmart.net</t>
  </si>
  <si>
    <t>Nicole/Eric</t>
  </si>
  <si>
    <t>Heller</t>
  </si>
  <si>
    <t>Neil</t>
  </si>
  <si>
    <t>1148 Cloverfield Ave</t>
  </si>
  <si>
    <t>293-9366</t>
  </si>
  <si>
    <t>nkheller@hotmail.com</t>
  </si>
  <si>
    <t>Morgan</t>
  </si>
  <si>
    <t>Shawn</t>
  </si>
  <si>
    <t>Elizabeth</t>
  </si>
  <si>
    <t>Kelly/Andrew</t>
  </si>
  <si>
    <t>Zecchini</t>
  </si>
  <si>
    <t>9794 Scotchpine Dr</t>
  </si>
  <si>
    <t>239-7731</t>
  </si>
  <si>
    <t>kellymzecchini@gmail.com</t>
  </si>
  <si>
    <t>usmcdpl@sbcglobal.net</t>
  </si>
  <si>
    <t>Gordon (JR)</t>
  </si>
  <si>
    <t>Conner</t>
  </si>
  <si>
    <t>Kim/David</t>
  </si>
  <si>
    <t>Curtis</t>
  </si>
  <si>
    <t>116 St. Rt 350</t>
  </si>
  <si>
    <t>Cuba</t>
  </si>
  <si>
    <t>725-2121</t>
  </si>
  <si>
    <t>kcurtis4383@gmail.com</t>
  </si>
  <si>
    <t>Kat/Blair</t>
  </si>
  <si>
    <t>Cornell</t>
  </si>
  <si>
    <t>Carter</t>
  </si>
  <si>
    <t>1934 Nutt Rd</t>
  </si>
  <si>
    <t>361-7251</t>
  </si>
  <si>
    <t>fredcairo.62@yahoo.com</t>
  </si>
  <si>
    <t>2XL</t>
  </si>
  <si>
    <t>Mossing</t>
  </si>
  <si>
    <t>Madison</t>
  </si>
  <si>
    <t>Landers</t>
  </si>
  <si>
    <t>115 Gulfwood Ct</t>
  </si>
  <si>
    <t>671-0416</t>
  </si>
  <si>
    <t>mossingnat@yahoo.com</t>
  </si>
  <si>
    <t>Nataleee</t>
  </si>
  <si>
    <t>Alobwede</t>
  </si>
  <si>
    <t>Dismuke</t>
  </si>
  <si>
    <t xml:space="preserve">Kassidy </t>
  </si>
  <si>
    <t>Rob</t>
  </si>
  <si>
    <t>Mindy</t>
  </si>
  <si>
    <t>Harper</t>
  </si>
  <si>
    <t>Nathan</t>
  </si>
  <si>
    <t>Sheena/Aaron</t>
  </si>
  <si>
    <t>Ava</t>
  </si>
  <si>
    <t>4404 Grayson Street</t>
  </si>
  <si>
    <t>308-8204</t>
  </si>
  <si>
    <t>sheena.smith@ketteringhealth.org</t>
  </si>
  <si>
    <t>asmith@klostermanbakery.com</t>
  </si>
  <si>
    <t>Jacquelyn/Nicholas</t>
  </si>
  <si>
    <t>Payson</t>
  </si>
  <si>
    <t>743 Woodspring Ct</t>
  </si>
  <si>
    <t>612-1453</t>
  </si>
  <si>
    <t>jacquelynsdavis@gmail.com</t>
  </si>
  <si>
    <t>nicholasgdavis@gmail.com</t>
  </si>
  <si>
    <t>Lis/Scott</t>
  </si>
  <si>
    <t>Malott</t>
  </si>
  <si>
    <t>Lucia</t>
  </si>
  <si>
    <t>5273 Oakbrook Dr</t>
  </si>
  <si>
    <t>554-5453</t>
  </si>
  <si>
    <t>lisa.c.malott.@gmail.com</t>
  </si>
  <si>
    <t>retiredos1@gmail.com</t>
  </si>
  <si>
    <t>Audrey/Nathan</t>
  </si>
  <si>
    <t>Richison</t>
  </si>
  <si>
    <t>232-8503</t>
  </si>
  <si>
    <t>aarichison23@aol.com</t>
  </si>
  <si>
    <t>Shary</t>
  </si>
  <si>
    <t>10236 Washington Church Rd</t>
  </si>
  <si>
    <t>433-3180</t>
  </si>
  <si>
    <t>sharysmith1@gmail.com</t>
  </si>
  <si>
    <t>1454 Roamont Drive</t>
  </si>
  <si>
    <t>Shah</t>
  </si>
  <si>
    <t>Yusuf</t>
  </si>
  <si>
    <t>930 Aaron Nut Dr</t>
  </si>
  <si>
    <t>aailiashah@hotmail.com</t>
  </si>
  <si>
    <t>Debi/Mike</t>
  </si>
  <si>
    <t>Schutt</t>
  </si>
  <si>
    <t>9759 Crooked Creek Dr</t>
  </si>
  <si>
    <t>545-3603</t>
  </si>
  <si>
    <t>debi.schutt2@gmail.com</t>
  </si>
  <si>
    <t>micahael.schutt2@gmail.com</t>
  </si>
  <si>
    <t>Moore</t>
  </si>
  <si>
    <t>Mildred/Mike</t>
  </si>
  <si>
    <t>Hurd</t>
  </si>
  <si>
    <t>Alishalyn</t>
  </si>
  <si>
    <t>Lang</t>
  </si>
  <si>
    <t>1710 Green Hollow Ct</t>
  </si>
  <si>
    <t>270-1949</t>
  </si>
  <si>
    <t>hurd.mildred@gmail.com</t>
  </si>
  <si>
    <t>spehar.mike@gmail.com</t>
  </si>
  <si>
    <t>Kindopp</t>
  </si>
  <si>
    <t>Katy</t>
  </si>
  <si>
    <t>6773 Penridge Dr</t>
  </si>
  <si>
    <t>238-9806</t>
  </si>
  <si>
    <t>867-4210</t>
  </si>
  <si>
    <t>Staff</t>
  </si>
  <si>
    <t>Kilian</t>
  </si>
  <si>
    <t>Jessica/Robert</t>
  </si>
  <si>
    <t>Hatfield</t>
  </si>
  <si>
    <t>356 High Street</t>
  </si>
  <si>
    <t>Wilmington</t>
  </si>
  <si>
    <t>956-1543</t>
  </si>
  <si>
    <t>jlmothersole@yahoo.com</t>
  </si>
  <si>
    <t>Mothersol</t>
  </si>
  <si>
    <t>Amy/Alan</t>
  </si>
  <si>
    <t>Engle</t>
  </si>
  <si>
    <t>Freddie</t>
  </si>
  <si>
    <t>1558 Maumee Dr</t>
  </si>
  <si>
    <t>286-6695</t>
  </si>
  <si>
    <t>ace3382@aol.com</t>
  </si>
  <si>
    <t>hawkerkids@yahoo.com</t>
  </si>
  <si>
    <t>5260 Vermadale Drive</t>
  </si>
  <si>
    <t>megrn08@yahoo.com</t>
  </si>
  <si>
    <t>Lawrence</t>
  </si>
  <si>
    <t>Kunka</t>
  </si>
  <si>
    <t>Dylan</t>
  </si>
  <si>
    <t>1617 Belvo Rd</t>
  </si>
  <si>
    <t>lkunka160@gmail.com</t>
  </si>
  <si>
    <t>Anthony</t>
  </si>
  <si>
    <t>Steffee</t>
  </si>
  <si>
    <t>60 Southfield Ct</t>
  </si>
  <si>
    <t>steffeem@hotmail.com</t>
  </si>
  <si>
    <t>Robert</t>
  </si>
  <si>
    <t>Turner</t>
  </si>
  <si>
    <t>2312 Delvue Dr</t>
  </si>
  <si>
    <t>firemanturner@hotmail.com</t>
  </si>
  <si>
    <t>Sundar</t>
  </si>
  <si>
    <t>Vaidyaram</t>
  </si>
  <si>
    <t>Vikram</t>
  </si>
  <si>
    <t>50 Mill Run Lane</t>
  </si>
  <si>
    <t>Jamie</t>
  </si>
  <si>
    <t>Larkin</t>
  </si>
  <si>
    <t>cornell_katherine@yahoo.com</t>
  </si>
  <si>
    <t>Leila</t>
  </si>
  <si>
    <t>310-5976</t>
  </si>
  <si>
    <t>Gretcen</t>
  </si>
  <si>
    <t>Jansen</t>
  </si>
  <si>
    <t>Annie</t>
  </si>
  <si>
    <t>606 Loxwood Dr</t>
  </si>
  <si>
    <t>681-9459</t>
  </si>
  <si>
    <t>gretchen.jansen@centerville.k12.0h.us</t>
  </si>
  <si>
    <t>Ferrell</t>
  </si>
  <si>
    <t xml:space="preserve">Carolyn </t>
  </si>
  <si>
    <t>Henry</t>
  </si>
  <si>
    <t>Farrell</t>
  </si>
  <si>
    <t>1118 Sharon Ave</t>
  </si>
  <si>
    <t>609-1707</t>
  </si>
  <si>
    <t>carolyn_oaks@msn.com</t>
  </si>
  <si>
    <t>2011 La Grange Rd</t>
  </si>
  <si>
    <t>986-8670</t>
  </si>
  <si>
    <t>Rush</t>
  </si>
  <si>
    <t>angelsmama2400@hotmail.com</t>
  </si>
  <si>
    <t>galem_99@yahoo.com</t>
  </si>
  <si>
    <t>Enneking</t>
  </si>
  <si>
    <t xml:space="preserve">Lauren </t>
  </si>
  <si>
    <t>2211 Marcia Dr</t>
  </si>
  <si>
    <t>ennekingsl@gmail.com</t>
  </si>
  <si>
    <t>307-4721</t>
  </si>
  <si>
    <t>477-9095</t>
  </si>
  <si>
    <t>314-5489</t>
  </si>
  <si>
    <t>985-5015</t>
  </si>
  <si>
    <t>242-6574</t>
  </si>
  <si>
    <t>Parker</t>
  </si>
  <si>
    <t>Emily</t>
  </si>
  <si>
    <t>Minch</t>
  </si>
  <si>
    <t>Marley</t>
  </si>
  <si>
    <t>508 Judith Dr</t>
  </si>
  <si>
    <t>305-0436</t>
  </si>
  <si>
    <t>emilyminch@hotmail.com</t>
  </si>
  <si>
    <t>Janet</t>
  </si>
  <si>
    <t>Tuuri</t>
  </si>
  <si>
    <t>O'Reilly</t>
  </si>
  <si>
    <t>1687 Old Haley Dr</t>
  </si>
  <si>
    <t>422-4407</t>
  </si>
  <si>
    <t>timandjanet2015@gmail.com</t>
  </si>
  <si>
    <t>Cara</t>
  </si>
  <si>
    <t>Arnold</t>
  </si>
  <si>
    <t>Gracie</t>
  </si>
  <si>
    <t>4400 Vera Place</t>
  </si>
  <si>
    <t>516-5116</t>
  </si>
  <si>
    <t>cara.wells@gmail.com</t>
  </si>
  <si>
    <t>Binkley</t>
  </si>
  <si>
    <t>aebinkley@gmail.com</t>
  </si>
  <si>
    <t>Amie</t>
  </si>
  <si>
    <t>4631 ozark ave</t>
  </si>
  <si>
    <t>Cindy</t>
  </si>
  <si>
    <t>Whitaker</t>
  </si>
  <si>
    <t>1510 Grange Hall Road</t>
  </si>
  <si>
    <t>559-3249</t>
  </si>
  <si>
    <t>cwhitaker01@hotmail.com</t>
  </si>
  <si>
    <t>Hurley</t>
  </si>
  <si>
    <t>Skylar</t>
  </si>
  <si>
    <t>110 Aspen Woods Sdrive</t>
  </si>
  <si>
    <t>901-2576</t>
  </si>
  <si>
    <t>Taylor</t>
  </si>
  <si>
    <t>taylor.hurley92@yahoo.com</t>
  </si>
  <si>
    <t>Sara</t>
  </si>
  <si>
    <t>Payton</t>
  </si>
  <si>
    <t>824 Santa Cruz Ave</t>
  </si>
  <si>
    <t>270-5211</t>
  </si>
  <si>
    <t>Rosie</t>
  </si>
  <si>
    <t>Keira</t>
  </si>
  <si>
    <t>Graham</t>
  </si>
  <si>
    <t>AS</t>
  </si>
  <si>
    <t>Besserman</t>
  </si>
  <si>
    <t>1620 S. Branch Rd</t>
  </si>
  <si>
    <t>367-5973</t>
  </si>
  <si>
    <t>abesserman222@gmail.com</t>
  </si>
  <si>
    <t xml:space="preserve">Angie </t>
  </si>
  <si>
    <t>YS</t>
  </si>
  <si>
    <t>YM</t>
  </si>
  <si>
    <t>YL</t>
  </si>
  <si>
    <t>AM</t>
  </si>
  <si>
    <t>A2XL</t>
  </si>
  <si>
    <t>AL</t>
  </si>
  <si>
    <t>Brandon</t>
  </si>
  <si>
    <t>Dietsch</t>
  </si>
  <si>
    <t>1452 Vanderlyn Ct.</t>
  </si>
  <si>
    <t>371-5876</t>
  </si>
  <si>
    <t>jenbobcat@gmail.com</t>
  </si>
  <si>
    <t>AXL</t>
  </si>
  <si>
    <t>2509 Emerald Way</t>
  </si>
  <si>
    <t xml:space="preserve">Jennifer </t>
  </si>
  <si>
    <t>Balen</t>
  </si>
  <si>
    <t>Glover</t>
  </si>
  <si>
    <t>angela.shyers@gmail.com</t>
  </si>
  <si>
    <t>Angela</t>
  </si>
  <si>
    <t>721 Easter Dr.</t>
  </si>
  <si>
    <t>205-1370</t>
  </si>
  <si>
    <t>Summer</t>
  </si>
  <si>
    <t>Greenspan</t>
  </si>
  <si>
    <t>3025 Bulah Dr.</t>
  </si>
  <si>
    <t>239-8712</t>
  </si>
  <si>
    <t>babybluestang06@yahoo.com</t>
  </si>
  <si>
    <t>kncoe28@gmail.com</t>
  </si>
  <si>
    <t>Lochlan</t>
  </si>
  <si>
    <t>208 Hollyhock St.</t>
  </si>
  <si>
    <t>mleonard2079@gmail.com</t>
  </si>
  <si>
    <t>269-3148</t>
  </si>
  <si>
    <t>Mallory</t>
  </si>
  <si>
    <t>10223 Morgan Grey Ct.</t>
  </si>
  <si>
    <t xml:space="preserve">Heather </t>
  </si>
  <si>
    <t>750-0466</t>
  </si>
  <si>
    <t>honeill@cshco.com</t>
  </si>
  <si>
    <t>Slone</t>
  </si>
  <si>
    <t>missjslone@gmail.com</t>
  </si>
  <si>
    <t>450 Clareridge Ln</t>
  </si>
  <si>
    <t>465-2710</t>
  </si>
  <si>
    <t>Struble</t>
  </si>
  <si>
    <t>Luke</t>
  </si>
  <si>
    <t>Lora</t>
  </si>
  <si>
    <t>1270 Patriot Way</t>
  </si>
  <si>
    <t>414-0928</t>
  </si>
  <si>
    <t>davidandlora1179@aol.com</t>
  </si>
  <si>
    <t>Vada</t>
  </si>
  <si>
    <t>Daniels</t>
  </si>
  <si>
    <t>Ryan</t>
  </si>
  <si>
    <t>2008 Pacer Trail</t>
  </si>
  <si>
    <t>Beavercreek Twn</t>
  </si>
  <si>
    <t>241-8639</t>
  </si>
  <si>
    <t>hmua19cnp@relay.firefox.com</t>
  </si>
  <si>
    <t>Parth</t>
  </si>
  <si>
    <t>Kulkarni</t>
  </si>
  <si>
    <t>Mrudula</t>
  </si>
  <si>
    <t>1574 Gatekeeper Way</t>
  </si>
  <si>
    <t>312-1190</t>
  </si>
  <si>
    <t>mrudukul@yahoo.com</t>
  </si>
  <si>
    <t>Roman</t>
  </si>
  <si>
    <t>Meyers</t>
  </si>
  <si>
    <t>139 S. Hedges Street</t>
  </si>
  <si>
    <t>782-8440</t>
  </si>
  <si>
    <t>gabrielle_welch@yahoo.com</t>
  </si>
  <si>
    <t>Gabrielle</t>
  </si>
  <si>
    <t>Denise</t>
  </si>
  <si>
    <t>O'Meara</t>
  </si>
  <si>
    <t>Everett</t>
  </si>
  <si>
    <t>2132 Marcia Drive</t>
  </si>
  <si>
    <t>733-6822</t>
  </si>
  <si>
    <t>denise.ann.omeara@gmail.com</t>
  </si>
  <si>
    <t>Toby</t>
  </si>
  <si>
    <t>Pinkerton</t>
  </si>
  <si>
    <t>Priya</t>
  </si>
  <si>
    <t>2886 Dayton Xenia Road</t>
  </si>
  <si>
    <t>361-3167</t>
  </si>
  <si>
    <t>tobysemail@yahoo.com</t>
  </si>
  <si>
    <t>Howard</t>
  </si>
  <si>
    <t>Webb</t>
  </si>
  <si>
    <t>261 Detroit Blvd</t>
  </si>
  <si>
    <t>260-2108</t>
  </si>
  <si>
    <t>howardwebb101@icloud.com</t>
  </si>
  <si>
    <t>Poulsen</t>
  </si>
  <si>
    <t>Brayden</t>
  </si>
  <si>
    <t>918 Gawain Circle</t>
  </si>
  <si>
    <t>287-6850</t>
  </si>
  <si>
    <t>epoulsen91@gmail.com</t>
  </si>
  <si>
    <t>Ben</t>
  </si>
  <si>
    <t>Wyers</t>
  </si>
  <si>
    <t xml:space="preserve">Steph </t>
  </si>
  <si>
    <t>645 Settlers Walk Blvd</t>
  </si>
  <si>
    <t>472-4295</t>
  </si>
  <si>
    <t>stephwyers@yahoo.com</t>
  </si>
  <si>
    <t>dwayne235blankenship@gmail.com</t>
  </si>
  <si>
    <t>PO Box 98</t>
  </si>
  <si>
    <t>Matlacha</t>
  </si>
  <si>
    <t>FL</t>
  </si>
  <si>
    <t>Neff</t>
  </si>
  <si>
    <t>8831 Windbluff Point</t>
  </si>
  <si>
    <t>903-8995</t>
  </si>
  <si>
    <t>Sofia</t>
  </si>
  <si>
    <t>heather.neff1003@gmail.com</t>
  </si>
  <si>
    <t>Heather</t>
  </si>
  <si>
    <t>Gustafson</t>
  </si>
  <si>
    <t>Carmen</t>
  </si>
  <si>
    <t>3155 Felton Dr</t>
  </si>
  <si>
    <t>590-2942</t>
  </si>
  <si>
    <t>Albert</t>
  </si>
  <si>
    <t>Nicole</t>
  </si>
  <si>
    <t>Cameron</t>
  </si>
  <si>
    <t>262 Crosswell Ave</t>
  </si>
  <si>
    <t>Brookville</t>
  </si>
  <si>
    <t>902-9659</t>
  </si>
  <si>
    <t>nicoleelizabeth.barker@gmail.com</t>
  </si>
  <si>
    <t>7494 Dayton Germantown Pike</t>
  </si>
  <si>
    <t>Lori</t>
  </si>
  <si>
    <t>DeWeese</t>
  </si>
  <si>
    <t>Rose</t>
  </si>
  <si>
    <t>Co-Head Coach</t>
  </si>
  <si>
    <t>gwasmund@gmail.com</t>
  </si>
  <si>
    <t>glavinbob@gmail.com</t>
  </si>
  <si>
    <t>Kacie</t>
  </si>
  <si>
    <t>michaelryan.life@gmail.com</t>
  </si>
  <si>
    <t>919 Greengate Dr</t>
  </si>
  <si>
    <t>Lebanon</t>
  </si>
  <si>
    <t>312-3082</t>
  </si>
  <si>
    <t>Bailey</t>
  </si>
  <si>
    <t>Elijah</t>
  </si>
  <si>
    <t>86 N West St</t>
  </si>
  <si>
    <t>578-4122</t>
  </si>
  <si>
    <t>emilyseguin1@gmail.com</t>
  </si>
  <si>
    <t>Seguin</t>
  </si>
  <si>
    <t>Artie</t>
  </si>
  <si>
    <t>Mahl</t>
  </si>
  <si>
    <t>7305 Hartcrest Lane</t>
  </si>
  <si>
    <t>334-4473</t>
  </si>
  <si>
    <t>susane0412@gmail.com</t>
  </si>
  <si>
    <t>Sue</t>
  </si>
  <si>
    <t>Wilson</t>
  </si>
  <si>
    <t>Kathleen</t>
  </si>
  <si>
    <t>parkerbrown429@gmail.com</t>
  </si>
  <si>
    <t>269-6196</t>
  </si>
  <si>
    <t>soccer-gameface@hotmail.com</t>
  </si>
  <si>
    <t>510-5855</t>
  </si>
  <si>
    <t>609-4198</t>
  </si>
  <si>
    <t>sueakissick@gmail.com</t>
  </si>
  <si>
    <t>gusonthemove@hotmail.com</t>
  </si>
  <si>
    <t>1166 Landshire Dr</t>
  </si>
  <si>
    <t>caflow3@gmail.com</t>
  </si>
  <si>
    <t>Strikers</t>
  </si>
  <si>
    <r>
      <t xml:space="preserve">Ages: </t>
    </r>
    <r>
      <rPr>
        <b/>
        <sz val="12"/>
        <rFont val="Arial"/>
        <family val="2"/>
      </rPr>
      <t>27+</t>
    </r>
  </si>
  <si>
    <r>
      <t xml:space="preserve">Field: </t>
    </r>
    <r>
      <rPr>
        <b/>
        <sz val="12"/>
        <rFont val="Arial"/>
        <family val="2"/>
      </rPr>
      <t>Black</t>
    </r>
  </si>
  <si>
    <t>Lucas</t>
  </si>
  <si>
    <t>3383 W. Alex Bell Rd</t>
  </si>
  <si>
    <t>423-4989</t>
  </si>
  <si>
    <t>jzwiers@sthenryparish.com</t>
  </si>
  <si>
    <t>Jennifer</t>
  </si>
  <si>
    <t>Zwiers</t>
  </si>
  <si>
    <t>Jen</t>
  </si>
  <si>
    <t>Andy</t>
  </si>
  <si>
    <t>6774 Gillen Lane</t>
  </si>
  <si>
    <t>623-4389</t>
  </si>
  <si>
    <t>turnerjsa@gmail.com</t>
  </si>
  <si>
    <t>Kellli</t>
  </si>
  <si>
    <t>Tittle</t>
  </si>
  <si>
    <t>1040 Berryhill Rd</t>
  </si>
  <si>
    <t>266-6650</t>
  </si>
  <si>
    <t>kcraig6650@gmail.com</t>
  </si>
  <si>
    <t>Andrea</t>
  </si>
  <si>
    <t>Honious</t>
  </si>
  <si>
    <t>Carlee</t>
  </si>
  <si>
    <t>Honius</t>
  </si>
  <si>
    <t>1220 McKinley Ct</t>
  </si>
  <si>
    <t>430-0124</t>
  </si>
  <si>
    <t>disfrk23@gmail.com</t>
  </si>
  <si>
    <t>Christopher</t>
  </si>
  <si>
    <t>Holtz</t>
  </si>
  <si>
    <t>Kenley</t>
  </si>
  <si>
    <t>197 Poinciana Dr</t>
  </si>
  <si>
    <t>266-3264</t>
  </si>
  <si>
    <t>holtzy33@att.net</t>
  </si>
  <si>
    <t>sarathomas727@gmail.com</t>
  </si>
  <si>
    <t>Amy</t>
  </si>
  <si>
    <t>Abshear</t>
  </si>
  <si>
    <t>81 East Drive</t>
  </si>
  <si>
    <t>271-7842</t>
  </si>
  <si>
    <t>rachelabshear@gmail.com</t>
  </si>
  <si>
    <t>Pamela</t>
  </si>
  <si>
    <t>Mogollon</t>
  </si>
  <si>
    <t>Penelope</t>
  </si>
  <si>
    <t>807 St. Nicholas Ave</t>
  </si>
  <si>
    <t>361-0976</t>
  </si>
  <si>
    <t>mogollonollogom@hotmail.com</t>
  </si>
  <si>
    <t>Cullin</t>
  </si>
  <si>
    <t>Asha</t>
  </si>
  <si>
    <t>Rasheed</t>
  </si>
  <si>
    <t>Zayn</t>
  </si>
  <si>
    <t>Hahn</t>
  </si>
  <si>
    <t>5950 Chambersburg Rd</t>
  </si>
  <si>
    <t>972-2183</t>
  </si>
  <si>
    <t>cmrusell44@gmail.com</t>
  </si>
  <si>
    <t>Tara</t>
  </si>
  <si>
    <t>Hayes</t>
  </si>
  <si>
    <t>Kingston</t>
  </si>
  <si>
    <t>Ringold</t>
  </si>
  <si>
    <t>2745 Brookshire Lane</t>
  </si>
  <si>
    <t>603-7966</t>
  </si>
  <si>
    <t>tarahayes8810@gmail.com</t>
  </si>
  <si>
    <t>Owen</t>
  </si>
  <si>
    <t>600 Grand Wood Court</t>
  </si>
  <si>
    <t>205-4651</t>
  </si>
  <si>
    <t>jenandjeremymoore@gmail.com</t>
  </si>
  <si>
    <t xml:space="preserve"> </t>
  </si>
  <si>
    <t>Gigi</t>
  </si>
  <si>
    <t xml:space="preserve">West </t>
  </si>
  <si>
    <t>284 West Schantz Ave</t>
  </si>
  <si>
    <t>286-8209</t>
  </si>
  <si>
    <t>urbangardeners1@aol.com</t>
  </si>
  <si>
    <t>Samantha</t>
  </si>
  <si>
    <t>Stingley</t>
  </si>
  <si>
    <t>3590 Haines Rd</t>
  </si>
  <si>
    <t>479-6758</t>
  </si>
  <si>
    <t>samantha.stingley@gmail.com</t>
  </si>
  <si>
    <t>Ines</t>
  </si>
  <si>
    <t>1200 Oakwood Ave</t>
  </si>
  <si>
    <t>607-6682</t>
  </si>
  <si>
    <t>Anne</t>
  </si>
  <si>
    <t>Kuschnerus</t>
  </si>
  <si>
    <t>Xander</t>
  </si>
  <si>
    <t>2359 Featherston Ct</t>
  </si>
  <si>
    <t>804-2114</t>
  </si>
  <si>
    <t>solve_vend.09@icloud.com</t>
  </si>
  <si>
    <t>Benjamin</t>
  </si>
  <si>
    <t>Browning</t>
  </si>
  <si>
    <t>2285 Weller Ln</t>
  </si>
  <si>
    <t>416-9931</t>
  </si>
  <si>
    <t>brwngnson@gmail.com</t>
  </si>
  <si>
    <t>Tonya</t>
  </si>
  <si>
    <t>Fisher</t>
  </si>
  <si>
    <t>Isaiah</t>
  </si>
  <si>
    <t>2771 Latonia Ave</t>
  </si>
  <si>
    <t>286-2179</t>
  </si>
  <si>
    <t>tonyafshr@gmail.com</t>
  </si>
  <si>
    <t>Brandi</t>
  </si>
  <si>
    <t>Frederick</t>
  </si>
  <si>
    <t>228 Telford Ave</t>
  </si>
  <si>
    <t>580-8968</t>
  </si>
  <si>
    <t>branbran.bf22@gmail.com</t>
  </si>
  <si>
    <t>A4XL</t>
  </si>
  <si>
    <t>Amber</t>
  </si>
  <si>
    <t>Ladd</t>
  </si>
  <si>
    <t>Elliot</t>
  </si>
  <si>
    <t>290 Pinecone Dr</t>
  </si>
  <si>
    <t>ah355305@ohio.edu</t>
  </si>
  <si>
    <t>671-1190</t>
  </si>
  <si>
    <t>Mark</t>
  </si>
  <si>
    <t>Theresa</t>
  </si>
  <si>
    <t>Williams</t>
  </si>
  <si>
    <t>Jerry</t>
  </si>
  <si>
    <t>47 Illinois Ave</t>
  </si>
  <si>
    <t>45410</t>
  </si>
  <si>
    <t>tish.williams@caresource.com</t>
  </si>
  <si>
    <t>367-1669</t>
  </si>
  <si>
    <t>Check /
Cash</t>
  </si>
  <si>
    <t>Paid</t>
  </si>
  <si>
    <t>Dalton</t>
  </si>
  <si>
    <t>jandrx2@sbcglobal.net</t>
  </si>
  <si>
    <t>475-1542</t>
  </si>
  <si>
    <t>jlvz125@gmail.com</t>
  </si>
  <si>
    <t>361-8172</t>
  </si>
  <si>
    <t>603-8199</t>
  </si>
  <si>
    <t>901-6897</t>
  </si>
  <si>
    <t>Alennia</t>
  </si>
  <si>
    <t>Coomer</t>
  </si>
  <si>
    <t>1132 E Pearl St</t>
  </si>
  <si>
    <t>581-3672</t>
  </si>
  <si>
    <t>alenniadavis@gmail.com</t>
  </si>
  <si>
    <t>Amanda</t>
  </si>
  <si>
    <t>Wright</t>
  </si>
  <si>
    <t>1844 Beason Road</t>
  </si>
  <si>
    <t>422-5233</t>
  </si>
  <si>
    <t>amandalane1754@gmail.com</t>
  </si>
  <si>
    <t>Jenifer</t>
  </si>
  <si>
    <t>Mochocki</t>
  </si>
  <si>
    <t>9767 Blue Spruce Drive</t>
  </si>
  <si>
    <t>236-7528</t>
  </si>
  <si>
    <t>foxmuchacha@hotmail.com</t>
  </si>
  <si>
    <t>Pickett</t>
  </si>
  <si>
    <t>Lukas</t>
  </si>
  <si>
    <t>108 N. 9th Street</t>
  </si>
  <si>
    <t>433-7843</t>
  </si>
  <si>
    <t>angela.mikesell@gmail.com</t>
  </si>
  <si>
    <t>543-5903</t>
  </si>
  <si>
    <t>Aalia/Syad</t>
  </si>
  <si>
    <t>Amaro</t>
  </si>
  <si>
    <t>Landrie</t>
  </si>
  <si>
    <t>2083 S. Tulane Dr</t>
  </si>
  <si>
    <t>Jenny</t>
  </si>
  <si>
    <t>Beckett</t>
  </si>
  <si>
    <t>1240 Waterwyck Trail</t>
  </si>
  <si>
    <t>903-8262</t>
  </si>
  <si>
    <t>bjcalfee@hotmail.com</t>
  </si>
  <si>
    <t>Calfee</t>
  </si>
  <si>
    <t xml:space="preserve">John </t>
  </si>
  <si>
    <t>Barrett</t>
  </si>
  <si>
    <t>Lauren</t>
  </si>
  <si>
    <t>Keeley</t>
  </si>
  <si>
    <t>tonyplandscaping@gmail.com</t>
  </si>
  <si>
    <t>Jorge</t>
  </si>
  <si>
    <t>Noj</t>
  </si>
  <si>
    <t>growingindependence@gmail.com</t>
  </si>
  <si>
    <t>475-4643</t>
  </si>
  <si>
    <t>609-3020</t>
  </si>
  <si>
    <t>623-0964</t>
  </si>
  <si>
    <t>swasmund0929@yahoo.com</t>
  </si>
  <si>
    <t>478-9350</t>
  </si>
  <si>
    <t>lakeeley23@gmail.com</t>
  </si>
  <si>
    <t>Mogollon-Faris</t>
  </si>
  <si>
    <t>nancyebradshaw@gmail.com</t>
  </si>
  <si>
    <t>694-8759</t>
  </si>
  <si>
    <t>Evangeline</t>
  </si>
  <si>
    <t>Turull</t>
  </si>
  <si>
    <t>Cohen</t>
  </si>
  <si>
    <t>Bickett</t>
  </si>
  <si>
    <t>380 Blumen Lane</t>
  </si>
  <si>
    <t>Moraine</t>
  </si>
  <si>
    <t>nicole.turull@gmail.com</t>
  </si>
  <si>
    <t>416-9447</t>
  </si>
  <si>
    <t>Chelsea</t>
  </si>
  <si>
    <t>Birkemeier</t>
  </si>
  <si>
    <t>Horton</t>
  </si>
  <si>
    <t>1362 Hickoryview</t>
  </si>
  <si>
    <t>545-2008</t>
  </si>
  <si>
    <t>cab1034@aol.com</t>
  </si>
  <si>
    <t>Gabriela</t>
  </si>
  <si>
    <t>Patterson</t>
  </si>
  <si>
    <t>Giuliana</t>
  </si>
  <si>
    <t>129 Freesia Dr</t>
  </si>
  <si>
    <t>250-1860</t>
  </si>
  <si>
    <t>gabrielapatterson87@gmail.com</t>
  </si>
  <si>
    <t>Krista</t>
  </si>
  <si>
    <t>Nessler</t>
  </si>
  <si>
    <t>Gemma</t>
  </si>
  <si>
    <t>Christina</t>
  </si>
  <si>
    <t>Korey</t>
  </si>
  <si>
    <t xml:space="preserve">Joseph </t>
  </si>
  <si>
    <t>2968 Station House Way</t>
  </si>
  <si>
    <t>348-9564</t>
  </si>
  <si>
    <t>kdnessler@gmail.com</t>
  </si>
  <si>
    <t>1116 Oxford State Rd</t>
  </si>
  <si>
    <t>464-3212</t>
  </si>
  <si>
    <t>tonysayger581@gmail.com</t>
  </si>
  <si>
    <t>4232 Weber Dr</t>
  </si>
  <si>
    <t>Aylissa</t>
  </si>
  <si>
    <t>1231 Simonton Ave.</t>
  </si>
  <si>
    <t>560-9894</t>
  </si>
  <si>
    <t>growingindependence937@gmail.com</t>
  </si>
  <si>
    <t>Miranda</t>
  </si>
  <si>
    <t>Dickerson</t>
  </si>
  <si>
    <t>Park Release</t>
  </si>
  <si>
    <r>
      <rPr>
        <b/>
        <sz val="14"/>
        <color theme="1"/>
        <rFont val="Calibri"/>
        <family val="2"/>
        <scheme val="minor"/>
      </rPr>
      <t>To Delete Players</t>
    </r>
    <r>
      <rPr>
        <sz val="14"/>
        <color theme="1"/>
        <rFont val="Calibri"/>
        <family val="2"/>
        <scheme val="minor"/>
      </rPr>
      <t xml:space="preserve"> - First select the entire row, then Clear Contents, then Re-sort entire list (Costom sort - Last Name, First Name)</t>
    </r>
  </si>
  <si>
    <t>Aiena</t>
  </si>
  <si>
    <t>Nicholas</t>
  </si>
  <si>
    <t>620-0262</t>
  </si>
  <si>
    <t>tessaiena@aol.com</t>
  </si>
  <si>
    <t>Renee</t>
  </si>
  <si>
    <t>Bolton</t>
  </si>
  <si>
    <t>Brady</t>
  </si>
  <si>
    <t>325-0503</t>
  </si>
  <si>
    <t>reneembolton@gmail.com</t>
  </si>
  <si>
    <t>Shenea</t>
  </si>
  <si>
    <t>Booker</t>
  </si>
  <si>
    <t>Mason</t>
  </si>
  <si>
    <t>397-2801</t>
  </si>
  <si>
    <t>sheanabooker91@gmail.com</t>
  </si>
  <si>
    <t>Kerriann</t>
  </si>
  <si>
    <t>Emma</t>
  </si>
  <si>
    <t>Cloyes</t>
  </si>
  <si>
    <t>474-0271</t>
  </si>
  <si>
    <t>kmcloyes@gmail.com</t>
  </si>
  <si>
    <t>Cassie</t>
  </si>
  <si>
    <t>Hoptry</t>
  </si>
  <si>
    <t>Mikey</t>
  </si>
  <si>
    <t>257-1816</t>
  </si>
  <si>
    <t>cassiehoptry@yahoo.com</t>
  </si>
  <si>
    <t>Rheve</t>
  </si>
  <si>
    <t>Lane</t>
  </si>
  <si>
    <t>733-4611</t>
  </si>
  <si>
    <t>rhevelane@yahoo.com</t>
  </si>
  <si>
    <t>Leffew</t>
  </si>
  <si>
    <t>Grayson</t>
  </si>
  <si>
    <t>435-1051</t>
  </si>
  <si>
    <t>aleffew0825@gmail.com</t>
  </si>
  <si>
    <t>Vijaya</t>
  </si>
  <si>
    <t>Ambashta</t>
  </si>
  <si>
    <t>Vedansh</t>
  </si>
  <si>
    <t>Sahay</t>
  </si>
  <si>
    <t>723-7582</t>
  </si>
  <si>
    <t>Sibole</t>
  </si>
  <si>
    <t>Jonathan</t>
  </si>
  <si>
    <t>751-6067</t>
  </si>
  <si>
    <t>emily.sibole@gmail.com</t>
  </si>
  <si>
    <r>
      <t>"</t>
    </r>
    <r>
      <rPr>
        <b/>
        <sz val="11"/>
        <color theme="1"/>
        <rFont val="Calibri"/>
        <family val="2"/>
        <scheme val="minor"/>
      </rPr>
      <t>Team Assignments</t>
    </r>
    <r>
      <rPr>
        <sz val="11"/>
        <color theme="1"/>
        <rFont val="Calibri"/>
        <family val="2"/>
        <scheme val="minor"/>
      </rPr>
      <t>" Tab - You must unprotect sheet first and then run (click) the filter on the "Team" column.</t>
    </r>
  </si>
  <si>
    <r>
      <rPr>
        <b/>
        <sz val="10"/>
        <rFont val="Arial"/>
        <family val="2"/>
      </rPr>
      <t>Opening Day</t>
    </r>
    <r>
      <rPr>
        <sz val="10"/>
        <rFont val="Arial"/>
        <family val="2"/>
      </rPr>
      <t xml:space="preserve"> - Bring clipboards </t>
    </r>
  </si>
  <si>
    <t>3/4 for pre-registered - spreadsheet and team assignment/ages for each</t>
  </si>
  <si>
    <t>8 for coaches - each team - roster and park releases for coaches</t>
  </si>
  <si>
    <t xml:space="preserve">YL </t>
  </si>
  <si>
    <t>Racheal</t>
  </si>
  <si>
    <t>Schaefer</t>
  </si>
  <si>
    <t>Leighton</t>
  </si>
  <si>
    <t>925-6722</t>
  </si>
  <si>
    <t>blschaefer@rocketmail.com</t>
  </si>
  <si>
    <t>Jinhwan</t>
  </si>
  <si>
    <t xml:space="preserve">Jo </t>
  </si>
  <si>
    <t>429-7507</t>
  </si>
  <si>
    <t>jinhwan.jo@gmail.com</t>
  </si>
  <si>
    <t>Amiee</t>
  </si>
  <si>
    <t>Santiago</t>
  </si>
  <si>
    <t>Evan</t>
  </si>
  <si>
    <t>aimska308@yahoo.com</t>
  </si>
  <si>
    <t>518-6032</t>
  </si>
  <si>
    <t>Judith</t>
  </si>
  <si>
    <t>Slusher</t>
  </si>
  <si>
    <t>Brianne</t>
  </si>
  <si>
    <t>885-5951</t>
  </si>
  <si>
    <t>jcslush@yahoo.com</t>
  </si>
  <si>
    <t>424-6499</t>
  </si>
  <si>
    <t>lwebb526@yahoo.com</t>
  </si>
  <si>
    <t>Bourgeois</t>
  </si>
  <si>
    <t>Scarlett</t>
  </si>
  <si>
    <t>Marquette</t>
  </si>
  <si>
    <t>503-0262</t>
  </si>
  <si>
    <t>slp812003@yahoo.com</t>
  </si>
  <si>
    <t>Pullins</t>
  </si>
  <si>
    <t>Levi</t>
  </si>
  <si>
    <t>361-0425</t>
  </si>
  <si>
    <t>polkadotkara@gmail.com</t>
  </si>
  <si>
    <t>List</t>
  </si>
  <si>
    <t>606-1198</t>
  </si>
  <si>
    <t>cassiegault@yahoo.com</t>
  </si>
  <si>
    <t xml:space="preserve">Timonthy </t>
  </si>
  <si>
    <t>286-7759</t>
  </si>
  <si>
    <t>timwilson41@gmail.com</t>
  </si>
  <si>
    <t>ambashtavijaya@gmail.com</t>
  </si>
  <si>
    <t>Alt Phone</t>
  </si>
  <si>
    <t>Alt AC</t>
  </si>
  <si>
    <r>
      <rPr>
        <b/>
        <sz val="11"/>
        <color theme="1"/>
        <rFont val="Calibri"/>
        <family val="2"/>
        <scheme val="minor"/>
      </rPr>
      <t xml:space="preserve">  NOTE:</t>
    </r>
    <r>
      <rPr>
        <sz val="11"/>
        <color theme="1"/>
        <rFont val="Calibri"/>
        <family val="2"/>
        <scheme val="minor"/>
      </rPr>
      <t xml:space="preserve"> You must Unprotect sheet first, then click on the filter icon of the "Team" column.</t>
    </r>
  </si>
  <si>
    <r>
      <rPr>
        <b/>
        <sz val="11"/>
        <color theme="1"/>
        <rFont val="Calibri"/>
        <family val="2"/>
        <scheme val="minor"/>
      </rPr>
      <t xml:space="preserve">  NOTE</t>
    </r>
    <r>
      <rPr>
        <sz val="11"/>
        <color theme="1"/>
        <rFont val="Calibri"/>
        <family val="2"/>
        <scheme val="minor"/>
      </rPr>
      <t>: To Delete Players - First select the entire row, then Right click on row, select 'Clear Contents', then Re-sort entire list (uses Costom sort of Last Name, First Name)</t>
    </r>
  </si>
  <si>
    <r>
      <rPr>
        <b/>
        <sz val="11"/>
        <color theme="1"/>
        <rFont val="Calibri"/>
        <family val="2"/>
        <scheme val="minor"/>
      </rPr>
      <t xml:space="preserve">  NOTE:</t>
    </r>
    <r>
      <rPr>
        <sz val="11"/>
        <color theme="1"/>
        <rFont val="Calibri"/>
        <family val="2"/>
        <scheme val="minor"/>
      </rPr>
      <t xml:space="preserve"> Columns F-J and W-Z are 'Hidden' (No longer used but kept to avoid breaking macros on other tabs)</t>
    </r>
  </si>
  <si>
    <r>
      <rPr>
        <sz val="14"/>
        <color theme="1"/>
        <rFont val="Calibri"/>
        <family val="2"/>
        <scheme val="minor"/>
      </rPr>
      <t>3 Tabs are Hidden</t>
    </r>
    <r>
      <rPr>
        <sz val="11"/>
        <color theme="1"/>
        <rFont val="Calibri"/>
        <family val="2"/>
        <scheme val="minor"/>
      </rPr>
      <t xml:space="preserve"> - </t>
    </r>
    <r>
      <rPr>
        <b/>
        <sz val="11"/>
        <color theme="1"/>
        <rFont val="Calibri"/>
        <family val="2"/>
        <scheme val="minor"/>
      </rPr>
      <t>Address Labels - All, Address Labels - This Year, Address Labels - Last Year</t>
    </r>
  </si>
  <si>
    <t xml:space="preserve">  &lt;--- Players</t>
  </si>
  <si>
    <t xml:space="preserve">Coaches ---&gt; </t>
  </si>
  <si>
    <t>Colton</t>
  </si>
  <si>
    <t xml:space="preserve">Harry </t>
  </si>
  <si>
    <t>Bossey</t>
  </si>
  <si>
    <t>Jess</t>
  </si>
  <si>
    <t>craig@bcuinc.com</t>
  </si>
  <si>
    <t>daba@bcuinc.com</t>
  </si>
  <si>
    <t>439-2031</t>
  </si>
  <si>
    <t>scout616@aol.com</t>
  </si>
  <si>
    <t>312-1844</t>
  </si>
  <si>
    <t>on_focus@yahoo.com</t>
  </si>
  <si>
    <t>Renk</t>
  </si>
  <si>
    <t>Grabriel</t>
  </si>
  <si>
    <t>305-1658</t>
  </si>
  <si>
    <t>kristinrenk@yahoo.com</t>
  </si>
  <si>
    <t>Kristin</t>
  </si>
  <si>
    <t>Tejal</t>
  </si>
  <si>
    <t>Gupte</t>
  </si>
  <si>
    <t>Aaryan</t>
  </si>
  <si>
    <t>Sagvekar</t>
  </si>
  <si>
    <t>266-2488</t>
  </si>
  <si>
    <t>tejalgupte@gmail.com</t>
  </si>
  <si>
    <t>750-7575</t>
  </si>
  <si>
    <t>hschreck05@gmail.com</t>
  </si>
  <si>
    <t>Schreck</t>
  </si>
  <si>
    <t xml:space="preserve">  </t>
  </si>
  <si>
    <t>Powell</t>
  </si>
  <si>
    <t>470-1280</t>
  </si>
  <si>
    <t>apowell6282@gmail.com</t>
  </si>
  <si>
    <t>Allison</t>
  </si>
  <si>
    <t>Kinney</t>
  </si>
  <si>
    <t>Keaton</t>
  </si>
  <si>
    <t>385-3289</t>
  </si>
  <si>
    <t>allison.l.kinney@gmail.com</t>
  </si>
  <si>
    <t>Email</t>
  </si>
  <si>
    <t>Josh</t>
  </si>
  <si>
    <t>603-6224</t>
  </si>
  <si>
    <t>joshua.l.rose@gmail.com</t>
  </si>
  <si>
    <t>885-1547</t>
  </si>
  <si>
    <t>Jobson</t>
  </si>
  <si>
    <t>Kesner</t>
  </si>
  <si>
    <t>Diane Georgia</t>
  </si>
  <si>
    <t>Joanana</t>
  </si>
  <si>
    <t>520-8439</t>
  </si>
  <si>
    <t>776-4780</t>
  </si>
  <si>
    <t>jobson28@gmail.com</t>
  </si>
  <si>
    <t>joanna.kesner@gmail.com</t>
  </si>
  <si>
    <t>Nava</t>
  </si>
  <si>
    <t>A3XL</t>
  </si>
  <si>
    <t>harry@harrybossey.com</t>
  </si>
  <si>
    <t>Patience</t>
  </si>
  <si>
    <t>Chess</t>
  </si>
  <si>
    <t>351-9390</t>
  </si>
  <si>
    <t>kmchess06@gmail.com</t>
  </si>
  <si>
    <t>Mariah</t>
  </si>
  <si>
    <t>Rhett</t>
  </si>
  <si>
    <r>
      <t xml:space="preserve">Banquet
</t>
    </r>
    <r>
      <rPr>
        <i/>
        <sz val="8"/>
        <rFont val="Arial"/>
        <family val="2"/>
      </rPr>
      <t>(# of people)</t>
    </r>
  </si>
  <si>
    <r>
      <t xml:space="preserve">Age
</t>
    </r>
    <r>
      <rPr>
        <i/>
        <sz val="8"/>
        <rFont val="Arial"/>
        <family val="2"/>
      </rPr>
      <t>(Calculated)</t>
    </r>
  </si>
  <si>
    <r>
      <t xml:space="preserve">Banquet
Count
</t>
    </r>
    <r>
      <rPr>
        <sz val="8"/>
        <rFont val="Arial"/>
        <family val="2"/>
      </rPr>
      <t>(# of people)</t>
    </r>
  </si>
  <si>
    <t>Hudsen</t>
  </si>
  <si>
    <t>Millen</t>
  </si>
  <si>
    <t>abauchmoyer@gmail.com</t>
  </si>
  <si>
    <t>570-8891</t>
  </si>
  <si>
    <t>Katie</t>
  </si>
  <si>
    <t>Tianna</t>
  </si>
  <si>
    <t>Burtnett</t>
  </si>
  <si>
    <t>Niklaus</t>
  </si>
  <si>
    <t>586-4111</t>
  </si>
  <si>
    <t>apparentlyimahippie2@gmail.com</t>
  </si>
  <si>
    <t>sundar.pueblo1@gmail.com</t>
  </si>
  <si>
    <t>Blaze</t>
  </si>
  <si>
    <t>Savage</t>
  </si>
  <si>
    <t>608-3045</t>
  </si>
  <si>
    <t>bsavage1@mail.com</t>
  </si>
  <si>
    <r>
      <rPr>
        <b/>
        <sz val="11"/>
        <color theme="1"/>
        <rFont val="Calibri"/>
        <family val="2"/>
        <scheme val="minor"/>
      </rPr>
      <t xml:space="preserve">  NOTE:</t>
    </r>
    <r>
      <rPr>
        <sz val="11"/>
        <color theme="1"/>
        <rFont val="Calibri"/>
        <family val="2"/>
        <scheme val="minor"/>
      </rPr>
      <t xml:space="preserve"> Rows 216-271 are 'Hidden' (assumed they are empty and not needed for viewing)</t>
    </r>
  </si>
  <si>
    <t xml:space="preserve">Stephanie </t>
  </si>
  <si>
    <t>Myron</t>
  </si>
  <si>
    <t>Hall</t>
  </si>
  <si>
    <t>974-8764</t>
  </si>
  <si>
    <t>s.r.hall2000@att.net</t>
  </si>
  <si>
    <t>Deborah</t>
  </si>
  <si>
    <t>Miller</t>
  </si>
  <si>
    <t>Jayla</t>
  </si>
  <si>
    <t>673-9062</t>
  </si>
  <si>
    <t>dgayle1@hotmail.com</t>
  </si>
  <si>
    <t>Mauersberg</t>
  </si>
  <si>
    <t>inesmauerberg@yahoo.com</t>
  </si>
  <si>
    <r>
      <rPr>
        <b/>
        <sz val="12"/>
        <color theme="1"/>
        <rFont val="Calibri"/>
        <family val="2"/>
        <scheme val="minor"/>
      </rPr>
      <t>Odd occuranc</t>
    </r>
    <r>
      <rPr>
        <b/>
        <sz val="11"/>
        <color theme="1"/>
        <rFont val="Calibri"/>
        <family val="2"/>
        <scheme val="minor"/>
      </rPr>
      <t>e</t>
    </r>
    <r>
      <rPr>
        <sz val="11"/>
        <color theme="1"/>
        <rFont val="Calibri"/>
        <family val="2"/>
        <scheme val="minor"/>
      </rPr>
      <t xml:space="preserve"> - If rows are missing (and not hidden), they may have a row height of 0, you need to place the cursor in between the upper row and following row until you see a doublw line cursor, then drag down the missing row.</t>
    </r>
  </si>
  <si>
    <r>
      <rPr>
        <b/>
        <sz val="14"/>
        <color theme="1"/>
        <rFont val="Calibri"/>
        <family val="2"/>
        <scheme val="minor"/>
      </rPr>
      <t>Functions</t>
    </r>
    <r>
      <rPr>
        <b/>
        <sz val="11"/>
        <color theme="1"/>
        <rFont val="Calibri"/>
        <family val="2"/>
        <scheme val="minor"/>
      </rPr>
      <t xml:space="preserve"> - NOTE: Any time you edit a function (i.e. a cell with underlying code), you need to re-enable it by highlighting the entire function text and then press:  Control/Shift/Enter</t>
    </r>
  </si>
  <si>
    <t>emervdan@gmail.com</t>
  </si>
  <si>
    <t>Borton</t>
  </si>
  <si>
    <t>Hannah</t>
  </si>
  <si>
    <t>dkborton@gmail.com</t>
  </si>
  <si>
    <t>570-7501</t>
  </si>
  <si>
    <t>Carlton</t>
  </si>
  <si>
    <t>Luca</t>
  </si>
  <si>
    <t>heatherecarlton@gmail.com</t>
  </si>
  <si>
    <t>239-2523</t>
  </si>
  <si>
    <t>Vanessa</t>
  </si>
  <si>
    <t>Felton</t>
  </si>
  <si>
    <t>Elias</t>
  </si>
  <si>
    <t>Ferguson</t>
  </si>
  <si>
    <t>vfelton2013@gmail.com</t>
  </si>
  <si>
    <t>amyellenf@gmail.com</t>
  </si>
  <si>
    <t>681-6892</t>
  </si>
  <si>
    <t>974-6276</t>
  </si>
  <si>
    <t>Barbara</t>
  </si>
  <si>
    <t>Kirkpatrick</t>
  </si>
  <si>
    <t>Kaizyr</t>
  </si>
  <si>
    <t>Forgy</t>
  </si>
  <si>
    <t>bahbs92818@gmail.com</t>
  </si>
  <si>
    <t>514-3637</t>
  </si>
  <si>
    <t>Kimberly</t>
  </si>
  <si>
    <t>kimberlyrose@outlook.com</t>
  </si>
  <si>
    <t>487-4825</t>
  </si>
  <si>
    <t>Kelly</t>
  </si>
  <si>
    <t>Tompkins</t>
  </si>
  <si>
    <t>katompkins720@gmail.com</t>
  </si>
  <si>
    <t>239-1707</t>
  </si>
  <si>
    <t>rdmillhouse.outlook.com</t>
  </si>
  <si>
    <t>Lisa</t>
  </si>
  <si>
    <t>Jones</t>
  </si>
  <si>
    <t>lrjones3414@roadrunner.com</t>
  </si>
  <si>
    <t>Kinzer</t>
  </si>
  <si>
    <t>Myer</t>
  </si>
  <si>
    <t>Jay LaNell</t>
  </si>
  <si>
    <t>490-0857</t>
  </si>
  <si>
    <t>kmyer115@gmail.com</t>
  </si>
  <si>
    <t>Zak</t>
  </si>
  <si>
    <t>Witucky</t>
  </si>
  <si>
    <t>zwitucky@gmail.com</t>
  </si>
  <si>
    <t>694-9593</t>
  </si>
  <si>
    <t>Cora</t>
  </si>
  <si>
    <t>Charlie</t>
  </si>
  <si>
    <t>Gogel</t>
  </si>
  <si>
    <t>480-7440</t>
  </si>
  <si>
    <t>jennifer_gogel@yahoo.com</t>
  </si>
  <si>
    <t>Isabella</t>
  </si>
  <si>
    <t>361-1672</t>
  </si>
  <si>
    <t>nancyleonard100@gmail.com</t>
  </si>
  <si>
    <t>Xavier</t>
  </si>
  <si>
    <t>Telemaque</t>
  </si>
  <si>
    <t>Daphnee</t>
  </si>
  <si>
    <t>703-9998</t>
  </si>
  <si>
    <t>dtelemaque55@gmail.com</t>
  </si>
  <si>
    <t>YXL</t>
  </si>
  <si>
    <t>Amara</t>
  </si>
  <si>
    <t>Bowermaster</t>
  </si>
  <si>
    <t>Tobias</t>
  </si>
  <si>
    <t>672-4576</t>
  </si>
  <si>
    <t>bowermastera@gmail.com</t>
  </si>
  <si>
    <t>Tommy</t>
  </si>
  <si>
    <t>Winslow</t>
  </si>
  <si>
    <t>schwinslow@gmail.com</t>
  </si>
  <si>
    <t>223-6942</t>
  </si>
  <si>
    <t>Back</t>
  </si>
  <si>
    <t>Elena</t>
  </si>
  <si>
    <t>450-4566</t>
  </si>
  <si>
    <t>amandaback1016@yahoo.com</t>
  </si>
  <si>
    <t>Coleman</t>
  </si>
  <si>
    <t>andrew@ge.com</t>
  </si>
  <si>
    <t>218-9373</t>
  </si>
  <si>
    <t>Chyanne</t>
  </si>
  <si>
    <t>Summerlin</t>
  </si>
  <si>
    <t>Fallon</t>
  </si>
  <si>
    <t>Poellnitz</t>
  </si>
  <si>
    <t>570-3192</t>
  </si>
  <si>
    <t>chyanne2011.cs@gmail.com</t>
  </si>
  <si>
    <t>Stella</t>
  </si>
  <si>
    <t>rose.haus17@gmail.com</t>
  </si>
  <si>
    <t>Samuel</t>
  </si>
  <si>
    <t>Borgemenke</t>
  </si>
  <si>
    <t>968-4655</t>
  </si>
  <si>
    <t>borgemenkesamuel@gmail.com</t>
  </si>
  <si>
    <t>Bodey</t>
  </si>
  <si>
    <t>Maher</t>
  </si>
  <si>
    <t>Stephanie</t>
  </si>
  <si>
    <t>stephaniemaher90@gmail.com</t>
  </si>
  <si>
    <t>728-7581</t>
  </si>
  <si>
    <t>Ashley</t>
  </si>
  <si>
    <t>Dykes</t>
  </si>
  <si>
    <t>Kemper</t>
  </si>
  <si>
    <t>Robinson</t>
  </si>
  <si>
    <t>422-9492</t>
  </si>
  <si>
    <t>kempsmama5@yahoo.com</t>
  </si>
  <si>
    <t>Krystal</t>
  </si>
  <si>
    <t>LaFontsee</t>
  </si>
  <si>
    <t>Cade</t>
  </si>
  <si>
    <t>Dudgeon</t>
  </si>
  <si>
    <t>Mezera</t>
  </si>
  <si>
    <t>604-3468</t>
  </si>
  <si>
    <t>830-2469</t>
  </si>
  <si>
    <t>klafontsee@gmail.com</t>
  </si>
  <si>
    <t>david.dudgeon123@gmail.com</t>
  </si>
  <si>
    <t>Dyer</t>
  </si>
  <si>
    <t>shanae-nicholes@ti-inc.org</t>
  </si>
  <si>
    <t>Espenshade Vinande</t>
  </si>
  <si>
    <t>Lyra</t>
  </si>
  <si>
    <t>Vinande</t>
  </si>
  <si>
    <t>megz1176@hotmail.com</t>
  </si>
  <si>
    <t>241-9058</t>
  </si>
  <si>
    <t>Childress</t>
  </si>
  <si>
    <t>Richardson</t>
  </si>
  <si>
    <t>nathan.richardson1901@gmail.com</t>
  </si>
  <si>
    <t>815-4356</t>
  </si>
  <si>
    <r>
      <t xml:space="preserve">Ages: </t>
    </r>
    <r>
      <rPr>
        <b/>
        <sz val="12"/>
        <rFont val="Arial"/>
        <family val="2"/>
      </rPr>
      <t>5-7</t>
    </r>
  </si>
  <si>
    <r>
      <t xml:space="preserve">Ages: </t>
    </r>
    <r>
      <rPr>
        <b/>
        <sz val="12"/>
        <rFont val="Arial"/>
        <family val="2"/>
      </rPr>
      <t>7-11</t>
    </r>
  </si>
  <si>
    <r>
      <t xml:space="preserve">Ages: </t>
    </r>
    <r>
      <rPr>
        <b/>
        <sz val="12"/>
        <rFont val="Arial"/>
        <family val="2"/>
      </rPr>
      <t>10-12</t>
    </r>
  </si>
  <si>
    <r>
      <t xml:space="preserve">Ages: </t>
    </r>
    <r>
      <rPr>
        <b/>
        <sz val="12"/>
        <rFont val="Arial"/>
        <family val="2"/>
      </rPr>
      <t>12-17</t>
    </r>
  </si>
  <si>
    <r>
      <t xml:space="preserve">Ages: </t>
    </r>
    <r>
      <rPr>
        <b/>
        <sz val="12"/>
        <rFont val="Arial"/>
        <family val="2"/>
      </rPr>
      <t>18-24</t>
    </r>
  </si>
  <si>
    <r>
      <t xml:space="preserve">Ages: </t>
    </r>
    <r>
      <rPr>
        <b/>
        <sz val="12"/>
        <rFont val="Arial"/>
        <family val="2"/>
      </rPr>
      <t>22-31</t>
    </r>
  </si>
  <si>
    <t>Decamp</t>
  </si>
  <si>
    <t>decamptaylor333@gmail.com</t>
  </si>
  <si>
    <t>886-2773</t>
  </si>
  <si>
    <t>coltondickerson@gmail.com</t>
  </si>
  <si>
    <t>noradickerson@gmail.com</t>
  </si>
  <si>
    <t>623-4466</t>
  </si>
  <si>
    <t>Angie</t>
  </si>
  <si>
    <t>McKinnson</t>
  </si>
  <si>
    <t>Charlotte</t>
  </si>
  <si>
    <t>205-2132</t>
  </si>
  <si>
    <t>admason0905@gmail.com</t>
  </si>
  <si>
    <t>Everette</t>
  </si>
  <si>
    <t>Deanne</t>
  </si>
  <si>
    <t>Marks</t>
  </si>
  <si>
    <t>Kaely</t>
  </si>
  <si>
    <t>Drake</t>
  </si>
  <si>
    <t>aeh63@hotmail.com</t>
  </si>
  <si>
    <t>marksdeanne@gmail.com</t>
  </si>
  <si>
    <t>770-8744</t>
  </si>
  <si>
    <t>684-2501</t>
  </si>
  <si>
    <t>481-8894</t>
  </si>
  <si>
    <t>Raphael</t>
  </si>
  <si>
    <t>Ojezua</t>
  </si>
  <si>
    <t>212-7902</t>
  </si>
  <si>
    <t>nrmorganjones@gmail.com</t>
  </si>
  <si>
    <t>Nate</t>
  </si>
  <si>
    <t>Carly</t>
  </si>
  <si>
    <t>Benji</t>
  </si>
  <si>
    <t>christyfacebook420420@gmail.com</t>
  </si>
  <si>
    <t>Stormie</t>
  </si>
  <si>
    <t>Michelle</t>
  </si>
  <si>
    <t>Hoefler</t>
  </si>
  <si>
    <t>202-4006</t>
  </si>
  <si>
    <t>michellehoefler29@gmail.com</t>
  </si>
  <si>
    <t>Satish</t>
  </si>
  <si>
    <t>Varghese</t>
  </si>
  <si>
    <t>305-2983</t>
  </si>
  <si>
    <t>satish.verghese@gmail.com</t>
  </si>
  <si>
    <t>javon.yoakkum@gmail.com</t>
  </si>
  <si>
    <t>karron.yoakkum99@gmail.com</t>
  </si>
  <si>
    <r>
      <t xml:space="preserve">Fall
Classic
</t>
    </r>
    <r>
      <rPr>
        <sz val="8"/>
        <rFont val="Arial"/>
        <family val="2"/>
      </rPr>
      <t>(use X)</t>
    </r>
  </si>
  <si>
    <r>
      <t xml:space="preserve">Credit Card
</t>
    </r>
    <r>
      <rPr>
        <sz val="8"/>
        <rFont val="Arial"/>
        <family val="2"/>
      </rPr>
      <t>(use X)</t>
    </r>
  </si>
  <si>
    <t>X</t>
  </si>
  <si>
    <t>Donnellon</t>
  </si>
  <si>
    <t>Aiyanna</t>
  </si>
  <si>
    <t>940-0486</t>
  </si>
  <si>
    <t>jennidonn@yahoo.com</t>
  </si>
  <si>
    <t>Alice</t>
  </si>
  <si>
    <t>Reed</t>
  </si>
  <si>
    <t>504-8772</t>
  </si>
  <si>
    <t>alitomreed72@gmail.com</t>
  </si>
  <si>
    <t>Tolson</t>
  </si>
  <si>
    <t>Willis</t>
  </si>
  <si>
    <t>477-4249</t>
  </si>
  <si>
    <t>amyjtolson34@gmail.com</t>
  </si>
  <si>
    <t>Bush</t>
  </si>
  <si>
    <t>667-2656</t>
  </si>
  <si>
    <t>rbush11@gmail.com</t>
  </si>
  <si>
    <t>Nora</t>
  </si>
  <si>
    <t>Grimsley</t>
  </si>
  <si>
    <t>289-6335</t>
  </si>
  <si>
    <t>nmapp2@gmail.com</t>
  </si>
  <si>
    <t>jennifer20zwiers@gmail.com</t>
  </si>
  <si>
    <t>Rogers</t>
  </si>
  <si>
    <t>Mitchell</t>
  </si>
  <si>
    <t>902-4468</t>
  </si>
  <si>
    <t>healingangel75@gmail.com</t>
  </si>
  <si>
    <t>Shayna</t>
  </si>
  <si>
    <t>Boyd</t>
  </si>
  <si>
    <t>Jaiven</t>
  </si>
  <si>
    <t>Pattson</t>
  </si>
  <si>
    <t>670-9003</t>
  </si>
  <si>
    <t>shayb2011wsu@gmail.com</t>
  </si>
  <si>
    <t>Danielle</t>
  </si>
  <si>
    <t>Jegede</t>
  </si>
  <si>
    <t>Micah</t>
  </si>
  <si>
    <t>357-4676</t>
  </si>
  <si>
    <t>dfaithcarter@gmail.com</t>
  </si>
  <si>
    <t>Astrid</t>
  </si>
  <si>
    <t>Kapfhammer</t>
  </si>
  <si>
    <t>Trent</t>
  </si>
  <si>
    <t>430-4636</t>
  </si>
  <si>
    <t>astridkap3@gmail.com</t>
  </si>
  <si>
    <t>Mary</t>
  </si>
  <si>
    <t>Bowling</t>
  </si>
  <si>
    <t>Kolleen</t>
  </si>
  <si>
    <t>DeGrazia</t>
  </si>
  <si>
    <t>Nolan</t>
  </si>
  <si>
    <t>Rebecca</t>
  </si>
  <si>
    <t>Isbell</t>
  </si>
  <si>
    <t>Jeffery</t>
  </si>
  <si>
    <t>213-0975</t>
  </si>
  <si>
    <t>autizm1mom@gmail.com</t>
  </si>
  <si>
    <t>nicholas.degrazia@gmail.com</t>
  </si>
  <si>
    <t>269-2644</t>
  </si>
  <si>
    <t>464-5097</t>
  </si>
  <si>
    <t>rldisbell@yahoo.com</t>
  </si>
  <si>
    <t>Robertson</t>
  </si>
  <si>
    <t>Isaac</t>
  </si>
  <si>
    <t>Julie</t>
  </si>
  <si>
    <t>431-8820</t>
  </si>
  <si>
    <t>michelle.kossick@gmail.com</t>
  </si>
  <si>
    <t>305-1776</t>
  </si>
  <si>
    <t>marshalla908@gmail.com</t>
  </si>
  <si>
    <t>Erica</t>
  </si>
  <si>
    <t>Reece</t>
  </si>
  <si>
    <t>Pate</t>
  </si>
  <si>
    <t>270-8637</t>
  </si>
  <si>
    <t>ericareece413@gmail.com</t>
  </si>
  <si>
    <t>Anna</t>
  </si>
  <si>
    <t>Shonle</t>
  </si>
  <si>
    <t>681-5135</t>
  </si>
  <si>
    <t>amanda-sweigard@ti-inc.org</t>
  </si>
  <si>
    <t>972-2182</t>
  </si>
  <si>
    <t>cmrussell44@gmail.com</t>
  </si>
  <si>
    <t>Isa</t>
  </si>
  <si>
    <t>Kovacs</t>
  </si>
  <si>
    <t>Stieger</t>
  </si>
  <si>
    <t>Otto</t>
  </si>
  <si>
    <t>Mollie</t>
  </si>
  <si>
    <t>mali789279@gmail.com</t>
  </si>
  <si>
    <t>269-2778</t>
  </si>
  <si>
    <t>Cordonnier</t>
  </si>
  <si>
    <t>Joan</t>
  </si>
  <si>
    <t>604-6017</t>
  </si>
  <si>
    <t>joancordonnier@gmail.com</t>
  </si>
  <si>
    <t>Erin</t>
  </si>
  <si>
    <t>Hopkins</t>
  </si>
  <si>
    <t>Blane</t>
  </si>
  <si>
    <t>Gallagher</t>
  </si>
  <si>
    <t>Cleveland-Holecek</t>
  </si>
  <si>
    <t>Holecek</t>
  </si>
  <si>
    <t>419-2365</t>
  </si>
  <si>
    <t>385-1007</t>
  </si>
  <si>
    <t>evanserin77@gmail.com</t>
  </si>
  <si>
    <t>aclevelalax@gmail.com</t>
  </si>
  <si>
    <t>Lin</t>
  </si>
  <si>
    <t>Pursel</t>
  </si>
  <si>
    <t>479-5087</t>
  </si>
  <si>
    <t>ellasdad65@sbcglobal.net</t>
  </si>
  <si>
    <t>Age</t>
  </si>
  <si>
    <t>623-9218</t>
  </si>
  <si>
    <t>**</t>
  </si>
  <si>
    <t>Up to Date</t>
  </si>
  <si>
    <t>Cura</t>
  </si>
  <si>
    <t>Yeagley</t>
  </si>
  <si>
    <t>554-6109</t>
  </si>
  <si>
    <t>n/a</t>
  </si>
  <si>
    <t xml:space="preserve">Nora </t>
  </si>
  <si>
    <t>Rowen</t>
  </si>
  <si>
    <t>rowenarnold@gmail.com</t>
  </si>
  <si>
    <t>607-2735</t>
  </si>
  <si>
    <t>Geoff</t>
  </si>
  <si>
    <t>Darr</t>
  </si>
  <si>
    <t xml:space="preserve">Paul </t>
  </si>
  <si>
    <t>Boeckman</t>
  </si>
  <si>
    <t>david.deweese@rockets.utoledo.edu</t>
  </si>
  <si>
    <t>Registered</t>
  </si>
  <si>
    <t>Natasha</t>
  </si>
  <si>
    <t>Training
Reqmnts</t>
  </si>
  <si>
    <t>NEED</t>
  </si>
  <si>
    <t>Katherine</t>
  </si>
  <si>
    <t>Schaaf</t>
  </si>
  <si>
    <t>Hoyt</t>
  </si>
  <si>
    <t>248-4850</t>
  </si>
  <si>
    <t>katocon@hotmail.com</t>
  </si>
  <si>
    <t>Ellinger</t>
  </si>
  <si>
    <t>Livy</t>
  </si>
  <si>
    <t>Lake</t>
  </si>
  <si>
    <t>jbagby-lake@hotmail.com</t>
  </si>
  <si>
    <t>Valerie</t>
  </si>
  <si>
    <t>joseph.vorsteg90@gmail.com</t>
  </si>
  <si>
    <t>Coach</t>
  </si>
  <si>
    <t>267-3256</t>
  </si>
  <si>
    <t>lauren.nicole0522@gmail.com</t>
  </si>
  <si>
    <t>361-0413</t>
  </si>
  <si>
    <t>Breyshun</t>
  </si>
  <si>
    <t>Price</t>
  </si>
  <si>
    <t>yes</t>
  </si>
  <si>
    <t>no</t>
  </si>
  <si>
    <t>Mathieu</t>
  </si>
  <si>
    <t>Rekeraho</t>
  </si>
  <si>
    <t>sauer67carol@gmail.com</t>
  </si>
  <si>
    <t>Sweigard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</si>
</sst>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5" formatCode="&quot;$&quot;#,##0_);\(&quot;$&quot;#,##0\)"/>
    <numFmt numFmtId="42" formatCode="_(&quot;$&quot;* #,##0_);_(&quot;$&quot;* \(#,##0\);_(&quot;$&quot;* &quot;-&quot;_);_(@_)"/>
    <numFmt numFmtId="164" formatCode="&quot;$&quot;#,##0"/>
    <numFmt numFmtId="165" formatCode="mm/dd/yyyy"/>
  </numFmts>
  <fonts count="38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i/>
      <sz val="12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24"/>
      <name val="Arial"/>
      <family val="2"/>
    </font>
    <font>
      <b/>
      <sz val="12"/>
      <color theme="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0"/>
      <color indexed="12"/>
      <name val="Arial"/>
      <family val="2"/>
    </font>
    <font>
      <b/>
      <i/>
      <sz val="9"/>
      <name val="Arial"/>
      <family val="2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11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i/>
      <sz val="12"/>
      <name val="Arial"/>
      <family val="2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0"/>
      <name val="Arial"/>
      <family val="2"/>
    </font>
    <font>
      <i/>
      <sz val="8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b/>
      <sz val="16"/>
      <color rgb="FF000000"/>
      <name val="Calibri"/>
      <family val="2"/>
    </font>
    <font>
      <sz val="20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4" fillId="0" borderId="0"/>
    <xf numFmtId="0" fontId="19" fillId="0" borderId="0" applyNumberFormat="0" applyFill="0" applyBorder="0" applyAlignment="0" applyProtection="0">
      <alignment vertical="top"/>
      <protection locked="0"/>
    </xf>
    <xf numFmtId="0" fontId="24" fillId="0" borderId="0" applyNumberFormat="0" applyFill="0" applyBorder="0" applyAlignment="0" applyProtection="0"/>
  </cellStyleXfs>
  <cellXfs count="133">
    <xf numFmtId="0" fontId="0" fillId="0" borderId="0" xfId="0"/>
    <xf numFmtId="0" fontId="12" fillId="0" borderId="0" xfId="0" applyFont="1"/>
    <xf numFmtId="0" fontId="0" fillId="0" borderId="0" xfId="0" applyAlignment="1">
      <alignment horizontal="center"/>
    </xf>
    <xf numFmtId="0" fontId="15" fillId="0" borderId="0" xfId="0" applyFont="1" applyAlignment="1">
      <alignment horizontal="left"/>
    </xf>
    <xf numFmtId="0" fontId="12" fillId="0" borderId="0" xfId="0" applyFont="1" applyAlignment="1">
      <alignment horizontal="center"/>
    </xf>
    <xf numFmtId="0" fontId="11" fillId="0" borderId="2" xfId="0" applyFont="1" applyBorder="1" applyAlignment="1">
      <alignment horizontal="center"/>
    </xf>
    <xf numFmtId="49" fontId="11" fillId="0" borderId="2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12" fillId="0" borderId="0" xfId="0" applyFont="1" applyAlignment="1">
      <alignment vertical="center"/>
    </xf>
    <xf numFmtId="0" fontId="11" fillId="2" borderId="1" xfId="0" applyFont="1" applyFill="1" applyBorder="1" applyAlignment="1">
      <alignment horizontal="left"/>
    </xf>
    <xf numFmtId="0" fontId="10" fillId="2" borderId="1" xfId="0" applyFont="1" applyFill="1" applyBorder="1" applyAlignment="1">
      <alignment horizontal="left"/>
    </xf>
    <xf numFmtId="49" fontId="11" fillId="2" borderId="1" xfId="0" applyNumberFormat="1" applyFont="1" applyFill="1" applyBorder="1" applyAlignment="1">
      <alignment horizontal="left"/>
    </xf>
    <xf numFmtId="0" fontId="10" fillId="2" borderId="1" xfId="0" applyFont="1" applyFill="1" applyBorder="1" applyAlignment="1">
      <alignment horizontal="center"/>
    </xf>
    <xf numFmtId="49" fontId="0" fillId="0" borderId="1" xfId="0" applyNumberFormat="1" applyBorder="1"/>
    <xf numFmtId="49" fontId="0" fillId="0" borderId="0" xfId="0" applyNumberFormat="1"/>
    <xf numFmtId="0" fontId="14" fillId="0" borderId="1" xfId="1" applyBorder="1"/>
    <xf numFmtId="0" fontId="14" fillId="0" borderId="1" xfId="1" applyBorder="1" applyAlignment="1">
      <alignment horizontal="center"/>
    </xf>
    <xf numFmtId="164" fontId="14" fillId="0" borderId="1" xfId="1" applyNumberFormat="1" applyBorder="1" applyAlignment="1">
      <alignment horizontal="center"/>
    </xf>
    <xf numFmtId="0" fontId="14" fillId="0" borderId="1" xfId="1" applyBorder="1" applyAlignment="1">
      <alignment wrapText="1"/>
    </xf>
    <xf numFmtId="49" fontId="14" fillId="0" borderId="1" xfId="2" applyNumberFormat="1" applyFont="1" applyFill="1" applyBorder="1" applyAlignment="1" applyProtection="1">
      <alignment horizontal="center"/>
    </xf>
    <xf numFmtId="0" fontId="14" fillId="0" borderId="1" xfId="2" applyFont="1" applyFill="1" applyBorder="1" applyAlignment="1" applyProtection="1">
      <alignment horizontal="center"/>
    </xf>
    <xf numFmtId="42" fontId="14" fillId="0" borderId="1" xfId="1" applyNumberFormat="1" applyBorder="1" applyAlignment="1">
      <alignment horizontal="center"/>
    </xf>
    <xf numFmtId="5" fontId="14" fillId="0" borderId="1" xfId="1" applyNumberFormat="1" applyBorder="1" applyAlignment="1">
      <alignment horizontal="center"/>
    </xf>
    <xf numFmtId="0" fontId="14" fillId="0" borderId="1" xfId="1" applyBorder="1" applyAlignment="1">
      <alignment horizontal="center" wrapText="1"/>
    </xf>
    <xf numFmtId="49" fontId="10" fillId="2" borderId="1" xfId="0" applyNumberFormat="1" applyFont="1" applyFill="1" applyBorder="1"/>
    <xf numFmtId="42" fontId="14" fillId="0" borderId="1" xfId="1" applyNumberFormat="1" applyBorder="1"/>
    <xf numFmtId="0" fontId="14" fillId="3" borderId="1" xfId="1" applyFill="1" applyBorder="1"/>
    <xf numFmtId="49" fontId="10" fillId="2" borderId="1" xfId="0" applyNumberFormat="1" applyFont="1" applyFill="1" applyBorder="1" applyAlignment="1">
      <alignment horizontal="center" wrapText="1"/>
    </xf>
    <xf numFmtId="0" fontId="11" fillId="2" borderId="1" xfId="0" applyFont="1" applyFill="1" applyBorder="1" applyAlignment="1">
      <alignment horizontal="center" wrapText="1"/>
    </xf>
    <xf numFmtId="0" fontId="16" fillId="2" borderId="0" xfId="0" applyFont="1" applyFill="1"/>
    <xf numFmtId="1" fontId="14" fillId="0" borderId="1" xfId="1" applyNumberFormat="1" applyBorder="1" applyAlignment="1">
      <alignment horizontal="center" wrapText="1"/>
    </xf>
    <xf numFmtId="1" fontId="14" fillId="0" borderId="1" xfId="1" applyNumberForma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0" fontId="14" fillId="0" borderId="0" xfId="1"/>
    <xf numFmtId="14" fontId="0" fillId="0" borderId="0" xfId="0" applyNumberFormat="1" applyAlignment="1">
      <alignment vertical="top"/>
    </xf>
    <xf numFmtId="0" fontId="0" fillId="0" borderId="1" xfId="0" applyBorder="1" applyAlignment="1">
      <alignment horizontal="center" vertical="center"/>
    </xf>
    <xf numFmtId="0" fontId="21" fillId="2" borderId="1" xfId="0" applyFont="1" applyFill="1" applyBorder="1" applyAlignment="1">
      <alignment horizontal="center" vertical="center"/>
    </xf>
    <xf numFmtId="49" fontId="14" fillId="4" borderId="1" xfId="1" applyNumberFormat="1" applyFill="1" applyBorder="1" applyAlignment="1">
      <alignment horizontal="left"/>
    </xf>
    <xf numFmtId="0" fontId="0" fillId="4" borderId="1" xfId="0" applyFill="1" applyBorder="1" applyAlignment="1">
      <alignment horizontal="left"/>
    </xf>
    <xf numFmtId="0" fontId="14" fillId="6" borderId="1" xfId="1" applyFill="1" applyBorder="1"/>
    <xf numFmtId="0" fontId="0" fillId="6" borderId="1" xfId="0" applyFill="1" applyBorder="1"/>
    <xf numFmtId="0" fontId="14" fillId="4" borderId="1" xfId="1" applyFill="1" applyBorder="1" applyAlignment="1">
      <alignment horizontal="left"/>
    </xf>
    <xf numFmtId="0" fontId="14" fillId="6" borderId="1" xfId="1" applyFill="1" applyBorder="1" applyAlignment="1">
      <alignment horizontal="left"/>
    </xf>
    <xf numFmtId="0" fontId="16" fillId="2" borderId="1" xfId="0" applyFont="1" applyFill="1" applyBorder="1"/>
    <xf numFmtId="0" fontId="16" fillId="2" borderId="1" xfId="0" applyFont="1" applyFill="1" applyBorder="1" applyAlignment="1">
      <alignment horizontal="center"/>
    </xf>
    <xf numFmtId="165" fontId="14" fillId="0" borderId="1" xfId="1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165" fontId="22" fillId="0" borderId="1" xfId="0" applyNumberFormat="1" applyFont="1" applyBorder="1" applyAlignment="1">
      <alignment horizontal="center"/>
    </xf>
    <xf numFmtId="0" fontId="11" fillId="2" borderId="0" xfId="0" applyFont="1" applyFill="1" applyAlignment="1">
      <alignment horizontal="left" wrapText="1"/>
    </xf>
    <xf numFmtId="0" fontId="0" fillId="2" borderId="0" xfId="0" applyFill="1" applyAlignment="1">
      <alignment horizontal="left"/>
    </xf>
    <xf numFmtId="49" fontId="13" fillId="0" borderId="0" xfId="0" applyNumberFormat="1" applyFont="1"/>
    <xf numFmtId="0" fontId="13" fillId="0" borderId="0" xfId="0" applyFont="1"/>
    <xf numFmtId="49" fontId="14" fillId="0" borderId="0" xfId="0" applyNumberFormat="1" applyFont="1"/>
    <xf numFmtId="0" fontId="14" fillId="0" borderId="0" xfId="0" applyFont="1" applyAlignment="1">
      <alignment wrapText="1"/>
    </xf>
    <xf numFmtId="1" fontId="0" fillId="0" borderId="0" xfId="0" applyNumberFormat="1" applyAlignment="1">
      <alignment horizontal="center"/>
    </xf>
    <xf numFmtId="1" fontId="23" fillId="0" borderId="1" xfId="0" applyNumberFormat="1" applyFont="1" applyBorder="1" applyAlignment="1">
      <alignment horizontal="center"/>
    </xf>
    <xf numFmtId="0" fontId="9" fillId="4" borderId="1" xfId="0" applyFont="1" applyFill="1" applyBorder="1" applyAlignment="1">
      <alignment horizontal="left"/>
    </xf>
    <xf numFmtId="49" fontId="24" fillId="0" borderId="1" xfId="3" applyNumberFormat="1" applyBorder="1" applyAlignment="1"/>
    <xf numFmtId="0" fontId="24" fillId="0" borderId="1" xfId="3" applyBorder="1" applyAlignment="1"/>
    <xf numFmtId="0" fontId="0" fillId="0" borderId="1" xfId="0" applyBorder="1" applyAlignment="1">
      <alignment wrapText="1"/>
    </xf>
    <xf numFmtId="0" fontId="24" fillId="0" borderId="1" xfId="3" applyBorder="1"/>
    <xf numFmtId="49" fontId="24" fillId="0" borderId="1" xfId="3" applyNumberFormat="1" applyBorder="1"/>
    <xf numFmtId="49" fontId="24" fillId="0" borderId="1" xfId="3" applyNumberFormat="1" applyFill="1" applyBorder="1"/>
    <xf numFmtId="49" fontId="24" fillId="0" borderId="1" xfId="3" applyNumberFormat="1" applyFill="1" applyBorder="1" applyAlignment="1"/>
    <xf numFmtId="0" fontId="8" fillId="4" borderId="1" xfId="0" applyFont="1" applyFill="1" applyBorder="1" applyAlignment="1">
      <alignment horizontal="left"/>
    </xf>
    <xf numFmtId="0" fontId="7" fillId="4" borderId="1" xfId="0" applyFont="1" applyFill="1" applyBorder="1" applyAlignment="1">
      <alignment horizontal="left"/>
    </xf>
    <xf numFmtId="0" fontId="6" fillId="4" borderId="1" xfId="0" applyFont="1" applyFill="1" applyBorder="1" applyAlignment="1">
      <alignment horizontal="left"/>
    </xf>
    <xf numFmtId="0" fontId="5" fillId="4" borderId="1" xfId="0" applyFont="1" applyFill="1" applyBorder="1" applyAlignment="1">
      <alignment horizontal="left"/>
    </xf>
    <xf numFmtId="0" fontId="25" fillId="0" borderId="0" xfId="0" applyFont="1"/>
    <xf numFmtId="0" fontId="0" fillId="4" borderId="1" xfId="0" applyFill="1" applyBorder="1"/>
    <xf numFmtId="49" fontId="14" fillId="4" borderId="1" xfId="1" applyNumberFormat="1" applyFill="1" applyBorder="1"/>
    <xf numFmtId="0" fontId="4" fillId="4" borderId="1" xfId="0" applyFont="1" applyFill="1" applyBorder="1" applyAlignment="1">
      <alignment horizontal="left"/>
    </xf>
    <xf numFmtId="0" fontId="14" fillId="7" borderId="1" xfId="1" applyFill="1" applyBorder="1" applyAlignment="1">
      <alignment horizontal="center"/>
    </xf>
    <xf numFmtId="42" fontId="11" fillId="2" borderId="1" xfId="0" applyNumberFormat="1" applyFont="1" applyFill="1" applyBorder="1" applyAlignment="1">
      <alignment horizontal="left" wrapText="1"/>
    </xf>
    <xf numFmtId="5" fontId="11" fillId="2" borderId="1" xfId="0" applyNumberFormat="1" applyFont="1" applyFill="1" applyBorder="1" applyAlignment="1">
      <alignment horizontal="center" wrapText="1"/>
    </xf>
    <xf numFmtId="0" fontId="27" fillId="7" borderId="1" xfId="0" applyFont="1" applyFill="1" applyBorder="1"/>
    <xf numFmtId="0" fontId="27" fillId="0" borderId="1" xfId="0" applyFont="1" applyBorder="1"/>
    <xf numFmtId="49" fontId="27" fillId="7" borderId="1" xfId="0" applyNumberFormat="1" applyFont="1" applyFill="1" applyBorder="1"/>
    <xf numFmtId="0" fontId="27" fillId="7" borderId="1" xfId="0" applyFont="1" applyFill="1" applyBorder="1" applyAlignment="1">
      <alignment horizontal="center"/>
    </xf>
    <xf numFmtId="0" fontId="27" fillId="0" borderId="1" xfId="0" applyFont="1" applyBorder="1" applyAlignment="1">
      <alignment horizontal="center"/>
    </xf>
    <xf numFmtId="0" fontId="27" fillId="0" borderId="1" xfId="0" applyFont="1" applyBorder="1" applyAlignment="1">
      <alignment horizontal="left"/>
    </xf>
    <xf numFmtId="0" fontId="3" fillId="4" borderId="1" xfId="0" applyFont="1" applyFill="1" applyBorder="1" applyAlignment="1">
      <alignment horizontal="left"/>
    </xf>
    <xf numFmtId="0" fontId="11" fillId="2" borderId="1" xfId="0" applyFont="1" applyFill="1" applyBorder="1" applyAlignment="1">
      <alignment horizontal="left" vertical="center" wrapText="1"/>
    </xf>
    <xf numFmtId="0" fontId="10" fillId="2" borderId="1" xfId="1" applyFont="1" applyFill="1" applyBorder="1" applyAlignment="1">
      <alignment horizontal="center"/>
    </xf>
    <xf numFmtId="49" fontId="10" fillId="2" borderId="1" xfId="1" applyNumberFormat="1" applyFont="1" applyFill="1" applyBorder="1" applyAlignment="1">
      <alignment horizontal="center"/>
    </xf>
    <xf numFmtId="0" fontId="11" fillId="2" borderId="1" xfId="1" applyFont="1" applyFill="1" applyBorder="1" applyAlignment="1">
      <alignment horizontal="center"/>
    </xf>
    <xf numFmtId="0" fontId="11" fillId="2" borderId="1" xfId="1" applyFont="1" applyFill="1" applyBorder="1" applyAlignment="1">
      <alignment horizontal="center" wrapText="1"/>
    </xf>
    <xf numFmtId="0" fontId="29" fillId="0" borderId="0" xfId="0" applyFont="1" applyAlignment="1">
      <alignment vertical="center"/>
    </xf>
    <xf numFmtId="0" fontId="0" fillId="7" borderId="1" xfId="0" applyFill="1" applyBorder="1" applyAlignment="1">
      <alignment horizontal="center"/>
    </xf>
    <xf numFmtId="0" fontId="2" fillId="4" borderId="1" xfId="0" applyFont="1" applyFill="1" applyBorder="1" applyAlignment="1">
      <alignment horizontal="left"/>
    </xf>
    <xf numFmtId="0" fontId="30" fillId="0" borderId="0" xfId="0" applyFont="1" applyAlignment="1">
      <alignment horizontal="left"/>
    </xf>
    <xf numFmtId="0" fontId="30" fillId="0" borderId="0" xfId="0" applyFont="1" applyAlignment="1">
      <alignment horizontal="right"/>
    </xf>
    <xf numFmtId="49" fontId="27" fillId="0" borderId="1" xfId="0" applyNumberFormat="1" applyFont="1" applyBorder="1"/>
    <xf numFmtId="0" fontId="27" fillId="7" borderId="3" xfId="0" applyFont="1" applyFill="1" applyBorder="1" applyAlignment="1">
      <alignment horizontal="center"/>
    </xf>
    <xf numFmtId="0" fontId="27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1" fillId="4" borderId="1" xfId="0" applyFont="1" applyFill="1" applyBorder="1" applyAlignment="1">
      <alignment horizontal="left"/>
    </xf>
    <xf numFmtId="0" fontId="32" fillId="2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28" fillId="2" borderId="1" xfId="0" applyFont="1" applyFill="1" applyBorder="1" applyAlignment="1">
      <alignment horizontal="center" vertical="center"/>
    </xf>
    <xf numFmtId="0" fontId="28" fillId="2" borderId="3" xfId="0" applyFont="1" applyFill="1" applyBorder="1" applyAlignment="1">
      <alignment horizontal="center" vertical="center"/>
    </xf>
    <xf numFmtId="49" fontId="28" fillId="2" borderId="1" xfId="0" applyNumberFormat="1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 wrapText="1"/>
    </xf>
    <xf numFmtId="0" fontId="14" fillId="0" borderId="1" xfId="0" applyFont="1" applyBorder="1" applyAlignment="1">
      <alignment horizontal="center"/>
    </xf>
    <xf numFmtId="14" fontId="1" fillId="0" borderId="1" xfId="0" applyNumberFormat="1" applyFont="1" applyBorder="1" applyAlignment="1">
      <alignment horizontal="center"/>
    </xf>
    <xf numFmtId="0" fontId="14" fillId="5" borderId="1" xfId="1" applyFill="1" applyBorder="1" applyAlignment="1">
      <alignment horizontal="center"/>
    </xf>
    <xf numFmtId="49" fontId="24" fillId="0" borderId="0" xfId="3" applyNumberFormat="1" applyBorder="1" applyAlignment="1"/>
    <xf numFmtId="49" fontId="11" fillId="2" borderId="1" xfId="0" applyNumberFormat="1" applyFont="1" applyFill="1" applyBorder="1" applyAlignment="1">
      <alignment horizontal="center" vertical="center" wrapText="1"/>
    </xf>
    <xf numFmtId="49" fontId="14" fillId="0" borderId="1" xfId="1" applyNumberFormat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8" borderId="1" xfId="0" applyFill="1" applyBorder="1"/>
    <xf numFmtId="0" fontId="0" fillId="8" borderId="1" xfId="0" applyFill="1" applyBorder="1" applyAlignment="1">
      <alignment horizontal="center"/>
    </xf>
    <xf numFmtId="49" fontId="24" fillId="8" borderId="1" xfId="3" applyNumberFormat="1" applyFill="1" applyBorder="1"/>
    <xf numFmtId="0" fontId="0" fillId="7" borderId="1" xfId="0" applyFill="1" applyBorder="1"/>
    <xf numFmtId="0" fontId="24" fillId="7" borderId="1" xfId="3" applyFill="1" applyBorder="1"/>
    <xf numFmtId="0" fontId="27" fillId="8" borderId="1" xfId="0" applyFont="1" applyFill="1" applyBorder="1"/>
    <xf numFmtId="0" fontId="27" fillId="8" borderId="1" xfId="0" applyFont="1" applyFill="1" applyBorder="1" applyAlignment="1">
      <alignment horizontal="center"/>
    </xf>
    <xf numFmtId="0" fontId="27" fillId="8" borderId="3" xfId="0" applyFont="1" applyFill="1" applyBorder="1" applyAlignment="1">
      <alignment horizontal="center"/>
    </xf>
    <xf numFmtId="0" fontId="0" fillId="8" borderId="3" xfId="0" applyFill="1" applyBorder="1" applyAlignment="1">
      <alignment horizontal="center"/>
    </xf>
    <xf numFmtId="49" fontId="24" fillId="7" borderId="1" xfId="3" applyNumberFormat="1" applyFill="1" applyBorder="1"/>
    <xf numFmtId="0" fontId="27" fillId="8" borderId="1" xfId="0" applyFont="1" applyFill="1" applyBorder="1" applyAlignment="1">
      <alignment horizontal="left"/>
    </xf>
    <xf numFmtId="49" fontId="27" fillId="8" borderId="1" xfId="0" applyNumberFormat="1" applyFont="1" applyFill="1" applyBorder="1"/>
    <xf numFmtId="0" fontId="0" fillId="0" borderId="0" xfId="0" applyAlignment="1">
      <alignment horizontal="center" vertical="center"/>
    </xf>
    <xf numFmtId="49" fontId="24" fillId="0" borderId="1" xfId="3" applyNumberFormat="1" applyFill="1" applyBorder="1" applyAlignment="1">
      <alignment wrapText="1"/>
    </xf>
    <xf numFmtId="0" fontId="0" fillId="8" borderId="0" xfId="0" applyFill="1"/>
    <xf numFmtId="0" fontId="0" fillId="7" borderId="0" xfId="0" applyFill="1"/>
    <xf numFmtId="0" fontId="28" fillId="2" borderId="1" xfId="0" applyFont="1" applyFill="1" applyBorder="1" applyAlignment="1">
      <alignment horizontal="center" vertical="center" wrapText="1"/>
    </xf>
    <xf numFmtId="0" fontId="35" fillId="2" borderId="1" xfId="0" applyFont="1" applyFill="1" applyBorder="1" applyAlignment="1">
      <alignment horizontal="center" vertical="center" wrapText="1"/>
    </xf>
    <xf numFmtId="0" fontId="27" fillId="7" borderId="0" xfId="0" applyFont="1" applyFill="1" applyAlignment="1">
      <alignment horizontal="center"/>
    </xf>
    <xf numFmtId="1" fontId="11" fillId="9" borderId="1" xfId="0" applyNumberFormat="1" applyFont="1" applyFill="1" applyBorder="1" applyAlignment="1">
      <alignment horizontal="center" wrapText="1"/>
    </xf>
    <xf numFmtId="0" fontId="11" fillId="9" borderId="1" xfId="0" applyFont="1" applyFill="1" applyBorder="1" applyAlignment="1">
      <alignment horizontal="left" wrapText="1"/>
    </xf>
  </cellXfs>
  <cellStyles count="4">
    <cellStyle name="Hyperlink" xfId="3" builtinId="8"/>
    <cellStyle name="Hyperlink 2" xfId="2" xr:uid="{00000000-0005-0000-0000-000001000000}"/>
    <cellStyle name="Normal" xfId="0" builtinId="0"/>
    <cellStyle name="Normal 2" xfId="1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272</xdr:row>
          <xdr:rowOff>9525</xdr:rowOff>
        </xdr:from>
        <xdr:to>
          <xdr:col>0</xdr:col>
          <xdr:colOff>1352550</xdr:colOff>
          <xdr:row>275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952500</xdr:colOff>
          <xdr:row>6</xdr:row>
          <xdr:rowOff>9525</xdr:rowOff>
        </xdr:from>
        <xdr:to>
          <xdr:col>15</xdr:col>
          <xdr:colOff>571500</xdr:colOff>
          <xdr:row>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0</xdr:row>
          <xdr:rowOff>19050</xdr:rowOff>
        </xdr:from>
        <xdr:to>
          <xdr:col>4</xdr:col>
          <xdr:colOff>0</xdr:colOff>
          <xdr:row>3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9525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7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mailto:joanna.kesner@gmail.com" TargetMode="External"/><Relationship Id="rId21" Type="http://schemas.openxmlformats.org/officeDocument/2006/relationships/hyperlink" Target="mailto:sundar.pueblo1@gmail.com" TargetMode="External"/><Relationship Id="rId42" Type="http://schemas.openxmlformats.org/officeDocument/2006/relationships/hyperlink" Target="mailto:mrudukul@yahoo.com" TargetMode="External"/><Relationship Id="rId63" Type="http://schemas.openxmlformats.org/officeDocument/2006/relationships/hyperlink" Target="mailto:sarathomas727@gmail.com" TargetMode="External"/><Relationship Id="rId84" Type="http://schemas.openxmlformats.org/officeDocument/2006/relationships/hyperlink" Target="mailto:nicole.turull@gmail.com" TargetMode="External"/><Relationship Id="rId138" Type="http://schemas.openxmlformats.org/officeDocument/2006/relationships/printerSettings" Target="../printerSettings/printerSettings1.bin"/><Relationship Id="rId107" Type="http://schemas.openxmlformats.org/officeDocument/2006/relationships/hyperlink" Target="mailto:polkadotkara@gmail.com" TargetMode="External"/><Relationship Id="rId11" Type="http://schemas.openxmlformats.org/officeDocument/2006/relationships/hyperlink" Target="mailto:micahael.schutt2@gmail.com" TargetMode="External"/><Relationship Id="rId32" Type="http://schemas.openxmlformats.org/officeDocument/2006/relationships/hyperlink" Target="mailto:cwhitaker01@hotmail.com" TargetMode="External"/><Relationship Id="rId37" Type="http://schemas.openxmlformats.org/officeDocument/2006/relationships/hyperlink" Target="mailto:mleonard2079@gmail.com" TargetMode="External"/><Relationship Id="rId53" Type="http://schemas.openxmlformats.org/officeDocument/2006/relationships/hyperlink" Target="mailto:nicoleelizabeth.barker@gmail.com" TargetMode="External"/><Relationship Id="rId58" Type="http://schemas.openxmlformats.org/officeDocument/2006/relationships/hyperlink" Target="mailto:jzwiers@sthenryparish.com" TargetMode="External"/><Relationship Id="rId74" Type="http://schemas.openxmlformats.org/officeDocument/2006/relationships/hyperlink" Target="mailto:tonyafshr@gmail.com" TargetMode="External"/><Relationship Id="rId79" Type="http://schemas.openxmlformats.org/officeDocument/2006/relationships/hyperlink" Target="mailto:alenniadavis@gmail.com" TargetMode="External"/><Relationship Id="rId102" Type="http://schemas.openxmlformats.org/officeDocument/2006/relationships/hyperlink" Target="mailto:jinhwan.jo@gmail.com" TargetMode="External"/><Relationship Id="rId123" Type="http://schemas.openxmlformats.org/officeDocument/2006/relationships/hyperlink" Target="mailto:dgayle1@hotmail.com" TargetMode="External"/><Relationship Id="rId128" Type="http://schemas.openxmlformats.org/officeDocument/2006/relationships/hyperlink" Target="mailto:nathan.richardson1901@gmail.com" TargetMode="External"/><Relationship Id="rId5" Type="http://schemas.openxmlformats.org/officeDocument/2006/relationships/hyperlink" Target="mailto:lisa.c.malott.@gmail.com" TargetMode="External"/><Relationship Id="rId90" Type="http://schemas.openxmlformats.org/officeDocument/2006/relationships/hyperlink" Target="mailto:karron.yoakkum99@gmail.com" TargetMode="External"/><Relationship Id="rId95" Type="http://schemas.openxmlformats.org/officeDocument/2006/relationships/hyperlink" Target="mailto:cassiehoptry@yahoo.com" TargetMode="External"/><Relationship Id="rId22" Type="http://schemas.openxmlformats.org/officeDocument/2006/relationships/hyperlink" Target="mailto:cornell_katherine@yahoo.com" TargetMode="External"/><Relationship Id="rId27" Type="http://schemas.openxmlformats.org/officeDocument/2006/relationships/hyperlink" Target="mailto:ennekingsl@gmail.com" TargetMode="External"/><Relationship Id="rId43" Type="http://schemas.openxmlformats.org/officeDocument/2006/relationships/hyperlink" Target="mailto:gabrielle_welch@yahoo.com" TargetMode="External"/><Relationship Id="rId48" Type="http://schemas.openxmlformats.org/officeDocument/2006/relationships/hyperlink" Target="mailto:stephwyers@yahoo.com" TargetMode="External"/><Relationship Id="rId64" Type="http://schemas.openxmlformats.org/officeDocument/2006/relationships/hyperlink" Target="mailto:rachelabshear@gmail.com" TargetMode="External"/><Relationship Id="rId69" Type="http://schemas.openxmlformats.org/officeDocument/2006/relationships/hyperlink" Target="mailto:urbangardeners1@aol.com" TargetMode="External"/><Relationship Id="rId113" Type="http://schemas.openxmlformats.org/officeDocument/2006/relationships/hyperlink" Target="mailto:hschreck05@gmail.com" TargetMode="External"/><Relationship Id="rId118" Type="http://schemas.openxmlformats.org/officeDocument/2006/relationships/hyperlink" Target="mailto:kmchess06@gmail.com" TargetMode="External"/><Relationship Id="rId134" Type="http://schemas.openxmlformats.org/officeDocument/2006/relationships/hyperlink" Target="mailto:joseph.vorsteg90@gmail.com" TargetMode="External"/><Relationship Id="rId139" Type="http://schemas.openxmlformats.org/officeDocument/2006/relationships/drawing" Target="../drawings/drawing1.xml"/><Relationship Id="rId80" Type="http://schemas.openxmlformats.org/officeDocument/2006/relationships/hyperlink" Target="mailto:amandalane1754@gmail.com" TargetMode="External"/><Relationship Id="rId85" Type="http://schemas.openxmlformats.org/officeDocument/2006/relationships/hyperlink" Target="mailto:nbourbakis@gmail.com" TargetMode="External"/><Relationship Id="rId12" Type="http://schemas.openxmlformats.org/officeDocument/2006/relationships/hyperlink" Target="mailto:hurd.mildred@gmail.com" TargetMode="External"/><Relationship Id="rId17" Type="http://schemas.openxmlformats.org/officeDocument/2006/relationships/hyperlink" Target="mailto:megrn08@yahoo.com" TargetMode="External"/><Relationship Id="rId33" Type="http://schemas.openxmlformats.org/officeDocument/2006/relationships/hyperlink" Target="mailto:abesserman222@gmail.com" TargetMode="External"/><Relationship Id="rId38" Type="http://schemas.openxmlformats.org/officeDocument/2006/relationships/hyperlink" Target="mailto:honeill@cshco.com" TargetMode="External"/><Relationship Id="rId59" Type="http://schemas.openxmlformats.org/officeDocument/2006/relationships/hyperlink" Target="mailto:turnerjsa@gmail.com" TargetMode="External"/><Relationship Id="rId103" Type="http://schemas.openxmlformats.org/officeDocument/2006/relationships/hyperlink" Target="mailto:aimska308@yahoo.com" TargetMode="External"/><Relationship Id="rId108" Type="http://schemas.openxmlformats.org/officeDocument/2006/relationships/hyperlink" Target="mailto:cassiegault@yahoo.com" TargetMode="External"/><Relationship Id="rId124" Type="http://schemas.openxmlformats.org/officeDocument/2006/relationships/hyperlink" Target="mailto:emervdan@gmail.com" TargetMode="External"/><Relationship Id="rId129" Type="http://schemas.openxmlformats.org/officeDocument/2006/relationships/hyperlink" Target="mailto:nancyleonard100@gmail.com" TargetMode="External"/><Relationship Id="rId54" Type="http://schemas.openxmlformats.org/officeDocument/2006/relationships/hyperlink" Target="mailto:michaelryan.life@gmail.com" TargetMode="External"/><Relationship Id="rId70" Type="http://schemas.openxmlformats.org/officeDocument/2006/relationships/hyperlink" Target="mailto:samantha.stingley@gmail.com" TargetMode="External"/><Relationship Id="rId75" Type="http://schemas.openxmlformats.org/officeDocument/2006/relationships/hyperlink" Target="mailto:branbran.bf22@gmail.com" TargetMode="External"/><Relationship Id="rId91" Type="http://schemas.openxmlformats.org/officeDocument/2006/relationships/hyperlink" Target="mailto:tessaiena@aol.com" TargetMode="External"/><Relationship Id="rId96" Type="http://schemas.openxmlformats.org/officeDocument/2006/relationships/hyperlink" Target="mailto:rhevelane@yahoo.com" TargetMode="External"/><Relationship Id="rId140" Type="http://schemas.openxmlformats.org/officeDocument/2006/relationships/vmlDrawing" Target="../drawings/vmlDrawing1.vml"/><Relationship Id="rId1" Type="http://schemas.openxmlformats.org/officeDocument/2006/relationships/hyperlink" Target="mailto:sheena.smith@ketteringhealth.org" TargetMode="External"/><Relationship Id="rId6" Type="http://schemas.openxmlformats.org/officeDocument/2006/relationships/hyperlink" Target="mailto:retiredos1@gmail.com" TargetMode="External"/><Relationship Id="rId23" Type="http://schemas.openxmlformats.org/officeDocument/2006/relationships/hyperlink" Target="mailto:gretchen.jansen@centerville.k12.0h.us" TargetMode="External"/><Relationship Id="rId28" Type="http://schemas.openxmlformats.org/officeDocument/2006/relationships/hyperlink" Target="mailto:emilyminch@hotmail.com" TargetMode="External"/><Relationship Id="rId49" Type="http://schemas.openxmlformats.org/officeDocument/2006/relationships/hyperlink" Target="mailto:dwayne235blankenship@gmail.com" TargetMode="External"/><Relationship Id="rId114" Type="http://schemas.openxmlformats.org/officeDocument/2006/relationships/hyperlink" Target="mailto:apowell6282@gmail.com" TargetMode="External"/><Relationship Id="rId119" Type="http://schemas.openxmlformats.org/officeDocument/2006/relationships/hyperlink" Target="mailto:abauchmoyer@gmail.com" TargetMode="External"/><Relationship Id="rId44" Type="http://schemas.openxmlformats.org/officeDocument/2006/relationships/hyperlink" Target="mailto:denise.ann.omeara@gmail.com" TargetMode="External"/><Relationship Id="rId60" Type="http://schemas.openxmlformats.org/officeDocument/2006/relationships/hyperlink" Target="mailto:kcraig6650@gmail.com" TargetMode="External"/><Relationship Id="rId65" Type="http://schemas.openxmlformats.org/officeDocument/2006/relationships/hyperlink" Target="mailto:mogollonollogom@hotmail.com" TargetMode="External"/><Relationship Id="rId81" Type="http://schemas.openxmlformats.org/officeDocument/2006/relationships/hyperlink" Target="mailto:foxmuchacha@hotmail.com" TargetMode="External"/><Relationship Id="rId86" Type="http://schemas.openxmlformats.org/officeDocument/2006/relationships/hyperlink" Target="mailto:christyfacebook420420@gmail.com" TargetMode="External"/><Relationship Id="rId130" Type="http://schemas.openxmlformats.org/officeDocument/2006/relationships/hyperlink" Target="mailto:michellehoefler29@gmail.com" TargetMode="External"/><Relationship Id="rId135" Type="http://schemas.openxmlformats.org/officeDocument/2006/relationships/hyperlink" Target="mailto:lauren.nicole0522@gmail.com" TargetMode="External"/><Relationship Id="rId13" Type="http://schemas.openxmlformats.org/officeDocument/2006/relationships/hyperlink" Target="mailto:spehar.mike@gmail.com" TargetMode="External"/><Relationship Id="rId18" Type="http://schemas.openxmlformats.org/officeDocument/2006/relationships/hyperlink" Target="mailto:lkunka160@gmail.com" TargetMode="External"/><Relationship Id="rId39" Type="http://schemas.openxmlformats.org/officeDocument/2006/relationships/hyperlink" Target="mailto:missjslone@gmail.com" TargetMode="External"/><Relationship Id="rId109" Type="http://schemas.openxmlformats.org/officeDocument/2006/relationships/hyperlink" Target="mailto:timwilson41@gmail.com" TargetMode="External"/><Relationship Id="rId34" Type="http://schemas.openxmlformats.org/officeDocument/2006/relationships/hyperlink" Target="mailto:jenbobcat@gmail.com" TargetMode="External"/><Relationship Id="rId50" Type="http://schemas.openxmlformats.org/officeDocument/2006/relationships/hyperlink" Target="mailto:dwayne235blankenship@gmail.com" TargetMode="External"/><Relationship Id="rId55" Type="http://schemas.openxmlformats.org/officeDocument/2006/relationships/hyperlink" Target="mailto:emilyseguin1@gmail.com" TargetMode="External"/><Relationship Id="rId76" Type="http://schemas.openxmlformats.org/officeDocument/2006/relationships/hyperlink" Target="mailto:kncoe28@gmail.com" TargetMode="External"/><Relationship Id="rId97" Type="http://schemas.openxmlformats.org/officeDocument/2006/relationships/hyperlink" Target="mailto:rhevelane@yahoo.com" TargetMode="External"/><Relationship Id="rId104" Type="http://schemas.openxmlformats.org/officeDocument/2006/relationships/hyperlink" Target="mailto:jcslush@yahoo.com" TargetMode="External"/><Relationship Id="rId120" Type="http://schemas.openxmlformats.org/officeDocument/2006/relationships/hyperlink" Target="mailto:apparentlyimahippie2@gmail.com" TargetMode="External"/><Relationship Id="rId125" Type="http://schemas.openxmlformats.org/officeDocument/2006/relationships/hyperlink" Target="mailto:jennifer_gogel@yahoo.com" TargetMode="External"/><Relationship Id="rId141" Type="http://schemas.openxmlformats.org/officeDocument/2006/relationships/ctrlProp" Target="../ctrlProps/ctrlProp1.xml"/><Relationship Id="rId7" Type="http://schemas.openxmlformats.org/officeDocument/2006/relationships/hyperlink" Target="mailto:aarichison23@aol.com" TargetMode="External"/><Relationship Id="rId71" Type="http://schemas.openxmlformats.org/officeDocument/2006/relationships/hyperlink" Target="mailto:inesmauerberg@yahoo.com" TargetMode="External"/><Relationship Id="rId92" Type="http://schemas.openxmlformats.org/officeDocument/2006/relationships/hyperlink" Target="mailto:reneembolton@gmail.com" TargetMode="External"/><Relationship Id="rId2" Type="http://schemas.openxmlformats.org/officeDocument/2006/relationships/hyperlink" Target="mailto:asmith@klostermanbakery.com" TargetMode="External"/><Relationship Id="rId29" Type="http://schemas.openxmlformats.org/officeDocument/2006/relationships/hyperlink" Target="mailto:timandjanet2015@gmail.com" TargetMode="External"/><Relationship Id="rId24" Type="http://schemas.openxmlformats.org/officeDocument/2006/relationships/hyperlink" Target="mailto:carolyn_oaks@msn.com" TargetMode="External"/><Relationship Id="rId40" Type="http://schemas.openxmlformats.org/officeDocument/2006/relationships/hyperlink" Target="mailto:davidandlora1179@aol.com" TargetMode="External"/><Relationship Id="rId45" Type="http://schemas.openxmlformats.org/officeDocument/2006/relationships/hyperlink" Target="mailto:tobysemail@yahoo.com" TargetMode="External"/><Relationship Id="rId66" Type="http://schemas.openxmlformats.org/officeDocument/2006/relationships/hyperlink" Target="mailto:cmrusell44@gmail.com" TargetMode="External"/><Relationship Id="rId87" Type="http://schemas.openxmlformats.org/officeDocument/2006/relationships/hyperlink" Target="mailto:kdnessler@gmail.com" TargetMode="External"/><Relationship Id="rId110" Type="http://schemas.openxmlformats.org/officeDocument/2006/relationships/hyperlink" Target="mailto:on_focus@yahoo.com" TargetMode="External"/><Relationship Id="rId115" Type="http://schemas.openxmlformats.org/officeDocument/2006/relationships/hyperlink" Target="mailto:allison.l.kinney@gmail.com" TargetMode="External"/><Relationship Id="rId131" Type="http://schemas.openxmlformats.org/officeDocument/2006/relationships/hyperlink" Target="mailto:jennidonn@yahoo.com" TargetMode="External"/><Relationship Id="rId136" Type="http://schemas.openxmlformats.org/officeDocument/2006/relationships/hyperlink" Target="mailto:michellehoefler29@gmail.com" TargetMode="External"/><Relationship Id="rId61" Type="http://schemas.openxmlformats.org/officeDocument/2006/relationships/hyperlink" Target="mailto:disfrk23@gmail.com" TargetMode="External"/><Relationship Id="rId82" Type="http://schemas.openxmlformats.org/officeDocument/2006/relationships/hyperlink" Target="mailto:angela.mikesell@gmail.com" TargetMode="External"/><Relationship Id="rId19" Type="http://schemas.openxmlformats.org/officeDocument/2006/relationships/hyperlink" Target="mailto:steffeem@hotmail.com" TargetMode="External"/><Relationship Id="rId14" Type="http://schemas.openxmlformats.org/officeDocument/2006/relationships/hyperlink" Target="mailto:jlmothersole@yahoo.com" TargetMode="External"/><Relationship Id="rId30" Type="http://schemas.openxmlformats.org/officeDocument/2006/relationships/hyperlink" Target="mailto:cara.wells@gmail.com" TargetMode="External"/><Relationship Id="rId35" Type="http://schemas.openxmlformats.org/officeDocument/2006/relationships/hyperlink" Target="mailto:angela.shyers@gmail.com" TargetMode="External"/><Relationship Id="rId56" Type="http://schemas.openxmlformats.org/officeDocument/2006/relationships/hyperlink" Target="mailto:susane0412@gmail.com" TargetMode="External"/><Relationship Id="rId77" Type="http://schemas.openxmlformats.org/officeDocument/2006/relationships/hyperlink" Target="mailto:ah355305@ohio.edu" TargetMode="External"/><Relationship Id="rId100" Type="http://schemas.openxmlformats.org/officeDocument/2006/relationships/hyperlink" Target="mailto:rachelabshear@gmail.com" TargetMode="External"/><Relationship Id="rId105" Type="http://schemas.openxmlformats.org/officeDocument/2006/relationships/hyperlink" Target="mailto:lwebb526@yahoo.com" TargetMode="External"/><Relationship Id="rId126" Type="http://schemas.openxmlformats.org/officeDocument/2006/relationships/hyperlink" Target="mailto:smdrewry@yahoo.com" TargetMode="External"/><Relationship Id="rId8" Type="http://schemas.openxmlformats.org/officeDocument/2006/relationships/hyperlink" Target="mailto:sharysmith1@gmail.com" TargetMode="External"/><Relationship Id="rId51" Type="http://schemas.openxmlformats.org/officeDocument/2006/relationships/hyperlink" Target="mailto:heather.neff1003@gmail.com" TargetMode="External"/><Relationship Id="rId72" Type="http://schemas.openxmlformats.org/officeDocument/2006/relationships/hyperlink" Target="mailto:solve_vend.09@icloud.com" TargetMode="External"/><Relationship Id="rId93" Type="http://schemas.openxmlformats.org/officeDocument/2006/relationships/hyperlink" Target="mailto:sheanabooker91@gmail.com" TargetMode="External"/><Relationship Id="rId98" Type="http://schemas.openxmlformats.org/officeDocument/2006/relationships/hyperlink" Target="mailto:aleffew0825@gmail.com" TargetMode="External"/><Relationship Id="rId121" Type="http://schemas.openxmlformats.org/officeDocument/2006/relationships/hyperlink" Target="mailto:bsavage1@mail.com" TargetMode="External"/><Relationship Id="rId142" Type="http://schemas.openxmlformats.org/officeDocument/2006/relationships/comments" Target="../comments1.xml"/><Relationship Id="rId3" Type="http://schemas.openxmlformats.org/officeDocument/2006/relationships/hyperlink" Target="mailto:jacquelynsdavis@gmail.com" TargetMode="External"/><Relationship Id="rId25" Type="http://schemas.openxmlformats.org/officeDocument/2006/relationships/hyperlink" Target="mailto:angelsmama2400@hotmail.com" TargetMode="External"/><Relationship Id="rId46" Type="http://schemas.openxmlformats.org/officeDocument/2006/relationships/hyperlink" Target="mailto:howardwebb101@icloud.com" TargetMode="External"/><Relationship Id="rId67" Type="http://schemas.openxmlformats.org/officeDocument/2006/relationships/hyperlink" Target="mailto:tarahayes8810@gmail.com" TargetMode="External"/><Relationship Id="rId116" Type="http://schemas.openxmlformats.org/officeDocument/2006/relationships/hyperlink" Target="mailto:jobson28@gmail.com" TargetMode="External"/><Relationship Id="rId137" Type="http://schemas.openxmlformats.org/officeDocument/2006/relationships/hyperlink" Target="mailto:sauer67carol@gmail.com" TargetMode="External"/><Relationship Id="rId20" Type="http://schemas.openxmlformats.org/officeDocument/2006/relationships/hyperlink" Target="mailto:firemanturner@hotmail.com" TargetMode="External"/><Relationship Id="rId41" Type="http://schemas.openxmlformats.org/officeDocument/2006/relationships/hyperlink" Target="mailto:hmua19cnp@relay.firefox.com" TargetMode="External"/><Relationship Id="rId62" Type="http://schemas.openxmlformats.org/officeDocument/2006/relationships/hyperlink" Target="mailto:holtzy33@att.net" TargetMode="External"/><Relationship Id="rId83" Type="http://schemas.openxmlformats.org/officeDocument/2006/relationships/hyperlink" Target="mailto:bjcalfee@hotmail.com" TargetMode="External"/><Relationship Id="rId88" Type="http://schemas.openxmlformats.org/officeDocument/2006/relationships/hyperlink" Target="mailto:tonysayger581@gmail.com" TargetMode="External"/><Relationship Id="rId111" Type="http://schemas.openxmlformats.org/officeDocument/2006/relationships/hyperlink" Target="mailto:kristinrenk@yahoo.com" TargetMode="External"/><Relationship Id="rId132" Type="http://schemas.openxmlformats.org/officeDocument/2006/relationships/hyperlink" Target="mailto:alitomreed72@gmail.com" TargetMode="External"/><Relationship Id="rId15" Type="http://schemas.openxmlformats.org/officeDocument/2006/relationships/hyperlink" Target="mailto:ace3382@aol.com" TargetMode="External"/><Relationship Id="rId36" Type="http://schemas.openxmlformats.org/officeDocument/2006/relationships/hyperlink" Target="mailto:babybluestang06@yahoo.com" TargetMode="External"/><Relationship Id="rId57" Type="http://schemas.openxmlformats.org/officeDocument/2006/relationships/hyperlink" Target="mailto:sueakissick@gmail.com" TargetMode="External"/><Relationship Id="rId106" Type="http://schemas.openxmlformats.org/officeDocument/2006/relationships/hyperlink" Target="mailto:slp812003@yahoo.com" TargetMode="External"/><Relationship Id="rId127" Type="http://schemas.openxmlformats.org/officeDocument/2006/relationships/hyperlink" Target="mailto:ckgmdbraun@aol.com" TargetMode="External"/><Relationship Id="rId10" Type="http://schemas.openxmlformats.org/officeDocument/2006/relationships/hyperlink" Target="mailto:debi.schutt2@gmail.com" TargetMode="External"/><Relationship Id="rId31" Type="http://schemas.openxmlformats.org/officeDocument/2006/relationships/hyperlink" Target="mailto:aebinkley@gmail.com" TargetMode="External"/><Relationship Id="rId52" Type="http://schemas.openxmlformats.org/officeDocument/2006/relationships/hyperlink" Target="mailto:gusonthemove@hotmail.com" TargetMode="External"/><Relationship Id="rId73" Type="http://schemas.openxmlformats.org/officeDocument/2006/relationships/hyperlink" Target="mailto:brwngnson@gmail.com" TargetMode="External"/><Relationship Id="rId78" Type="http://schemas.openxmlformats.org/officeDocument/2006/relationships/hyperlink" Target="mailto:tish.williams@caresource.com" TargetMode="External"/><Relationship Id="rId94" Type="http://schemas.openxmlformats.org/officeDocument/2006/relationships/hyperlink" Target="mailto:kmcloyes@gmail.com" TargetMode="External"/><Relationship Id="rId99" Type="http://schemas.openxmlformats.org/officeDocument/2006/relationships/hyperlink" Target="mailto:emily.sibole@gmail.com" TargetMode="External"/><Relationship Id="rId101" Type="http://schemas.openxmlformats.org/officeDocument/2006/relationships/hyperlink" Target="mailto:blschaefer@rocketmail.com" TargetMode="External"/><Relationship Id="rId122" Type="http://schemas.openxmlformats.org/officeDocument/2006/relationships/hyperlink" Target="mailto:s.r.hall2000@att.net" TargetMode="External"/><Relationship Id="rId4" Type="http://schemas.openxmlformats.org/officeDocument/2006/relationships/hyperlink" Target="mailto:nicholasgdavis@gmail.com" TargetMode="External"/><Relationship Id="rId9" Type="http://schemas.openxmlformats.org/officeDocument/2006/relationships/hyperlink" Target="mailto:aailiashah@hotmail.com" TargetMode="External"/><Relationship Id="rId26" Type="http://schemas.openxmlformats.org/officeDocument/2006/relationships/hyperlink" Target="mailto:galem_99@yahoo.com" TargetMode="External"/><Relationship Id="rId47" Type="http://schemas.openxmlformats.org/officeDocument/2006/relationships/hyperlink" Target="mailto:epoulsen91@gmail.com" TargetMode="External"/><Relationship Id="rId68" Type="http://schemas.openxmlformats.org/officeDocument/2006/relationships/hyperlink" Target="mailto:jenandjeremymoore@gmail.com" TargetMode="External"/><Relationship Id="rId89" Type="http://schemas.openxmlformats.org/officeDocument/2006/relationships/hyperlink" Target="mailto:javon.yoakkum@gmail.com" TargetMode="External"/><Relationship Id="rId112" Type="http://schemas.openxmlformats.org/officeDocument/2006/relationships/hyperlink" Target="mailto:tejalgupte@gmail.com" TargetMode="External"/><Relationship Id="rId133" Type="http://schemas.openxmlformats.org/officeDocument/2006/relationships/hyperlink" Target="mailto:jbagby-lake@hotmail.com" TargetMode="External"/><Relationship Id="rId16" Type="http://schemas.openxmlformats.org/officeDocument/2006/relationships/hyperlink" Target="mailto:hawkerkids@yahoo.com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mailto:rowenarnold@gmail.com" TargetMode="External"/><Relationship Id="rId13" Type="http://schemas.openxmlformats.org/officeDocument/2006/relationships/hyperlink" Target="mailto:decamptaylor333@gmail.com" TargetMode="External"/><Relationship Id="rId18" Type="http://schemas.openxmlformats.org/officeDocument/2006/relationships/ctrlProp" Target="../ctrlProps/ctrlProp2.xml"/><Relationship Id="rId3" Type="http://schemas.openxmlformats.org/officeDocument/2006/relationships/hyperlink" Target="mailto:lakeeley23@gmail.com" TargetMode="External"/><Relationship Id="rId7" Type="http://schemas.openxmlformats.org/officeDocument/2006/relationships/hyperlink" Target="mailto:harry@harrybossey.com" TargetMode="External"/><Relationship Id="rId12" Type="http://schemas.openxmlformats.org/officeDocument/2006/relationships/hyperlink" Target="mailto:david.deweese@rockets.utoledo.edu" TargetMode="External"/><Relationship Id="rId17" Type="http://schemas.openxmlformats.org/officeDocument/2006/relationships/vmlDrawing" Target="../drawings/vmlDrawing2.vml"/><Relationship Id="rId2" Type="http://schemas.openxmlformats.org/officeDocument/2006/relationships/hyperlink" Target="mailto:decamptaylor333@gmail.com" TargetMode="External"/><Relationship Id="rId16" Type="http://schemas.openxmlformats.org/officeDocument/2006/relationships/drawing" Target="../drawings/drawing2.xml"/><Relationship Id="rId1" Type="http://schemas.openxmlformats.org/officeDocument/2006/relationships/hyperlink" Target="mailto:joshua.l.rose@gmail.com" TargetMode="External"/><Relationship Id="rId6" Type="http://schemas.openxmlformats.org/officeDocument/2006/relationships/hyperlink" Target="mailto:daba@bcuinc.com" TargetMode="External"/><Relationship Id="rId11" Type="http://schemas.openxmlformats.org/officeDocument/2006/relationships/hyperlink" Target="mailto:rose.haus17@gmail.com" TargetMode="External"/><Relationship Id="rId5" Type="http://schemas.openxmlformats.org/officeDocument/2006/relationships/hyperlink" Target="mailto:laurasenkowski@yahoo.com" TargetMode="External"/><Relationship Id="rId15" Type="http://schemas.openxmlformats.org/officeDocument/2006/relationships/printerSettings" Target="../printerSettings/printerSettings2.bin"/><Relationship Id="rId10" Type="http://schemas.openxmlformats.org/officeDocument/2006/relationships/hyperlink" Target="mailto:wbdrewry@yahoo.com" TargetMode="External"/><Relationship Id="rId4" Type="http://schemas.openxmlformats.org/officeDocument/2006/relationships/hyperlink" Target="mailto:scout616@aol.com" TargetMode="External"/><Relationship Id="rId9" Type="http://schemas.openxmlformats.org/officeDocument/2006/relationships/hyperlink" Target="mailto:coltondickerson@gmail.com" TargetMode="External"/><Relationship Id="rId14" Type="http://schemas.openxmlformats.org/officeDocument/2006/relationships/hyperlink" Target="mailto:noradickerson@gmail.co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5" tint="0.39997558519241921"/>
    <pageSetUpPr fitToPage="1"/>
  </sheetPr>
  <dimension ref="A1:AJ275"/>
  <sheetViews>
    <sheetView tabSelected="1" zoomScaleNormal="100" workbookViewId="0">
      <pane xSplit="4" ySplit="1" topLeftCell="E17" activePane="bottomRight" state="frozen"/>
      <selection pane="topRight" activeCell="E1" sqref="E1"/>
      <selection pane="bottomLeft" activeCell="A2" sqref="A2"/>
      <selection pane="bottomRight" activeCell="E9" sqref="E9"/>
    </sheetView>
  </sheetViews>
  <sheetFormatPr defaultColWidth="9.140625" defaultRowHeight="15" x14ac:dyDescent="0.25"/>
  <cols>
    <col min="1" max="1" width="20.42578125" customWidth="1"/>
    <col min="2" max="2" width="17.42578125" customWidth="1"/>
    <col min="3" max="3" width="14.5703125" customWidth="1"/>
    <col min="4" max="4" width="16.5703125" customWidth="1"/>
    <col min="5" max="5" width="23.140625" customWidth="1"/>
    <col min="6" max="6" width="29.5703125" hidden="1" customWidth="1"/>
    <col min="7" max="7" width="16.5703125" hidden="1" customWidth="1"/>
    <col min="8" max="8" width="6.42578125" hidden="1" customWidth="1"/>
    <col min="9" max="9" width="0" style="2" hidden="1" customWidth="1"/>
    <col min="10" max="10" width="26.42578125" hidden="1" customWidth="1"/>
    <col min="11" max="11" width="7.42578125" style="100" customWidth="1"/>
    <col min="12" max="12" width="12.42578125" style="100" customWidth="1"/>
    <col min="13" max="13" width="12.42578125" style="2" customWidth="1"/>
    <col min="14" max="14" width="14.42578125" customWidth="1"/>
    <col min="15" max="15" width="9.7109375" customWidth="1"/>
    <col min="16" max="16" width="14.140625" style="2" customWidth="1"/>
    <col min="17" max="17" width="36.42578125" style="15" customWidth="1"/>
    <col min="18" max="18" width="32.140625" customWidth="1"/>
    <col min="19" max="19" width="9.42578125" style="2" customWidth="1"/>
    <col min="20" max="20" width="10" style="2" hidden="1" customWidth="1"/>
    <col min="21" max="21" width="9.42578125" style="2" hidden="1" customWidth="1"/>
    <col min="22" max="23" width="9.5703125" style="2" hidden="1" customWidth="1"/>
    <col min="24" max="24" width="11.85546875" style="2" hidden="1" customWidth="1"/>
    <col min="25" max="25" width="7.42578125" style="2" hidden="1" customWidth="1"/>
    <col min="26" max="26" width="9.140625" style="2" hidden="1" customWidth="1"/>
    <col min="27" max="27" width="8.5703125" style="2" hidden="1" customWidth="1"/>
    <col min="28" max="28" width="11" style="2" customWidth="1"/>
    <col min="29" max="29" width="10.28515625" style="2" customWidth="1"/>
    <col min="30" max="30" width="9.140625" hidden="1" customWidth="1"/>
    <col min="31" max="31" width="13.7109375" style="55" hidden="1" customWidth="1"/>
    <col min="32" max="32" width="10.28515625" style="2" customWidth="1"/>
  </cols>
  <sheetData>
    <row r="1" spans="1:36" s="50" customFormat="1" ht="42.75" customHeight="1" x14ac:dyDescent="0.25">
      <c r="A1" s="10" t="s">
        <v>105</v>
      </c>
      <c r="B1" s="10" t="s">
        <v>106</v>
      </c>
      <c r="C1" s="11" t="s">
        <v>103</v>
      </c>
      <c r="D1" s="11" t="s">
        <v>104</v>
      </c>
      <c r="E1" s="11" t="s">
        <v>109</v>
      </c>
      <c r="F1" s="11" t="s">
        <v>110</v>
      </c>
      <c r="G1" s="11" t="s">
        <v>111</v>
      </c>
      <c r="H1" s="11" t="s">
        <v>112</v>
      </c>
      <c r="I1" s="13" t="s">
        <v>113</v>
      </c>
      <c r="J1" s="29" t="s">
        <v>560</v>
      </c>
      <c r="K1" s="98" t="s">
        <v>107</v>
      </c>
      <c r="L1" s="98" t="s">
        <v>108</v>
      </c>
      <c r="M1" s="28" t="s">
        <v>558</v>
      </c>
      <c r="N1" s="28" t="s">
        <v>559</v>
      </c>
      <c r="O1" s="104" t="s">
        <v>1330</v>
      </c>
      <c r="P1" s="13" t="s">
        <v>0</v>
      </c>
      <c r="Q1" s="25" t="s">
        <v>556</v>
      </c>
      <c r="R1" s="25" t="s">
        <v>557</v>
      </c>
      <c r="S1" s="10" t="s">
        <v>494</v>
      </c>
      <c r="T1" s="10" t="s">
        <v>563</v>
      </c>
      <c r="U1" s="10" t="s">
        <v>562</v>
      </c>
      <c r="V1" s="11" t="s">
        <v>2</v>
      </c>
      <c r="W1" s="12" t="s">
        <v>3</v>
      </c>
      <c r="X1" s="12" t="s">
        <v>4</v>
      </c>
      <c r="Y1" s="10" t="s">
        <v>5</v>
      </c>
      <c r="Z1" s="10" t="s">
        <v>6</v>
      </c>
      <c r="AA1" s="83" t="s">
        <v>1181</v>
      </c>
      <c r="AB1" s="75" t="s">
        <v>1525</v>
      </c>
      <c r="AC1" s="74" t="s">
        <v>1085</v>
      </c>
      <c r="AD1" s="132" t="s">
        <v>7</v>
      </c>
      <c r="AE1" s="131" t="s">
        <v>1331</v>
      </c>
      <c r="AF1" s="109" t="s">
        <v>1524</v>
      </c>
      <c r="AG1" s="49"/>
      <c r="AH1" s="49"/>
      <c r="AI1" s="49"/>
    </row>
    <row r="2" spans="1:36" x14ac:dyDescent="0.25">
      <c r="A2" s="40" t="s">
        <v>1004</v>
      </c>
      <c r="B2" s="40" t="s">
        <v>1005</v>
      </c>
      <c r="C2" s="42" t="s">
        <v>251</v>
      </c>
      <c r="D2" s="42" t="s">
        <v>1005</v>
      </c>
      <c r="E2" s="27" t="str">
        <f>CONCATENATE($C2," ",$D2)</f>
        <v>Avery Abshear</v>
      </c>
      <c r="F2" s="16" t="s">
        <v>1006</v>
      </c>
      <c r="G2" s="16" t="s">
        <v>114</v>
      </c>
      <c r="H2" s="16" t="s">
        <v>115</v>
      </c>
      <c r="I2" s="17">
        <v>45459</v>
      </c>
      <c r="J2" s="16" t="str">
        <f>IF($G2&lt;&gt;"",CONCATENATE($G2,", ",$H2," ",$I2),"")</f>
        <v>Centerville, OH 45459</v>
      </c>
      <c r="K2" s="17">
        <v>937</v>
      </c>
      <c r="L2" s="17" t="s">
        <v>1007</v>
      </c>
      <c r="M2" s="38" t="s">
        <v>116</v>
      </c>
      <c r="N2" s="38" t="s">
        <v>116</v>
      </c>
      <c r="O2" s="16">
        <f ca="1">IF($P2&lt;&gt;"", DATEDIF($P2,TODAY(),"y"), "")</f>
        <v>13</v>
      </c>
      <c r="P2" s="46">
        <v>41239</v>
      </c>
      <c r="Q2" s="62" t="s">
        <v>1008</v>
      </c>
      <c r="R2" s="8"/>
      <c r="S2" s="107" t="s">
        <v>826</v>
      </c>
      <c r="T2" s="17" t="s">
        <v>825</v>
      </c>
      <c r="U2" s="18" t="s">
        <v>8</v>
      </c>
      <c r="V2" s="17"/>
      <c r="W2" s="21"/>
      <c r="X2" s="21"/>
      <c r="Y2" s="17"/>
      <c r="Z2" s="17"/>
      <c r="AA2" s="17"/>
      <c r="AB2" s="18" t="s">
        <v>1526</v>
      </c>
      <c r="AC2" s="22"/>
      <c r="AD2" s="19"/>
      <c r="AE2" s="32"/>
      <c r="AF2" s="110" t="s">
        <v>1662</v>
      </c>
    </row>
    <row r="3" spans="1:36" x14ac:dyDescent="0.25">
      <c r="A3" s="41" t="s">
        <v>1229</v>
      </c>
      <c r="B3" s="41" t="s">
        <v>1005</v>
      </c>
      <c r="C3" s="39" t="s">
        <v>177</v>
      </c>
      <c r="D3" s="39" t="s">
        <v>1005</v>
      </c>
      <c r="E3" s="27" t="str">
        <f>CONCATENATE($C3," ",$D3)</f>
        <v>Jackson Abshear</v>
      </c>
      <c r="F3" s="8"/>
      <c r="G3" s="8"/>
      <c r="H3" s="8"/>
      <c r="I3" s="7"/>
      <c r="J3" s="16"/>
      <c r="K3" s="99">
        <v>937</v>
      </c>
      <c r="L3" s="99" t="s">
        <v>1007</v>
      </c>
      <c r="M3" s="39" t="s">
        <v>116</v>
      </c>
      <c r="N3" s="39" t="s">
        <v>116</v>
      </c>
      <c r="O3" s="16">
        <f ca="1">IF($P3&lt;&gt;"", DATEDIF($P3,TODAY(),"y"), "")</f>
        <v>12</v>
      </c>
      <c r="P3" s="47">
        <v>41551</v>
      </c>
      <c r="Q3" s="58" t="s">
        <v>1008</v>
      </c>
      <c r="R3" s="59"/>
      <c r="S3" s="107" t="s">
        <v>826</v>
      </c>
      <c r="T3" s="17" t="s">
        <v>825</v>
      </c>
      <c r="U3" s="17" t="s">
        <v>8</v>
      </c>
      <c r="V3" s="7"/>
      <c r="W3" s="7"/>
      <c r="X3" s="7"/>
      <c r="Y3" s="7"/>
      <c r="Z3" s="7"/>
      <c r="AA3" s="7"/>
      <c r="AB3" s="18" t="s">
        <v>1526</v>
      </c>
      <c r="AC3" s="7"/>
      <c r="AD3" s="8"/>
      <c r="AE3" s="33"/>
      <c r="AF3" s="110" t="s">
        <v>1662</v>
      </c>
    </row>
    <row r="4" spans="1:36" x14ac:dyDescent="0.25">
      <c r="A4" s="40" t="s">
        <v>1078</v>
      </c>
      <c r="B4" s="40" t="s">
        <v>1183</v>
      </c>
      <c r="C4" s="42" t="s">
        <v>1184</v>
      </c>
      <c r="D4" s="42" t="s">
        <v>1183</v>
      </c>
      <c r="E4" s="27" t="str">
        <f>CONCATENATE($C4," ",$D4)</f>
        <v>Nicholas Aiena</v>
      </c>
      <c r="F4" s="16"/>
      <c r="G4" s="16"/>
      <c r="H4" s="16"/>
      <c r="I4" s="17"/>
      <c r="J4" s="16"/>
      <c r="K4" s="17">
        <v>937</v>
      </c>
      <c r="L4" s="17" t="s">
        <v>1185</v>
      </c>
      <c r="M4" s="70"/>
      <c r="N4" s="70"/>
      <c r="O4" s="16">
        <f ca="1">IF($P4&lt;&gt;"", DATEDIF($P4,TODAY(),"y"), "")</f>
        <v>33</v>
      </c>
      <c r="P4" s="46">
        <v>33812</v>
      </c>
      <c r="Q4" s="62" t="s">
        <v>1186</v>
      </c>
      <c r="R4" s="8"/>
      <c r="S4" s="17" t="s">
        <v>834</v>
      </c>
      <c r="T4" s="17" t="s">
        <v>834</v>
      </c>
      <c r="U4" s="17" t="s">
        <v>10</v>
      </c>
      <c r="V4" s="17"/>
      <c r="W4" s="20"/>
      <c r="X4" s="20"/>
      <c r="Y4" s="17"/>
      <c r="Z4" s="17"/>
      <c r="AA4" s="17"/>
      <c r="AB4" s="18"/>
      <c r="AC4" s="18"/>
      <c r="AD4" s="16"/>
      <c r="AE4" s="32"/>
      <c r="AF4" s="110"/>
      <c r="AG4" s="53"/>
      <c r="AH4" s="54"/>
      <c r="AI4" s="54"/>
      <c r="AJ4" s="54"/>
    </row>
    <row r="5" spans="1:36" x14ac:dyDescent="0.25">
      <c r="A5" s="41" t="s">
        <v>930</v>
      </c>
      <c r="B5" s="41" t="s">
        <v>931</v>
      </c>
      <c r="C5" s="39" t="s">
        <v>791</v>
      </c>
      <c r="D5" s="39" t="s">
        <v>929</v>
      </c>
      <c r="E5" s="27" t="str">
        <f>CONCATENATE($C5," ",$D5)</f>
        <v>Gracie Albert</v>
      </c>
      <c r="F5" s="8" t="s">
        <v>932</v>
      </c>
      <c r="G5" s="8" t="s">
        <v>933</v>
      </c>
      <c r="H5" s="8" t="s">
        <v>115</v>
      </c>
      <c r="I5" s="7">
        <v>45309</v>
      </c>
      <c r="J5" s="16" t="str">
        <f>IF($G5&lt;&gt;"",CONCATENATE($G5,", ",$H5," ",$I5),"")</f>
        <v>Brookville, OH 45309</v>
      </c>
      <c r="K5" s="99">
        <v>937</v>
      </c>
      <c r="L5" s="99" t="s">
        <v>934</v>
      </c>
      <c r="M5" s="70"/>
      <c r="N5" s="70"/>
      <c r="O5" s="16">
        <f ca="1">IF($P5&lt;&gt;"", DATEDIF($P5,TODAY(),"y"), "")</f>
        <v>14</v>
      </c>
      <c r="P5" s="47">
        <v>40829</v>
      </c>
      <c r="Q5" s="58" t="s">
        <v>935</v>
      </c>
      <c r="R5" s="8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8"/>
      <c r="AE5" s="33"/>
      <c r="AF5" s="110"/>
      <c r="AG5" s="15"/>
    </row>
    <row r="6" spans="1:36" x14ac:dyDescent="0.25">
      <c r="A6" s="41" t="s">
        <v>585</v>
      </c>
      <c r="B6" s="41" t="s">
        <v>650</v>
      </c>
      <c r="C6" s="39" t="s">
        <v>628</v>
      </c>
      <c r="D6" s="39" t="s">
        <v>650</v>
      </c>
      <c r="E6" s="27" t="str">
        <f>CONCATENATE($C6," ",$D6)</f>
        <v>Gordon (JR) Alobwede</v>
      </c>
      <c r="F6" s="8" t="s">
        <v>586</v>
      </c>
      <c r="G6" s="8" t="s">
        <v>120</v>
      </c>
      <c r="H6" s="8" t="s">
        <v>115</v>
      </c>
      <c r="I6" s="7">
        <v>45342</v>
      </c>
      <c r="J6" s="16" t="str">
        <f>IF($G6&lt;&gt;"",CONCATENATE($G6,", ",$H6," ",$I6),"")</f>
        <v>Miamisburg, OH 45342</v>
      </c>
      <c r="K6" s="99">
        <v>937</v>
      </c>
      <c r="L6" s="99" t="s">
        <v>587</v>
      </c>
      <c r="M6" s="70" t="s">
        <v>181</v>
      </c>
      <c r="N6" s="70" t="s">
        <v>181</v>
      </c>
      <c r="O6" s="16">
        <f ca="1">IF($P6&lt;&gt;"", DATEDIF($P6,TODAY(),"y"), "")</f>
        <v>18</v>
      </c>
      <c r="P6" s="48">
        <v>39283</v>
      </c>
      <c r="Q6" s="8" t="s">
        <v>588</v>
      </c>
      <c r="R6" s="8"/>
      <c r="S6" s="111" t="s">
        <v>828</v>
      </c>
      <c r="T6" s="7" t="s">
        <v>828</v>
      </c>
      <c r="U6" s="7" t="s">
        <v>10</v>
      </c>
      <c r="V6" s="7"/>
      <c r="W6" s="7"/>
      <c r="X6" s="7"/>
      <c r="Y6" s="7"/>
      <c r="Z6" s="7"/>
      <c r="AA6" s="7"/>
      <c r="AB6" s="18" t="s">
        <v>1526</v>
      </c>
      <c r="AC6" s="7"/>
      <c r="AD6" s="8"/>
      <c r="AE6" s="33"/>
      <c r="AF6" s="110"/>
      <c r="AG6" s="53"/>
      <c r="AH6" s="54"/>
      <c r="AI6" s="54"/>
      <c r="AJ6" s="54"/>
    </row>
    <row r="7" spans="1:36" x14ac:dyDescent="0.25">
      <c r="A7" s="40" t="s">
        <v>768</v>
      </c>
      <c r="B7" s="40" t="s">
        <v>1116</v>
      </c>
      <c r="C7" s="42" t="s">
        <v>1117</v>
      </c>
      <c r="D7" s="42" t="s">
        <v>1116</v>
      </c>
      <c r="E7" s="27" t="str">
        <f>CONCATENATE($C7," ",$D7)</f>
        <v>Landrie Amaro</v>
      </c>
      <c r="F7" s="16" t="s">
        <v>1118</v>
      </c>
      <c r="G7" s="16" t="s">
        <v>154</v>
      </c>
      <c r="H7" s="16" t="s">
        <v>115</v>
      </c>
      <c r="I7" s="17">
        <v>45431</v>
      </c>
      <c r="J7" s="16" t="str">
        <f>IF($G7&lt;&gt;"",CONCATENATE($G7,", ",$H7," ",$I7),"")</f>
        <v>Beavercreek, OH 45431</v>
      </c>
      <c r="K7" s="17">
        <v>513</v>
      </c>
      <c r="L7" s="17" t="s">
        <v>1657</v>
      </c>
      <c r="M7" s="38" t="s">
        <v>181</v>
      </c>
      <c r="N7" s="38" t="s">
        <v>181</v>
      </c>
      <c r="O7" s="16">
        <f ca="1">IF($P7&lt;&gt;"", DATEDIF($P7,TODAY(),"y"), "")</f>
        <v>15</v>
      </c>
      <c r="P7" s="46">
        <v>40655</v>
      </c>
      <c r="Q7" s="61" t="s">
        <v>1658</v>
      </c>
      <c r="R7" s="8"/>
      <c r="S7" s="107" t="s">
        <v>817</v>
      </c>
      <c r="T7" s="17" t="s">
        <v>825</v>
      </c>
      <c r="U7" s="17" t="s">
        <v>10</v>
      </c>
      <c r="V7" s="17"/>
      <c r="W7" s="20"/>
      <c r="X7" s="20"/>
      <c r="Y7" s="17"/>
      <c r="Z7" s="17"/>
      <c r="AA7" s="17"/>
      <c r="AB7" s="18" t="s">
        <v>1526</v>
      </c>
      <c r="AC7" s="18"/>
      <c r="AD7" s="19"/>
      <c r="AE7" s="32"/>
      <c r="AF7" s="110" t="s">
        <v>1662</v>
      </c>
    </row>
    <row r="8" spans="1:36" x14ac:dyDescent="0.25">
      <c r="A8" s="41" t="s">
        <v>789</v>
      </c>
      <c r="B8" s="41" t="s">
        <v>790</v>
      </c>
      <c r="C8" s="39" t="s">
        <v>791</v>
      </c>
      <c r="D8" s="39" t="s">
        <v>790</v>
      </c>
      <c r="E8" s="27" t="str">
        <f>CONCATENATE($C8," ",$D8)</f>
        <v>Gracie Arnold</v>
      </c>
      <c r="F8" s="8" t="s">
        <v>792</v>
      </c>
      <c r="G8" s="8" t="s">
        <v>125</v>
      </c>
      <c r="H8" s="8" t="s">
        <v>115</v>
      </c>
      <c r="I8" s="7">
        <v>45429</v>
      </c>
      <c r="J8" s="16" t="str">
        <f>IF($G8&lt;&gt;"",CONCATENATE($G8,", ",$H8," ",$I8),"")</f>
        <v>Kettering, OH 45429</v>
      </c>
      <c r="K8" s="99">
        <v>937</v>
      </c>
      <c r="L8" s="99" t="s">
        <v>793</v>
      </c>
      <c r="M8" s="70" t="s">
        <v>1034</v>
      </c>
      <c r="N8" s="70"/>
      <c r="O8" s="16">
        <f ca="1">IF($P8&lt;&gt;"", DATEDIF($P8,TODAY(),"y"), "")</f>
        <v>19</v>
      </c>
      <c r="P8" s="47">
        <v>39192</v>
      </c>
      <c r="Q8" s="58" t="s">
        <v>794</v>
      </c>
      <c r="R8" s="8"/>
      <c r="S8" s="7" t="s">
        <v>824</v>
      </c>
      <c r="T8" s="7"/>
      <c r="U8" s="7"/>
      <c r="V8" s="7"/>
      <c r="W8" s="7"/>
      <c r="X8" s="7"/>
      <c r="Y8" s="7"/>
      <c r="Z8" s="7"/>
      <c r="AA8" s="7"/>
      <c r="AB8" s="7" t="s">
        <v>1034</v>
      </c>
      <c r="AC8" s="7"/>
      <c r="AD8" s="8"/>
      <c r="AE8" s="33"/>
      <c r="AF8" s="110"/>
      <c r="AG8" s="53"/>
      <c r="AH8" s="54"/>
      <c r="AI8" s="54"/>
      <c r="AJ8" s="54"/>
    </row>
    <row r="9" spans="1:36" x14ac:dyDescent="0.25">
      <c r="A9" s="41" t="s">
        <v>1099</v>
      </c>
      <c r="B9" s="41" t="s">
        <v>1428</v>
      </c>
      <c r="C9" s="39" t="s">
        <v>1429</v>
      </c>
      <c r="D9" s="39" t="s">
        <v>1428</v>
      </c>
      <c r="E9" s="27" t="str">
        <f>CONCATENATE($C9," ",$D9)</f>
        <v>Elena Back</v>
      </c>
      <c r="F9" s="8"/>
      <c r="G9" s="8"/>
      <c r="H9" s="8"/>
      <c r="I9" s="7"/>
      <c r="J9" s="16"/>
      <c r="K9" s="99">
        <v>937</v>
      </c>
      <c r="L9" s="99" t="s">
        <v>1430</v>
      </c>
      <c r="M9" s="39" t="s">
        <v>122</v>
      </c>
      <c r="N9" s="39" t="s">
        <v>122</v>
      </c>
      <c r="O9" s="16">
        <f ca="1">IF($P9&lt;&gt;"", DATEDIF($P9,TODAY(),"y"), "")</f>
        <v>7</v>
      </c>
      <c r="P9" s="48">
        <v>43461</v>
      </c>
      <c r="Q9" s="8" t="s">
        <v>1431</v>
      </c>
      <c r="R9" s="8"/>
      <c r="S9" s="111" t="s">
        <v>824</v>
      </c>
      <c r="T9" s="7"/>
      <c r="U9" s="7"/>
      <c r="V9" s="7"/>
      <c r="W9" s="7"/>
      <c r="X9" s="7"/>
      <c r="Y9" s="7"/>
      <c r="Z9" s="7"/>
      <c r="AA9" s="7"/>
      <c r="AB9" s="7" t="s">
        <v>1526</v>
      </c>
      <c r="AC9" s="7"/>
      <c r="AD9" s="8"/>
      <c r="AE9" s="33"/>
      <c r="AF9" s="110" t="s">
        <v>1662</v>
      </c>
      <c r="AG9" s="53"/>
      <c r="AH9" s="54"/>
      <c r="AI9" s="54"/>
      <c r="AJ9" s="54"/>
    </row>
    <row r="10" spans="1:36" x14ac:dyDescent="0.25">
      <c r="A10" s="41" t="s">
        <v>822</v>
      </c>
      <c r="B10" s="41" t="s">
        <v>818</v>
      </c>
      <c r="C10" s="39" t="s">
        <v>655</v>
      </c>
      <c r="D10" s="39" t="s">
        <v>818</v>
      </c>
      <c r="E10" s="27" t="str">
        <f>CONCATENATE($C10," ",$D10)</f>
        <v>Harper Besserman</v>
      </c>
      <c r="F10" s="8" t="s">
        <v>819</v>
      </c>
      <c r="G10" s="8" t="s">
        <v>123</v>
      </c>
      <c r="H10" s="8" t="s">
        <v>115</v>
      </c>
      <c r="I10" s="7">
        <v>45458</v>
      </c>
      <c r="J10" s="16" t="str">
        <f>IF($G10&lt;&gt;"",CONCATENATE($G10,", ",$H10," ",$I10),"")</f>
        <v>Dayton, OH 45458</v>
      </c>
      <c r="K10" s="99">
        <v>937</v>
      </c>
      <c r="L10" s="99" t="s">
        <v>820</v>
      </c>
      <c r="M10" s="39"/>
      <c r="N10" s="39" t="s">
        <v>121</v>
      </c>
      <c r="O10" s="16">
        <f ca="1">IF($P10&lt;&gt;"", DATEDIF($P10,TODAY(),"y"), "")</f>
        <v>11</v>
      </c>
      <c r="P10" s="47">
        <v>41979</v>
      </c>
      <c r="Q10" s="58" t="s">
        <v>821</v>
      </c>
      <c r="R10" s="8"/>
      <c r="S10" s="7" t="s">
        <v>824</v>
      </c>
      <c r="T10" s="7"/>
      <c r="U10" s="7"/>
      <c r="V10" s="7"/>
      <c r="W10" s="21"/>
      <c r="X10" s="21"/>
      <c r="Y10" s="17"/>
      <c r="Z10" s="17"/>
      <c r="AA10" s="17"/>
      <c r="AB10" s="18"/>
      <c r="AC10" s="7"/>
      <c r="AD10" s="8"/>
      <c r="AE10" s="33"/>
      <c r="AF10" s="110"/>
      <c r="AG10" s="15"/>
    </row>
    <row r="11" spans="1:36" x14ac:dyDescent="0.25">
      <c r="A11" s="41" t="s">
        <v>930</v>
      </c>
      <c r="B11" s="41" t="s">
        <v>1143</v>
      </c>
      <c r="C11" s="39" t="s">
        <v>1144</v>
      </c>
      <c r="D11" s="39" t="s">
        <v>1145</v>
      </c>
      <c r="E11" s="27" t="str">
        <f>CONCATENATE($C11," ",$D11)</f>
        <v>Cohen Bickett</v>
      </c>
      <c r="F11" s="16" t="s">
        <v>1146</v>
      </c>
      <c r="G11" s="16" t="s">
        <v>1147</v>
      </c>
      <c r="H11" s="16" t="s">
        <v>115</v>
      </c>
      <c r="I11" s="17">
        <v>45439</v>
      </c>
      <c r="J11" s="16" t="str">
        <f>IF($G11&lt;&gt;"",CONCATENATE($G11,", ",$H11," ",$I11),"")</f>
        <v>Moraine, OH 45439</v>
      </c>
      <c r="K11" s="17">
        <v>937</v>
      </c>
      <c r="L11" s="17" t="s">
        <v>1149</v>
      </c>
      <c r="M11" s="38"/>
      <c r="N11" s="38"/>
      <c r="O11" s="16">
        <f ca="1">IF($P11&lt;&gt;"", DATEDIF($P11,TODAY(),"y"), "")</f>
        <v>14</v>
      </c>
      <c r="P11" s="46">
        <v>40883</v>
      </c>
      <c r="Q11" s="62" t="s">
        <v>1148</v>
      </c>
      <c r="R11" s="8"/>
      <c r="S11" s="17" t="s">
        <v>824</v>
      </c>
      <c r="T11" s="17" t="s">
        <v>824</v>
      </c>
      <c r="U11" s="17" t="s">
        <v>8</v>
      </c>
      <c r="V11" s="17"/>
      <c r="W11" s="21"/>
      <c r="X11" s="21"/>
      <c r="Y11" s="17"/>
      <c r="Z11" s="17"/>
      <c r="AA11" s="17"/>
      <c r="AB11" s="23"/>
      <c r="AC11" s="22"/>
      <c r="AD11" s="19"/>
      <c r="AE11" s="32"/>
      <c r="AF11" s="110"/>
      <c r="AG11" s="15"/>
    </row>
    <row r="12" spans="1:36" x14ac:dyDescent="0.25">
      <c r="A12" s="41" t="s">
        <v>797</v>
      </c>
      <c r="B12" s="41" t="s">
        <v>795</v>
      </c>
      <c r="C12" s="39" t="s">
        <v>747</v>
      </c>
      <c r="D12" s="39" t="s">
        <v>795</v>
      </c>
      <c r="E12" s="27" t="str">
        <f>CONCATENATE($C12," ",$D12)</f>
        <v>Leila Binkley</v>
      </c>
      <c r="F12" s="8" t="s">
        <v>1174</v>
      </c>
      <c r="G12" s="8" t="s">
        <v>154</v>
      </c>
      <c r="H12" s="8" t="s">
        <v>115</v>
      </c>
      <c r="I12" s="7">
        <v>45430</v>
      </c>
      <c r="J12" s="16" t="str">
        <f>IF($G12&lt;&gt;"",CONCATENATE($G12,", ",$H12," ",$I12),"")</f>
        <v>Beavercreek, OH 45430</v>
      </c>
      <c r="K12" s="99">
        <v>615</v>
      </c>
      <c r="L12" s="99" t="s">
        <v>748</v>
      </c>
      <c r="M12" s="39" t="s">
        <v>102</v>
      </c>
      <c r="N12" s="39" t="s">
        <v>102</v>
      </c>
      <c r="O12" s="16">
        <f ca="1">IF($P12&lt;&gt;"", DATEDIF($P12,TODAY(),"y"), "")</f>
        <v>14</v>
      </c>
      <c r="P12" s="47">
        <v>40972</v>
      </c>
      <c r="Q12" s="58" t="s">
        <v>796</v>
      </c>
      <c r="R12" s="8"/>
      <c r="S12" s="111" t="s">
        <v>817</v>
      </c>
      <c r="T12" s="7" t="s">
        <v>823</v>
      </c>
      <c r="U12" s="7" t="s">
        <v>8</v>
      </c>
      <c r="V12" s="7"/>
      <c r="W12" s="7"/>
      <c r="X12" s="7"/>
      <c r="Y12" s="7"/>
      <c r="Z12" s="7"/>
      <c r="AA12" s="7"/>
      <c r="AB12" s="18" t="s">
        <v>1526</v>
      </c>
      <c r="AC12" s="7"/>
      <c r="AD12" s="8"/>
      <c r="AE12" s="33"/>
      <c r="AF12" s="110"/>
    </row>
    <row r="13" spans="1:36" x14ac:dyDescent="0.25">
      <c r="A13" s="40" t="s">
        <v>126</v>
      </c>
      <c r="B13" s="40" t="s">
        <v>127</v>
      </c>
      <c r="C13" s="42" t="s">
        <v>128</v>
      </c>
      <c r="D13" s="42" t="s">
        <v>129</v>
      </c>
      <c r="E13" s="27" t="str">
        <f>CONCATENATE($C13," ",$D13)</f>
        <v>Naomi Black</v>
      </c>
      <c r="F13" s="16" t="s">
        <v>130</v>
      </c>
      <c r="G13" s="16" t="s">
        <v>114</v>
      </c>
      <c r="H13" s="16" t="s">
        <v>115</v>
      </c>
      <c r="I13" s="17">
        <v>45459</v>
      </c>
      <c r="J13" s="16" t="str">
        <f>IF($G13&lt;&gt;"",CONCATENATE($G13,", ",$H13," ",$I13),"")</f>
        <v>Centerville, OH 45459</v>
      </c>
      <c r="K13" s="17">
        <v>937</v>
      </c>
      <c r="L13" s="17" t="s">
        <v>131</v>
      </c>
      <c r="M13" s="38" t="s">
        <v>102</v>
      </c>
      <c r="N13" s="38" t="s">
        <v>102</v>
      </c>
      <c r="O13" s="16">
        <f ca="1">IF($P13&lt;&gt;"", DATEDIF($P13,TODAY(),"y"), "")</f>
        <v>17</v>
      </c>
      <c r="P13" s="46">
        <v>39944</v>
      </c>
      <c r="Q13" s="14" t="s">
        <v>11</v>
      </c>
      <c r="R13" s="8"/>
      <c r="S13" s="107" t="s">
        <v>825</v>
      </c>
      <c r="T13" s="17" t="s">
        <v>825</v>
      </c>
      <c r="U13" s="18"/>
      <c r="V13" s="17"/>
      <c r="W13" s="21"/>
      <c r="X13" s="21"/>
      <c r="Y13" s="17"/>
      <c r="Z13" s="17"/>
      <c r="AA13" s="17"/>
      <c r="AB13" s="18" t="s">
        <v>1526</v>
      </c>
      <c r="AC13" s="22"/>
      <c r="AD13" s="19"/>
      <c r="AE13" s="31"/>
      <c r="AF13" s="110"/>
      <c r="AG13" s="53"/>
      <c r="AH13" s="54"/>
      <c r="AI13" s="54"/>
      <c r="AJ13" s="54"/>
    </row>
    <row r="14" spans="1:36" x14ac:dyDescent="0.25">
      <c r="A14" s="40" t="s">
        <v>132</v>
      </c>
      <c r="B14" s="40" t="s">
        <v>133</v>
      </c>
      <c r="C14" s="42" t="s">
        <v>629</v>
      </c>
      <c r="D14" s="42" t="s">
        <v>133</v>
      </c>
      <c r="E14" s="27" t="str">
        <f>CONCATENATE($C14," ",$D14)</f>
        <v>Conner Blankenship</v>
      </c>
      <c r="F14" s="16" t="s">
        <v>134</v>
      </c>
      <c r="G14" s="16" t="s">
        <v>135</v>
      </c>
      <c r="H14" s="16" t="s">
        <v>115</v>
      </c>
      <c r="I14" s="17">
        <v>45044</v>
      </c>
      <c r="J14" s="16" t="str">
        <f>IF($G14&lt;&gt;"",CONCATENATE($G14,", ",$H14," ",$I14),"")</f>
        <v>Middletown, OH 45044</v>
      </c>
      <c r="K14" s="17">
        <v>513</v>
      </c>
      <c r="L14" s="17" t="s">
        <v>136</v>
      </c>
      <c r="M14" s="38"/>
      <c r="N14" s="38"/>
      <c r="O14" s="16">
        <f ca="1">IF($P14&lt;&gt;"", DATEDIF($P14,TODAY(),"y"), "")</f>
        <v>22</v>
      </c>
      <c r="P14" s="46">
        <v>37995</v>
      </c>
      <c r="Q14" s="14" t="s">
        <v>12</v>
      </c>
      <c r="R14" s="61" t="s">
        <v>915</v>
      </c>
      <c r="S14" s="17"/>
      <c r="T14" s="17"/>
      <c r="U14" s="17"/>
      <c r="V14" s="17"/>
      <c r="W14" s="17"/>
      <c r="X14" s="17"/>
      <c r="Y14" s="17"/>
      <c r="Z14" s="17"/>
      <c r="AA14" s="17"/>
      <c r="AB14" s="23"/>
      <c r="AC14" s="22"/>
      <c r="AD14" s="16"/>
      <c r="AE14" s="32"/>
      <c r="AF14" s="110"/>
      <c r="AG14" s="15"/>
    </row>
    <row r="15" spans="1:36" x14ac:dyDescent="0.25">
      <c r="A15" s="40" t="s">
        <v>132</v>
      </c>
      <c r="B15" s="40" t="s">
        <v>133</v>
      </c>
      <c r="C15" s="42" t="s">
        <v>1240</v>
      </c>
      <c r="D15" s="42" t="s">
        <v>133</v>
      </c>
      <c r="E15" s="27" t="str">
        <f>CONCATENATE($C15," ",$D15)</f>
        <v>Evan Blankenship</v>
      </c>
      <c r="F15" s="16" t="s">
        <v>134</v>
      </c>
      <c r="G15" s="16" t="s">
        <v>135</v>
      </c>
      <c r="H15" s="16" t="s">
        <v>115</v>
      </c>
      <c r="I15" s="17">
        <v>45044</v>
      </c>
      <c r="J15" s="16" t="str">
        <f>IF($G15&lt;&gt;"",CONCATENATE($G15,", ",$H15," ",$I15),"")</f>
        <v>Middletown, OH 45044</v>
      </c>
      <c r="K15" s="17">
        <v>513</v>
      </c>
      <c r="L15" s="17" t="s">
        <v>136</v>
      </c>
      <c r="M15" s="38"/>
      <c r="N15" s="38"/>
      <c r="O15" s="16">
        <f ca="1">IF($P15&lt;&gt;"", DATEDIF($P15,TODAY(),"y"), "")</f>
        <v>24</v>
      </c>
      <c r="P15" s="46">
        <v>37367</v>
      </c>
      <c r="Q15" s="14" t="s">
        <v>12</v>
      </c>
      <c r="R15" s="61" t="s">
        <v>915</v>
      </c>
      <c r="S15" s="17"/>
      <c r="T15" s="17"/>
      <c r="U15" s="17"/>
      <c r="V15" s="17"/>
      <c r="W15" s="17"/>
      <c r="X15" s="17"/>
      <c r="Y15" s="17"/>
      <c r="Z15" s="17"/>
      <c r="AA15" s="17"/>
      <c r="AB15" s="23"/>
      <c r="AC15" s="22"/>
      <c r="AD15" s="16"/>
      <c r="AE15" s="31"/>
      <c r="AF15" s="110"/>
    </row>
    <row r="16" spans="1:36" x14ac:dyDescent="0.25">
      <c r="A16" s="41" t="s">
        <v>1187</v>
      </c>
      <c r="B16" s="41" t="s">
        <v>1188</v>
      </c>
      <c r="C16" s="39" t="s">
        <v>1189</v>
      </c>
      <c r="D16" s="39" t="s">
        <v>1188</v>
      </c>
      <c r="E16" s="27" t="str">
        <f>CONCATENATE($C16," ",$D16)</f>
        <v>Brady Bolton</v>
      </c>
      <c r="F16" s="8"/>
      <c r="G16" s="8"/>
      <c r="H16" s="8"/>
      <c r="I16" s="7"/>
      <c r="J16" s="16"/>
      <c r="K16" s="99">
        <v>614</v>
      </c>
      <c r="L16" s="99" t="s">
        <v>1190</v>
      </c>
      <c r="M16" s="71"/>
      <c r="N16" s="71"/>
      <c r="O16" s="16">
        <f ca="1">IF($P16&lt;&gt;"", DATEDIF($P16,TODAY(),"y"), "")</f>
        <v>8</v>
      </c>
      <c r="P16" s="48">
        <v>42953</v>
      </c>
      <c r="Q16" s="61" t="s">
        <v>1191</v>
      </c>
      <c r="R16" s="8"/>
      <c r="S16" s="7" t="s">
        <v>823</v>
      </c>
      <c r="T16" s="7" t="s">
        <v>823</v>
      </c>
      <c r="U16" s="7" t="s">
        <v>9</v>
      </c>
      <c r="V16" s="7"/>
      <c r="W16" s="7"/>
      <c r="X16" s="7"/>
      <c r="Y16" s="7"/>
      <c r="Z16" s="7"/>
      <c r="AA16" s="7"/>
      <c r="AB16" s="18"/>
      <c r="AC16" s="7"/>
      <c r="AD16" s="8"/>
      <c r="AE16" s="33"/>
      <c r="AF16" s="110"/>
    </row>
    <row r="17" spans="1:36" x14ac:dyDescent="0.25">
      <c r="A17" s="41" t="s">
        <v>1192</v>
      </c>
      <c r="B17" s="41" t="s">
        <v>1193</v>
      </c>
      <c r="C17" s="39" t="s">
        <v>1194</v>
      </c>
      <c r="D17" s="39" t="s">
        <v>1193</v>
      </c>
      <c r="E17" s="27" t="str">
        <f>CONCATENATE($C17," ",$D17)</f>
        <v>Mason Booker</v>
      </c>
      <c r="F17" s="8"/>
      <c r="G17" s="8"/>
      <c r="H17" s="8"/>
      <c r="I17" s="7"/>
      <c r="J17" s="16"/>
      <c r="K17" s="99">
        <v>937</v>
      </c>
      <c r="L17" s="99" t="s">
        <v>1195</v>
      </c>
      <c r="M17" s="39"/>
      <c r="N17" s="39"/>
      <c r="O17" s="16">
        <f ca="1">IF($P17&lt;&gt;"", DATEDIF($P17,TODAY(),"y"), "")</f>
        <v>11</v>
      </c>
      <c r="P17" s="47">
        <v>41967</v>
      </c>
      <c r="Q17" s="58" t="s">
        <v>1196</v>
      </c>
      <c r="R17" s="8"/>
      <c r="S17" s="7" t="s">
        <v>825</v>
      </c>
      <c r="T17" s="7" t="s">
        <v>825</v>
      </c>
      <c r="U17" s="7" t="s">
        <v>8</v>
      </c>
      <c r="V17" s="7"/>
      <c r="W17" s="7"/>
      <c r="X17" s="7"/>
      <c r="Y17" s="7"/>
      <c r="Z17" s="7"/>
      <c r="AA17" s="7"/>
      <c r="AB17" s="18"/>
      <c r="AC17" s="7"/>
      <c r="AD17" s="8"/>
      <c r="AE17" s="33"/>
      <c r="AF17" s="110"/>
      <c r="AG17" s="15"/>
    </row>
    <row r="18" spans="1:36" x14ac:dyDescent="0.25">
      <c r="A18" s="41" t="s">
        <v>1288</v>
      </c>
      <c r="B18" s="41" t="s">
        <v>1363</v>
      </c>
      <c r="C18" s="39" t="s">
        <v>1364</v>
      </c>
      <c r="D18" s="39" t="s">
        <v>1363</v>
      </c>
      <c r="E18" s="27" t="str">
        <f>CONCATENATE($C18," ",$D18)</f>
        <v>Hannah Borton</v>
      </c>
      <c r="F18" s="8"/>
      <c r="G18" s="8"/>
      <c r="H18" s="8"/>
      <c r="I18" s="7"/>
      <c r="J18" s="16"/>
      <c r="K18" s="99">
        <v>937</v>
      </c>
      <c r="L18" s="99" t="s">
        <v>1366</v>
      </c>
      <c r="M18" s="39" t="s">
        <v>102</v>
      </c>
      <c r="N18" s="39" t="s">
        <v>102</v>
      </c>
      <c r="O18" s="16">
        <f ca="1">IF($P18&lt;&gt;"", DATEDIF($P18,TODAY(),"y"), "")</f>
        <v>13</v>
      </c>
      <c r="P18" s="47">
        <v>41317</v>
      </c>
      <c r="Q18" s="58" t="s">
        <v>1365</v>
      </c>
      <c r="R18" s="8"/>
      <c r="S18" s="107" t="s">
        <v>826</v>
      </c>
      <c r="T18" s="17"/>
      <c r="U18" s="17"/>
      <c r="V18" s="7"/>
      <c r="W18" s="7"/>
      <c r="X18" s="7"/>
      <c r="Y18" s="7"/>
      <c r="Z18" s="7"/>
      <c r="AA18" s="7"/>
      <c r="AB18" s="18" t="s">
        <v>1526</v>
      </c>
      <c r="AC18" s="7"/>
      <c r="AD18" s="8"/>
      <c r="AE18" s="33"/>
      <c r="AF18" s="110"/>
      <c r="AG18" s="51"/>
      <c r="AH18" s="52"/>
      <c r="AI18" s="52"/>
      <c r="AJ18" s="52"/>
    </row>
    <row r="19" spans="1:36" x14ac:dyDescent="0.25">
      <c r="A19" s="40" t="s">
        <v>138</v>
      </c>
      <c r="B19" s="40" t="s">
        <v>139</v>
      </c>
      <c r="C19" s="42" t="s">
        <v>140</v>
      </c>
      <c r="D19" s="42" t="s">
        <v>139</v>
      </c>
      <c r="E19" s="27" t="str">
        <f>CONCATENATE($C19," ",$D19)</f>
        <v>Evangelia Bourbakis</v>
      </c>
      <c r="F19" s="16" t="s">
        <v>141</v>
      </c>
      <c r="G19" s="16" t="s">
        <v>114</v>
      </c>
      <c r="H19" s="16" t="s">
        <v>115</v>
      </c>
      <c r="I19" s="17">
        <v>45458</v>
      </c>
      <c r="J19" s="16" t="str">
        <f>IF($G19&lt;&gt;"",CONCATENATE($G19,", ",$H19," ",$I19),"")</f>
        <v>Centerville, OH 45458</v>
      </c>
      <c r="K19" s="17">
        <v>937</v>
      </c>
      <c r="L19" s="17" t="s">
        <v>142</v>
      </c>
      <c r="M19" s="38"/>
      <c r="N19" s="38"/>
      <c r="O19" s="16">
        <f ca="1">IF($P19&lt;&gt;"", DATEDIF($P19,TODAY(),"y"), "")</f>
        <v>45</v>
      </c>
      <c r="P19" s="46">
        <v>29672</v>
      </c>
      <c r="Q19" s="14" t="s">
        <v>13</v>
      </c>
      <c r="R19" s="61" t="s">
        <v>14</v>
      </c>
      <c r="S19" s="17" t="s">
        <v>834</v>
      </c>
      <c r="T19" s="17"/>
      <c r="U19" s="17"/>
      <c r="V19" s="17"/>
      <c r="W19" s="20"/>
      <c r="X19" s="20"/>
      <c r="Y19" s="17"/>
      <c r="Z19" s="17"/>
      <c r="AA19" s="17"/>
      <c r="AB19" s="18"/>
      <c r="AC19" s="18"/>
      <c r="AD19" s="19"/>
      <c r="AE19" s="31"/>
      <c r="AF19" s="110"/>
    </row>
    <row r="20" spans="1:36" x14ac:dyDescent="0.25">
      <c r="A20" s="40" t="s">
        <v>1419</v>
      </c>
      <c r="B20" s="40" t="s">
        <v>1420</v>
      </c>
      <c r="C20" s="42" t="s">
        <v>1421</v>
      </c>
      <c r="D20" s="42" t="s">
        <v>1420</v>
      </c>
      <c r="E20" s="27" t="str">
        <f>CONCATENATE($C20," ",$D20)</f>
        <v>Tobias Bowermaster</v>
      </c>
      <c r="F20" s="16"/>
      <c r="G20" s="16"/>
      <c r="H20" s="16"/>
      <c r="I20" s="17"/>
      <c r="J20" s="16"/>
      <c r="K20" s="17">
        <v>937</v>
      </c>
      <c r="L20" s="17" t="s">
        <v>1422</v>
      </c>
      <c r="M20" s="39"/>
      <c r="N20" s="39" t="s">
        <v>116</v>
      </c>
      <c r="O20" s="16">
        <f ca="1">IF($P20&lt;&gt;"", DATEDIF($P20,TODAY(),"y"), "")</f>
        <v>13</v>
      </c>
      <c r="P20" s="46">
        <v>41430</v>
      </c>
      <c r="Q20" s="62" t="s">
        <v>1423</v>
      </c>
      <c r="R20" s="8"/>
      <c r="S20" s="17" t="s">
        <v>1418</v>
      </c>
      <c r="T20" s="17"/>
      <c r="U20" s="17"/>
      <c r="V20" s="17"/>
      <c r="W20" s="20"/>
      <c r="X20" s="20"/>
      <c r="Y20" s="17"/>
      <c r="Z20" s="17"/>
      <c r="AA20" s="17"/>
      <c r="AB20" s="17"/>
      <c r="AC20" s="18"/>
      <c r="AD20" s="16"/>
      <c r="AE20" s="32"/>
      <c r="AF20" s="110"/>
      <c r="AG20" s="53"/>
      <c r="AH20" s="54"/>
      <c r="AI20" s="54"/>
      <c r="AJ20" s="54"/>
    </row>
    <row r="21" spans="1:36" x14ac:dyDescent="0.25">
      <c r="A21" s="40" t="s">
        <v>1567</v>
      </c>
      <c r="B21" s="40" t="s">
        <v>1568</v>
      </c>
      <c r="C21" s="42" t="s">
        <v>729</v>
      </c>
      <c r="D21" s="42" t="s">
        <v>1568</v>
      </c>
      <c r="E21" s="27" t="str">
        <f>CONCATENATE($C21," ",$D21)</f>
        <v>Dylan Bowling</v>
      </c>
      <c r="F21" s="16"/>
      <c r="G21" s="16"/>
      <c r="H21" s="16"/>
      <c r="I21" s="17"/>
      <c r="J21" s="16"/>
      <c r="K21" s="17">
        <v>326</v>
      </c>
      <c r="L21" s="17" t="s">
        <v>1575</v>
      </c>
      <c r="M21" s="39" t="s">
        <v>181</v>
      </c>
      <c r="N21" s="38"/>
      <c r="O21" s="16">
        <f ca="1">IF($P21&lt;&gt;"", DATEDIF($P21,TODAY(),"y"), "")</f>
        <v>13</v>
      </c>
      <c r="P21" s="46">
        <v>41113</v>
      </c>
      <c r="Q21" s="14" t="s">
        <v>1576</v>
      </c>
      <c r="R21" s="8"/>
      <c r="S21" s="107" t="s">
        <v>834</v>
      </c>
      <c r="T21" s="17"/>
      <c r="U21" s="17"/>
      <c r="V21" s="17"/>
      <c r="W21" s="21"/>
      <c r="X21" s="21"/>
      <c r="Y21" s="17"/>
      <c r="Z21" s="17"/>
      <c r="AA21" s="17"/>
      <c r="AB21" s="18"/>
      <c r="AC21" s="18" t="s">
        <v>1526</v>
      </c>
      <c r="AD21" s="16"/>
      <c r="AE21" s="32"/>
      <c r="AF21" s="110"/>
      <c r="AG21" s="15"/>
      <c r="AH21" s="54"/>
      <c r="AI21" s="54"/>
      <c r="AJ21" s="54"/>
    </row>
    <row r="22" spans="1:36" x14ac:dyDescent="0.25">
      <c r="A22" s="40" t="s">
        <v>145</v>
      </c>
      <c r="B22" s="40" t="s">
        <v>146</v>
      </c>
      <c r="C22" s="42" t="s">
        <v>147</v>
      </c>
      <c r="D22" s="42" t="s">
        <v>146</v>
      </c>
      <c r="E22" s="27" t="str">
        <f>CONCATENATE($C22," ",$D22)</f>
        <v>Aaron Bowman</v>
      </c>
      <c r="F22" s="16" t="s">
        <v>148</v>
      </c>
      <c r="G22" s="16" t="s">
        <v>143</v>
      </c>
      <c r="H22" s="16" t="s">
        <v>115</v>
      </c>
      <c r="I22" s="17">
        <v>45068</v>
      </c>
      <c r="J22" s="16" t="str">
        <f>IF($G22&lt;&gt;"",CONCATENATE($G22,", ",$H22," ",$I22),"")</f>
        <v>Waynesville, OH 45068</v>
      </c>
      <c r="K22" s="17">
        <v>513</v>
      </c>
      <c r="L22" s="17" t="s">
        <v>149</v>
      </c>
      <c r="M22" s="38" t="s">
        <v>144</v>
      </c>
      <c r="N22" s="38"/>
      <c r="O22" s="16">
        <f ca="1">IF($P22&lt;&gt;"", DATEDIF($P22,TODAY(),"y"), "")</f>
        <v>41</v>
      </c>
      <c r="P22" s="46">
        <v>31002</v>
      </c>
      <c r="Q22" s="14" t="s">
        <v>15</v>
      </c>
      <c r="R22" s="8"/>
      <c r="S22" s="107" t="s">
        <v>1070</v>
      </c>
      <c r="T22" s="17" t="s">
        <v>1034</v>
      </c>
      <c r="U22" s="17" t="s">
        <v>1034</v>
      </c>
      <c r="V22" s="17"/>
      <c r="W22" s="21"/>
      <c r="X22" s="21"/>
      <c r="Y22" s="17"/>
      <c r="Z22" s="17"/>
      <c r="AA22" s="17"/>
      <c r="AB22" s="18" t="s">
        <v>1526</v>
      </c>
      <c r="AC22" s="18"/>
      <c r="AD22" s="19"/>
      <c r="AE22" s="32"/>
      <c r="AF22" s="110" t="s">
        <v>1662</v>
      </c>
    </row>
    <row r="23" spans="1:36" x14ac:dyDescent="0.25">
      <c r="A23" s="40" t="s">
        <v>262</v>
      </c>
      <c r="B23" s="40" t="s">
        <v>146</v>
      </c>
      <c r="C23" s="42" t="s">
        <v>1495</v>
      </c>
      <c r="D23" s="42" t="s">
        <v>146</v>
      </c>
      <c r="E23" s="27" t="str">
        <f>CONCATENATE($C23," ",$D23)</f>
        <v>Everette Bowman</v>
      </c>
      <c r="F23" s="16"/>
      <c r="G23" s="16"/>
      <c r="H23" s="16"/>
      <c r="I23" s="17"/>
      <c r="J23" s="16"/>
      <c r="K23" s="17">
        <v>202</v>
      </c>
      <c r="L23" s="17" t="s">
        <v>1502</v>
      </c>
      <c r="M23" s="39" t="s">
        <v>122</v>
      </c>
      <c r="N23" s="39" t="s">
        <v>121</v>
      </c>
      <c r="O23" s="16">
        <f ca="1">IF($P23&lt;&gt;"", DATEDIF($P23,TODAY(),"y"), "")</f>
        <v>12</v>
      </c>
      <c r="P23" s="46">
        <v>41788</v>
      </c>
      <c r="Q23" s="14" t="s">
        <v>1500</v>
      </c>
      <c r="R23" s="8"/>
      <c r="S23" s="17" t="s">
        <v>824</v>
      </c>
      <c r="T23" s="17"/>
      <c r="U23" s="17"/>
      <c r="V23" s="17"/>
      <c r="W23" s="20"/>
      <c r="X23" s="20"/>
      <c r="Y23" s="17"/>
      <c r="Z23" s="17"/>
      <c r="AA23" s="17"/>
      <c r="AB23" s="18" t="s">
        <v>1526</v>
      </c>
      <c r="AC23" s="18"/>
      <c r="AD23" s="19"/>
      <c r="AE23" s="32"/>
      <c r="AF23" s="110" t="s">
        <v>1663</v>
      </c>
      <c r="AG23" s="53"/>
      <c r="AH23" s="54"/>
      <c r="AI23" s="54"/>
      <c r="AJ23" s="54"/>
    </row>
    <row r="24" spans="1:36" x14ac:dyDescent="0.25">
      <c r="A24" s="40" t="s">
        <v>150</v>
      </c>
      <c r="B24" s="40" t="s">
        <v>151</v>
      </c>
      <c r="C24" s="42" t="s">
        <v>152</v>
      </c>
      <c r="D24" s="42" t="s">
        <v>151</v>
      </c>
      <c r="E24" s="27" t="str">
        <f>CONCATENATE($C24," ",$D24)</f>
        <v>Gretchen Braun</v>
      </c>
      <c r="F24" s="16" t="s">
        <v>153</v>
      </c>
      <c r="G24" s="16" t="s">
        <v>154</v>
      </c>
      <c r="H24" s="16" t="s">
        <v>115</v>
      </c>
      <c r="I24" s="17">
        <v>45431</v>
      </c>
      <c r="J24" s="16" t="str">
        <f>IF($G24&lt;&gt;"",CONCATENATE($G24,", ",$H24," ",$I24),"")</f>
        <v>Beavercreek, OH 45431</v>
      </c>
      <c r="K24" s="17">
        <v>937</v>
      </c>
      <c r="L24" s="17" t="s">
        <v>155</v>
      </c>
      <c r="M24" s="38" t="s">
        <v>102</v>
      </c>
      <c r="N24" s="38" t="s">
        <v>102</v>
      </c>
      <c r="O24" s="16">
        <f ca="1">IF($P24&lt;&gt;"", DATEDIF($P24,TODAY(),"y"), "")</f>
        <v>26</v>
      </c>
      <c r="P24" s="46">
        <v>36691</v>
      </c>
      <c r="Q24" s="14" t="s">
        <v>16</v>
      </c>
      <c r="R24" s="61" t="s">
        <v>17</v>
      </c>
      <c r="S24" s="107" t="s">
        <v>825</v>
      </c>
      <c r="T24" s="17" t="s">
        <v>824</v>
      </c>
      <c r="U24" s="17" t="s">
        <v>10</v>
      </c>
      <c r="V24" s="17"/>
      <c r="W24" s="21"/>
      <c r="X24" s="21"/>
      <c r="Y24" s="17"/>
      <c r="Z24" s="17"/>
      <c r="AA24" s="17"/>
      <c r="AB24" s="18" t="s">
        <v>1526</v>
      </c>
      <c r="AC24" s="18"/>
      <c r="AD24" s="16"/>
      <c r="AE24" s="32"/>
      <c r="AF24" s="110"/>
      <c r="AG24" s="53"/>
      <c r="AH24" s="54"/>
      <c r="AI24" s="54"/>
      <c r="AJ24" s="54"/>
    </row>
    <row r="25" spans="1:36" x14ac:dyDescent="0.25">
      <c r="A25" s="40" t="s">
        <v>515</v>
      </c>
      <c r="B25" s="40" t="s">
        <v>516</v>
      </c>
      <c r="C25" s="42" t="s">
        <v>517</v>
      </c>
      <c r="D25" s="42" t="s">
        <v>516</v>
      </c>
      <c r="E25" s="27" t="str">
        <f>CONCATENATE($C25," ",$D25)</f>
        <v>Charles Brewer</v>
      </c>
      <c r="F25" s="16" t="s">
        <v>518</v>
      </c>
      <c r="G25" s="16" t="s">
        <v>156</v>
      </c>
      <c r="H25" s="16" t="s">
        <v>115</v>
      </c>
      <c r="I25" s="17">
        <v>45005</v>
      </c>
      <c r="J25" s="16" t="str">
        <f>IF($G25&lt;&gt;"",CONCATENATE($G25,", ",$H25," ",$I25),"")</f>
        <v>Carlisle, OH 45005</v>
      </c>
      <c r="K25" s="17">
        <v>937</v>
      </c>
      <c r="L25" s="17" t="s">
        <v>519</v>
      </c>
      <c r="M25" s="38" t="s">
        <v>181</v>
      </c>
      <c r="N25" s="38" t="s">
        <v>181</v>
      </c>
      <c r="O25" s="16">
        <f ca="1">IF($P25&lt;&gt;"", DATEDIF($P25,TODAY(),"y"), "")</f>
        <v>16</v>
      </c>
      <c r="P25" s="46">
        <v>40334</v>
      </c>
      <c r="Q25" s="14" t="s">
        <v>520</v>
      </c>
      <c r="R25" s="8"/>
      <c r="S25" s="107" t="s">
        <v>826</v>
      </c>
      <c r="T25" s="17"/>
      <c r="U25" s="17"/>
      <c r="V25" s="17"/>
      <c r="W25" s="21"/>
      <c r="X25" s="21"/>
      <c r="Y25" s="17"/>
      <c r="Z25" s="17"/>
      <c r="AA25" s="17"/>
      <c r="AB25" s="18" t="s">
        <v>1526</v>
      </c>
      <c r="AC25" s="17"/>
      <c r="AD25" s="16"/>
      <c r="AE25" s="32"/>
      <c r="AF25" s="110" t="s">
        <v>1662</v>
      </c>
      <c r="AG25" s="53"/>
      <c r="AH25" s="54"/>
      <c r="AI25" s="54"/>
      <c r="AJ25" s="54"/>
    </row>
    <row r="26" spans="1:36" x14ac:dyDescent="0.25">
      <c r="A26" s="40" t="s">
        <v>656</v>
      </c>
      <c r="B26" s="40" t="s">
        <v>1055</v>
      </c>
      <c r="C26" s="42" t="s">
        <v>1054</v>
      </c>
      <c r="D26" s="42" t="s">
        <v>1055</v>
      </c>
      <c r="E26" s="27" t="str">
        <f>CONCATENATE($C26," ",$D26)</f>
        <v>Benjamin Browning</v>
      </c>
      <c r="F26" s="16" t="s">
        <v>1056</v>
      </c>
      <c r="G26" s="16" t="s">
        <v>393</v>
      </c>
      <c r="H26" s="16" t="s">
        <v>115</v>
      </c>
      <c r="I26" s="17">
        <v>45305</v>
      </c>
      <c r="J26" s="16" t="str">
        <f>IF($G26&lt;&gt;"",CONCATENATE($G26,", ",$H26," ",$I26),"")</f>
        <v>Bellbrook, OH 45305</v>
      </c>
      <c r="K26" s="17">
        <v>937</v>
      </c>
      <c r="L26" s="17" t="s">
        <v>1057</v>
      </c>
      <c r="M26" s="38"/>
      <c r="N26" s="38"/>
      <c r="O26" s="16">
        <f ca="1">IF($P26&lt;&gt;"", DATEDIF($P26,TODAY(),"y"), "")</f>
        <v>9</v>
      </c>
      <c r="P26" s="46">
        <v>42810</v>
      </c>
      <c r="Q26" s="62" t="s">
        <v>1058</v>
      </c>
      <c r="R26" s="8"/>
      <c r="S26" s="17" t="s">
        <v>823</v>
      </c>
      <c r="T26" s="17" t="s">
        <v>823</v>
      </c>
      <c r="U26" s="17" t="s">
        <v>9</v>
      </c>
      <c r="V26" s="17"/>
      <c r="W26" s="20"/>
      <c r="X26" s="20"/>
      <c r="Y26" s="17"/>
      <c r="Z26" s="17"/>
      <c r="AA26" s="17"/>
      <c r="AB26" s="17"/>
      <c r="AC26" s="17"/>
      <c r="AD26" s="16"/>
      <c r="AE26" s="32"/>
      <c r="AF26" s="110"/>
      <c r="AG26" s="53"/>
      <c r="AH26" s="54"/>
      <c r="AI26" s="54"/>
      <c r="AJ26" s="54"/>
    </row>
    <row r="27" spans="1:36" x14ac:dyDescent="0.25">
      <c r="A27" s="40" t="s">
        <v>157</v>
      </c>
      <c r="B27" s="40" t="s">
        <v>158</v>
      </c>
      <c r="C27" s="42" t="s">
        <v>159</v>
      </c>
      <c r="D27" s="42" t="s">
        <v>158</v>
      </c>
      <c r="E27" s="27" t="str">
        <f>CONCATENATE($C27," ",$D27)</f>
        <v>Janice Brun</v>
      </c>
      <c r="F27" s="16" t="s">
        <v>160</v>
      </c>
      <c r="G27" s="16" t="s">
        <v>114</v>
      </c>
      <c r="H27" s="16" t="s">
        <v>115</v>
      </c>
      <c r="I27" s="17">
        <v>45459</v>
      </c>
      <c r="J27" s="16" t="str">
        <f>IF($G27&lt;&gt;"",CONCATENATE($G27,", ",$H27," ",$I27),"")</f>
        <v>Centerville, OH 45459</v>
      </c>
      <c r="K27" s="17">
        <v>937</v>
      </c>
      <c r="L27" s="17" t="s">
        <v>161</v>
      </c>
      <c r="M27" s="38" t="s">
        <v>102</v>
      </c>
      <c r="N27" s="38" t="s">
        <v>102</v>
      </c>
      <c r="O27" s="16">
        <f ca="1">IF($P27&lt;&gt;"", DATEDIF($P27,TODAY(),"y"), "")</f>
        <v>43</v>
      </c>
      <c r="P27" s="46">
        <v>30127</v>
      </c>
      <c r="Q27" s="14" t="s">
        <v>18</v>
      </c>
      <c r="R27" s="8" t="s">
        <v>19</v>
      </c>
      <c r="S27" s="107" t="s">
        <v>826</v>
      </c>
      <c r="T27" s="17" t="s">
        <v>826</v>
      </c>
      <c r="U27" s="18"/>
      <c r="V27" s="17"/>
      <c r="W27" s="21"/>
      <c r="X27" s="21"/>
      <c r="Y27" s="17"/>
      <c r="Z27" s="17"/>
      <c r="AA27" s="17"/>
      <c r="AB27" s="18" t="s">
        <v>1526</v>
      </c>
      <c r="AC27" s="22"/>
      <c r="AD27" s="19"/>
      <c r="AE27" s="32"/>
      <c r="AF27" s="110" t="s">
        <v>1662</v>
      </c>
      <c r="AG27" s="15"/>
    </row>
    <row r="28" spans="1:36" x14ac:dyDescent="0.25">
      <c r="A28" s="41" t="s">
        <v>1337</v>
      </c>
      <c r="B28" s="41" t="s">
        <v>1338</v>
      </c>
      <c r="C28" s="39" t="s">
        <v>1339</v>
      </c>
      <c r="D28" s="39" t="s">
        <v>1338</v>
      </c>
      <c r="E28" s="27" t="str">
        <f>CONCATENATE($C28," ",$D28)</f>
        <v>Niklaus Burtnett</v>
      </c>
      <c r="F28" s="8"/>
      <c r="G28" s="8"/>
      <c r="H28" s="8"/>
      <c r="I28" s="7"/>
      <c r="J28" s="16"/>
      <c r="K28" s="99">
        <v>740</v>
      </c>
      <c r="L28" s="99" t="s">
        <v>1340</v>
      </c>
      <c r="M28" s="39" t="s">
        <v>102</v>
      </c>
      <c r="N28" s="39" t="s">
        <v>102</v>
      </c>
      <c r="O28" s="16">
        <f ca="1">IF($P28&lt;&gt;"", DATEDIF($P28,TODAY(),"y"), "")</f>
        <v>11</v>
      </c>
      <c r="P28" s="47">
        <v>42161</v>
      </c>
      <c r="Q28" s="58" t="s">
        <v>1341</v>
      </c>
      <c r="R28" s="8"/>
      <c r="S28" s="107" t="s">
        <v>824</v>
      </c>
      <c r="T28" s="17" t="s">
        <v>823</v>
      </c>
      <c r="U28" s="17" t="s">
        <v>9</v>
      </c>
      <c r="V28" s="7"/>
      <c r="W28" s="7"/>
      <c r="X28" s="7"/>
      <c r="Y28" s="7"/>
      <c r="Z28" s="7"/>
      <c r="AA28" s="7"/>
      <c r="AB28" s="18"/>
      <c r="AC28" s="18" t="s">
        <v>1526</v>
      </c>
      <c r="AD28" s="8"/>
      <c r="AE28" s="33"/>
      <c r="AF28" s="110" t="s">
        <v>1662</v>
      </c>
      <c r="AG28" s="53"/>
      <c r="AH28" s="54"/>
      <c r="AI28" s="54"/>
      <c r="AJ28" s="54"/>
    </row>
    <row r="29" spans="1:36" x14ac:dyDescent="0.25">
      <c r="A29" s="40" t="s">
        <v>870</v>
      </c>
      <c r="B29" s="40" t="s">
        <v>1539</v>
      </c>
      <c r="C29" s="42" t="s">
        <v>415</v>
      </c>
      <c r="D29" s="42" t="s">
        <v>1539</v>
      </c>
      <c r="E29" s="27" t="str">
        <f>CONCATENATE($C29," ",$D29)</f>
        <v>Noah Bush</v>
      </c>
      <c r="F29" s="16"/>
      <c r="G29" s="16"/>
      <c r="H29" s="16"/>
      <c r="I29" s="17"/>
      <c r="J29" s="16"/>
      <c r="K29" s="17">
        <v>912</v>
      </c>
      <c r="L29" s="17" t="s">
        <v>1540</v>
      </c>
      <c r="M29" s="39" t="s">
        <v>121</v>
      </c>
      <c r="N29" s="38"/>
      <c r="O29" s="16">
        <f ca="1">IF($P29&lt;&gt;"", DATEDIF($P29,TODAY(),"y"), "")</f>
        <v>11</v>
      </c>
      <c r="P29" s="46">
        <v>42133</v>
      </c>
      <c r="Q29" s="14" t="s">
        <v>1541</v>
      </c>
      <c r="R29" s="8"/>
      <c r="S29" s="107" t="s">
        <v>823</v>
      </c>
      <c r="T29" s="17"/>
      <c r="U29" s="17"/>
      <c r="V29" s="17"/>
      <c r="W29" s="17"/>
      <c r="X29" s="17"/>
      <c r="Y29" s="17"/>
      <c r="Z29" s="17"/>
      <c r="AA29" s="17"/>
      <c r="AB29" s="17" t="s">
        <v>1526</v>
      </c>
      <c r="AC29" s="17"/>
      <c r="AD29" s="16"/>
      <c r="AE29" s="32"/>
      <c r="AF29" s="110" t="s">
        <v>1663</v>
      </c>
      <c r="AG29" s="53"/>
      <c r="AH29" s="54"/>
      <c r="AI29" s="54"/>
      <c r="AJ29" s="54"/>
    </row>
    <row r="30" spans="1:36" x14ac:dyDescent="0.25">
      <c r="A30" s="40" t="s">
        <v>163</v>
      </c>
      <c r="B30" s="40" t="s">
        <v>164</v>
      </c>
      <c r="C30" s="42" t="s">
        <v>165</v>
      </c>
      <c r="D30" s="42" t="s">
        <v>164</v>
      </c>
      <c r="E30" s="27" t="str">
        <f>CONCATENATE($C30," ",$D30)</f>
        <v>Fred Cairo</v>
      </c>
      <c r="F30" s="16" t="s">
        <v>166</v>
      </c>
      <c r="G30" s="16" t="s">
        <v>125</v>
      </c>
      <c r="H30" s="16" t="s">
        <v>115</v>
      </c>
      <c r="I30" s="17">
        <v>45420</v>
      </c>
      <c r="J30" s="16" t="str">
        <f>IF($G30&lt;&gt;"",CONCATENATE($G30,", ",$H30," ",$I30),"")</f>
        <v>Kettering, OH 45420</v>
      </c>
      <c r="K30" s="17">
        <v>937</v>
      </c>
      <c r="L30" s="17" t="s">
        <v>167</v>
      </c>
      <c r="M30" s="38" t="s">
        <v>144</v>
      </c>
      <c r="N30" s="38" t="s">
        <v>144</v>
      </c>
      <c r="O30" s="16">
        <f ca="1">IF($P30&lt;&gt;"", DATEDIF($P30,TODAY(),"y"), "")</f>
        <v>30</v>
      </c>
      <c r="P30" s="46">
        <v>35100</v>
      </c>
      <c r="Q30" s="14" t="s">
        <v>20</v>
      </c>
      <c r="R30" s="8" t="s">
        <v>21</v>
      </c>
      <c r="S30" s="107" t="s">
        <v>834</v>
      </c>
      <c r="T30" s="17" t="s">
        <v>828</v>
      </c>
      <c r="U30" s="17" t="s">
        <v>10</v>
      </c>
      <c r="V30" s="17"/>
      <c r="W30" s="21"/>
      <c r="X30" s="21"/>
      <c r="Y30" s="17"/>
      <c r="Z30" s="17"/>
      <c r="AA30" s="17"/>
      <c r="AB30" s="18" t="s">
        <v>1526</v>
      </c>
      <c r="AC30" s="24"/>
      <c r="AD30" s="19"/>
      <c r="AE30" s="32"/>
      <c r="AF30" s="110" t="s">
        <v>1662</v>
      </c>
    </row>
    <row r="31" spans="1:36" x14ac:dyDescent="0.25">
      <c r="A31" s="40" t="s">
        <v>169</v>
      </c>
      <c r="B31" s="40" t="s">
        <v>170</v>
      </c>
      <c r="C31" s="42" t="s">
        <v>171</v>
      </c>
      <c r="D31" s="42" t="s">
        <v>170</v>
      </c>
      <c r="E31" s="27" t="str">
        <f>CONCATENATE($C31," ",$D31)</f>
        <v>Benny Calcutta</v>
      </c>
      <c r="F31" s="16" t="s">
        <v>172</v>
      </c>
      <c r="G31" s="16" t="s">
        <v>125</v>
      </c>
      <c r="H31" s="16" t="s">
        <v>115</v>
      </c>
      <c r="I31" s="17">
        <v>45429</v>
      </c>
      <c r="J31" s="16" t="str">
        <f>IF($G31&lt;&gt;"",CONCATENATE($G31,", ",$H31," ",$I31),"")</f>
        <v>Kettering, OH 45429</v>
      </c>
      <c r="K31" s="17">
        <v>937</v>
      </c>
      <c r="L31" s="17" t="s">
        <v>173</v>
      </c>
      <c r="M31" s="38" t="s">
        <v>168</v>
      </c>
      <c r="N31" s="38" t="s">
        <v>168</v>
      </c>
      <c r="O31" s="16">
        <f ca="1">IF($P31&lt;&gt;"", DATEDIF($P31,TODAY(),"y"), "")</f>
        <v>22</v>
      </c>
      <c r="P31" s="46">
        <v>38106</v>
      </c>
      <c r="Q31" s="14" t="s">
        <v>22</v>
      </c>
      <c r="R31" s="8"/>
      <c r="S31" s="107" t="s">
        <v>826</v>
      </c>
      <c r="T31" s="17" t="s">
        <v>817</v>
      </c>
      <c r="U31" s="17" t="s">
        <v>10</v>
      </c>
      <c r="V31" s="17"/>
      <c r="W31" s="21"/>
      <c r="X31" s="21"/>
      <c r="Y31" s="17"/>
      <c r="Z31" s="17"/>
      <c r="AA31" s="17"/>
      <c r="AB31" s="18" t="s">
        <v>1526</v>
      </c>
      <c r="AC31" s="18"/>
      <c r="AD31" s="19"/>
      <c r="AE31" s="32"/>
      <c r="AF31" s="110" t="s">
        <v>1663</v>
      </c>
      <c r="AG31" s="15"/>
    </row>
    <row r="32" spans="1:36" x14ac:dyDescent="0.25">
      <c r="A32" s="40" t="s">
        <v>1119</v>
      </c>
      <c r="B32" s="40" t="s">
        <v>1124</v>
      </c>
      <c r="C32" s="42" t="s">
        <v>1120</v>
      </c>
      <c r="D32" s="42" t="s">
        <v>1124</v>
      </c>
      <c r="E32" s="27" t="str">
        <f>CONCATENATE($C32," ",$D32)</f>
        <v>Beckett Calfee</v>
      </c>
      <c r="F32" s="16" t="s">
        <v>1121</v>
      </c>
      <c r="G32" s="16" t="s">
        <v>114</v>
      </c>
      <c r="H32" s="16" t="s">
        <v>115</v>
      </c>
      <c r="I32" s="17">
        <v>45458</v>
      </c>
      <c r="J32" s="16" t="str">
        <f>IF($G32&lt;&gt;"",CONCATENATE($G32,", ",$H32," ",$I32),"")</f>
        <v>Centerville, OH 45458</v>
      </c>
      <c r="K32" s="17">
        <v>937</v>
      </c>
      <c r="L32" s="17" t="s">
        <v>1122</v>
      </c>
      <c r="M32" s="38"/>
      <c r="N32" s="38"/>
      <c r="O32" s="16">
        <f ca="1">IF($P32&lt;&gt;"", DATEDIF($P32,TODAY(),"y"), "")</f>
        <v>20</v>
      </c>
      <c r="P32" s="46">
        <v>38871</v>
      </c>
      <c r="Q32" s="62" t="s">
        <v>1123</v>
      </c>
      <c r="R32" s="8"/>
      <c r="S32" s="17" t="s">
        <v>826</v>
      </c>
      <c r="T32" s="17" t="s">
        <v>826</v>
      </c>
      <c r="U32" s="17" t="s">
        <v>8</v>
      </c>
      <c r="V32" s="17"/>
      <c r="W32" s="20"/>
      <c r="X32" s="20"/>
      <c r="Y32" s="17"/>
      <c r="Z32" s="17"/>
      <c r="AA32" s="17"/>
      <c r="AB32" s="18"/>
      <c r="AC32" s="18"/>
      <c r="AD32" s="19"/>
      <c r="AE32" s="32"/>
      <c r="AF32" s="110"/>
    </row>
    <row r="33" spans="1:36" x14ac:dyDescent="0.25">
      <c r="A33" s="40" t="s">
        <v>521</v>
      </c>
      <c r="B33" s="40" t="s">
        <v>511</v>
      </c>
      <c r="C33" s="42" t="s">
        <v>320</v>
      </c>
      <c r="D33" s="42" t="s">
        <v>522</v>
      </c>
      <c r="E33" s="27" t="str">
        <f>CONCATENATE($C33," ",$D33)</f>
        <v>Jacob Candy</v>
      </c>
      <c r="F33" s="16" t="s">
        <v>523</v>
      </c>
      <c r="G33" s="16" t="s">
        <v>114</v>
      </c>
      <c r="H33" s="16" t="s">
        <v>115</v>
      </c>
      <c r="I33" s="17">
        <v>45459</v>
      </c>
      <c r="J33" s="16" t="str">
        <f>IF($G33&lt;&gt;"",CONCATENATE($G33,", ",$H33," ",$I33),"")</f>
        <v>Centerville, OH 45459</v>
      </c>
      <c r="K33" s="17">
        <v>937</v>
      </c>
      <c r="L33" s="17" t="s">
        <v>524</v>
      </c>
      <c r="M33" s="38"/>
      <c r="N33" s="38"/>
      <c r="O33" s="16">
        <f ca="1">IF($P33&lt;&gt;"", DATEDIF($P33,TODAY(),"y"), "")</f>
        <v>27</v>
      </c>
      <c r="P33" s="46">
        <v>35994</v>
      </c>
      <c r="Q33" s="14" t="s">
        <v>525</v>
      </c>
      <c r="R33" s="8" t="s">
        <v>526</v>
      </c>
      <c r="S33" s="17" t="s">
        <v>826</v>
      </c>
      <c r="T33" s="18" t="s">
        <v>824</v>
      </c>
      <c r="U33" s="18" t="s">
        <v>9</v>
      </c>
      <c r="V33" s="17"/>
      <c r="W33" s="21"/>
      <c r="X33" s="21"/>
      <c r="Y33" s="17"/>
      <c r="Z33" s="17"/>
      <c r="AA33" s="17"/>
      <c r="AB33" s="18"/>
      <c r="AC33" s="18"/>
      <c r="AD33" s="19"/>
      <c r="AE33" s="31"/>
      <c r="AF33" s="110"/>
      <c r="AG33" s="15"/>
    </row>
    <row r="34" spans="1:36" x14ac:dyDescent="0.25">
      <c r="A34" s="40" t="s">
        <v>924</v>
      </c>
      <c r="B34" s="40" t="s">
        <v>1367</v>
      </c>
      <c r="C34" s="42" t="s">
        <v>1368</v>
      </c>
      <c r="D34" s="42" t="s">
        <v>1367</v>
      </c>
      <c r="E34" s="27" t="str">
        <f>CONCATENATE($C34," ",$D34)</f>
        <v>Luca Carlton</v>
      </c>
      <c r="F34" s="16"/>
      <c r="G34" s="16"/>
      <c r="H34" s="16"/>
      <c r="I34" s="17"/>
      <c r="J34" s="16"/>
      <c r="K34" s="17">
        <v>937</v>
      </c>
      <c r="L34" s="17" t="s">
        <v>1370</v>
      </c>
      <c r="M34" s="39"/>
      <c r="N34" s="39" t="s">
        <v>122</v>
      </c>
      <c r="O34" s="16">
        <f ca="1">IF($P34&lt;&gt;"", DATEDIF($P34,TODAY(),"y"), "")</f>
        <v>8</v>
      </c>
      <c r="P34" s="46">
        <v>43157</v>
      </c>
      <c r="Q34" s="14" t="s">
        <v>1369</v>
      </c>
      <c r="R34" s="8"/>
      <c r="S34" s="17" t="s">
        <v>823</v>
      </c>
      <c r="T34" s="17"/>
      <c r="U34" s="17"/>
      <c r="V34" s="17"/>
      <c r="W34" s="20"/>
      <c r="X34" s="20"/>
      <c r="Y34" s="17"/>
      <c r="Z34" s="17"/>
      <c r="AA34" s="17"/>
      <c r="AB34" s="18"/>
      <c r="AC34" s="18"/>
      <c r="AD34" s="19"/>
      <c r="AE34" s="32"/>
      <c r="AF34" s="110"/>
    </row>
    <row r="35" spans="1:36" x14ac:dyDescent="0.25">
      <c r="A35" s="40" t="s">
        <v>175</v>
      </c>
      <c r="B35" s="40" t="s">
        <v>176</v>
      </c>
      <c r="C35" s="42" t="s">
        <v>177</v>
      </c>
      <c r="D35" s="42" t="s">
        <v>176</v>
      </c>
      <c r="E35" s="27" t="str">
        <f>CONCATENATE($C35," ",$D35)</f>
        <v>Jackson Chockey</v>
      </c>
      <c r="F35" s="16" t="s">
        <v>178</v>
      </c>
      <c r="G35" s="16" t="s">
        <v>179</v>
      </c>
      <c r="H35" s="16" t="s">
        <v>115</v>
      </c>
      <c r="I35" s="17">
        <v>45335</v>
      </c>
      <c r="J35" s="16" t="str">
        <f>IF($G35&lt;&gt;"",CONCATENATE($G35,", ",$H35," ",$I35),"")</f>
        <v>Jamestown, OH 45335</v>
      </c>
      <c r="K35" s="17">
        <v>937</v>
      </c>
      <c r="L35" s="17" t="s">
        <v>180</v>
      </c>
      <c r="M35" s="38" t="s">
        <v>168</v>
      </c>
      <c r="N35" s="38" t="s">
        <v>168</v>
      </c>
      <c r="O35" s="16">
        <f ca="1">IF($P35&lt;&gt;"", DATEDIF($P35,TODAY(),"y"), "")</f>
        <v>26</v>
      </c>
      <c r="P35" s="46">
        <v>36531</v>
      </c>
      <c r="Q35" s="14" t="s">
        <v>23</v>
      </c>
      <c r="R35" s="8" t="s">
        <v>24</v>
      </c>
      <c r="S35" s="107" t="s">
        <v>828</v>
      </c>
      <c r="T35" s="17"/>
      <c r="U35" s="17"/>
      <c r="V35" s="17"/>
      <c r="W35" s="21"/>
      <c r="X35" s="21"/>
      <c r="Y35" s="17"/>
      <c r="Z35" s="17"/>
      <c r="AA35" s="17"/>
      <c r="AB35" s="18" t="s">
        <v>1526</v>
      </c>
      <c r="AC35" s="18"/>
      <c r="AD35" s="19"/>
      <c r="AE35" s="31"/>
      <c r="AF35" s="110"/>
    </row>
    <row r="36" spans="1:36" x14ac:dyDescent="0.25">
      <c r="A36" s="41" t="s">
        <v>605</v>
      </c>
      <c r="B36" s="41" t="s">
        <v>606</v>
      </c>
      <c r="C36" s="39" t="s">
        <v>948</v>
      </c>
      <c r="D36" s="39" t="s">
        <v>606</v>
      </c>
      <c r="E36" s="27" t="str">
        <f>CONCATENATE($C36," ",$D36)</f>
        <v>Bailey Clark</v>
      </c>
      <c r="F36" s="8" t="s">
        <v>609</v>
      </c>
      <c r="G36" s="8" t="s">
        <v>123</v>
      </c>
      <c r="H36" s="8" t="s">
        <v>115</v>
      </c>
      <c r="I36" s="7">
        <v>45404</v>
      </c>
      <c r="J36" s="16" t="str">
        <f>IF($G36&lt;&gt;"",CONCATENATE($G36,", ",$H36," ",$I36),"")</f>
        <v>Dayton, OH 45404</v>
      </c>
      <c r="K36" s="99">
        <v>803</v>
      </c>
      <c r="L36" s="99" t="s">
        <v>610</v>
      </c>
      <c r="M36" s="65"/>
      <c r="N36" s="65"/>
      <c r="O36" s="16">
        <f ca="1">IF($P36&lt;&gt;"", DATEDIF($P36,TODAY(),"y"), "")</f>
        <v>21</v>
      </c>
      <c r="P36" s="48">
        <v>38294</v>
      </c>
      <c r="Q36" s="8" t="s">
        <v>611</v>
      </c>
      <c r="R36" s="8" t="s">
        <v>612</v>
      </c>
      <c r="S36" s="17"/>
      <c r="T36" s="7"/>
      <c r="U36" s="7"/>
      <c r="V36" s="7"/>
      <c r="W36" s="7"/>
      <c r="X36" s="7"/>
      <c r="Y36" s="7"/>
      <c r="Z36" s="7"/>
      <c r="AA36" s="7"/>
      <c r="AB36" s="7"/>
      <c r="AC36" s="7"/>
      <c r="AD36" s="8"/>
      <c r="AE36" s="33"/>
      <c r="AF36" s="110"/>
      <c r="AG36" s="53"/>
      <c r="AH36" s="54"/>
      <c r="AI36" s="54"/>
      <c r="AJ36" s="54"/>
    </row>
    <row r="37" spans="1:36" x14ac:dyDescent="0.25">
      <c r="A37" s="41" t="s">
        <v>1197</v>
      </c>
      <c r="B37" s="41" t="s">
        <v>1199</v>
      </c>
      <c r="C37" s="39" t="s">
        <v>1198</v>
      </c>
      <c r="D37" s="39" t="s">
        <v>1199</v>
      </c>
      <c r="E37" s="27" t="str">
        <f>CONCATENATE($C37," ",$D37)</f>
        <v>Emma Cloyes</v>
      </c>
      <c r="F37" s="8"/>
      <c r="G37" s="8"/>
      <c r="H37" s="8"/>
      <c r="I37" s="7"/>
      <c r="J37" s="16"/>
      <c r="K37" s="99">
        <v>937</v>
      </c>
      <c r="L37" s="17" t="s">
        <v>1200</v>
      </c>
      <c r="M37" s="97" t="s">
        <v>168</v>
      </c>
      <c r="N37" s="97" t="s">
        <v>181</v>
      </c>
      <c r="O37" s="16">
        <f ca="1">IF($P37&lt;&gt;"", DATEDIF($P37,TODAY(),"y"), "")</f>
        <v>16</v>
      </c>
      <c r="P37" s="48">
        <v>40088</v>
      </c>
      <c r="Q37" s="64" t="s">
        <v>1201</v>
      </c>
      <c r="R37" s="8"/>
      <c r="S37" s="107" t="s">
        <v>834</v>
      </c>
      <c r="T37" s="7" t="s">
        <v>828</v>
      </c>
      <c r="U37" s="7" t="s">
        <v>10</v>
      </c>
      <c r="V37" s="7"/>
      <c r="W37" s="7"/>
      <c r="X37" s="7"/>
      <c r="Y37" s="7"/>
      <c r="Z37" s="7"/>
      <c r="AA37" s="7"/>
      <c r="AB37" s="18" t="s">
        <v>1526</v>
      </c>
      <c r="AC37" s="7"/>
      <c r="AD37" s="8"/>
      <c r="AE37" s="33"/>
      <c r="AF37" s="110" t="s">
        <v>1662</v>
      </c>
      <c r="AG37" s="53"/>
      <c r="AH37" s="54"/>
      <c r="AI37" s="54"/>
      <c r="AJ37" s="54"/>
    </row>
    <row r="38" spans="1:36" x14ac:dyDescent="0.25">
      <c r="A38" s="40" t="s">
        <v>528</v>
      </c>
      <c r="B38" s="40" t="s">
        <v>1432</v>
      </c>
      <c r="C38" s="42" t="s">
        <v>1406</v>
      </c>
      <c r="D38" s="42" t="s">
        <v>1432</v>
      </c>
      <c r="E38" s="27" t="str">
        <f>CONCATENATE($C38," ",$D38)</f>
        <v>Charlie Coleman</v>
      </c>
      <c r="F38" s="16"/>
      <c r="G38" s="16"/>
      <c r="H38" s="16"/>
      <c r="I38" s="17"/>
      <c r="J38" s="16"/>
      <c r="K38" s="17">
        <v>937</v>
      </c>
      <c r="L38" s="17" t="s">
        <v>1434</v>
      </c>
      <c r="M38" s="39"/>
      <c r="N38" s="39" t="s">
        <v>116</v>
      </c>
      <c r="O38" s="16">
        <f ca="1">IF($P38&lt;&gt;"", DATEDIF($P38,TODAY(),"y"), "")</f>
        <v>10</v>
      </c>
      <c r="P38" s="46">
        <v>42401</v>
      </c>
      <c r="Q38" s="14" t="s">
        <v>1433</v>
      </c>
      <c r="R38" s="8"/>
      <c r="S38" s="17" t="s">
        <v>824</v>
      </c>
      <c r="T38" s="17"/>
      <c r="U38" s="17"/>
      <c r="V38" s="17"/>
      <c r="W38" s="20"/>
      <c r="X38" s="20"/>
      <c r="Y38" s="17"/>
      <c r="Z38" s="17"/>
      <c r="AA38" s="17"/>
      <c r="AB38" s="18"/>
      <c r="AC38" s="18"/>
      <c r="AD38" s="19"/>
      <c r="AE38" s="32"/>
      <c r="AF38" s="110"/>
      <c r="AG38" s="15"/>
    </row>
    <row r="39" spans="1:36" x14ac:dyDescent="0.25">
      <c r="A39" s="41" t="s">
        <v>528</v>
      </c>
      <c r="B39" s="41" t="s">
        <v>1432</v>
      </c>
      <c r="C39" s="39" t="s">
        <v>227</v>
      </c>
      <c r="D39" s="39" t="s">
        <v>1432</v>
      </c>
      <c r="E39" s="27" t="str">
        <f>CONCATENATE($C39," ",$D39)</f>
        <v>Jack Coleman</v>
      </c>
      <c r="F39" s="8"/>
      <c r="G39" s="8"/>
      <c r="H39" s="8"/>
      <c r="I39" s="7"/>
      <c r="J39" s="16"/>
      <c r="K39" s="17">
        <v>937</v>
      </c>
      <c r="L39" s="17" t="s">
        <v>1434</v>
      </c>
      <c r="M39" s="39"/>
      <c r="N39" s="39" t="s">
        <v>116</v>
      </c>
      <c r="O39" s="16">
        <f ca="1">IF($P39&lt;&gt;"", DATEDIF($P39,TODAY(),"y"), "")</f>
        <v>13</v>
      </c>
      <c r="P39" s="47">
        <v>41254</v>
      </c>
      <c r="Q39" s="58" t="s">
        <v>1433</v>
      </c>
      <c r="R39" s="59"/>
      <c r="S39" s="7" t="s">
        <v>825</v>
      </c>
      <c r="T39" s="7"/>
      <c r="U39" s="7"/>
      <c r="V39" s="7"/>
      <c r="W39" s="7"/>
      <c r="X39" s="7"/>
      <c r="Y39" s="7"/>
      <c r="Z39" s="7"/>
      <c r="AA39" s="7"/>
      <c r="AB39" s="7"/>
      <c r="AC39" s="7"/>
      <c r="AD39" s="8"/>
      <c r="AE39" s="33"/>
      <c r="AF39" s="110"/>
      <c r="AG39" s="53"/>
      <c r="AH39" s="54"/>
      <c r="AI39" s="54"/>
      <c r="AJ39" s="54"/>
    </row>
    <row r="40" spans="1:36" x14ac:dyDescent="0.25">
      <c r="A40" s="40" t="s">
        <v>437</v>
      </c>
      <c r="B40" s="40" t="s">
        <v>182</v>
      </c>
      <c r="C40" s="42" t="s">
        <v>183</v>
      </c>
      <c r="D40" s="42" t="s">
        <v>182</v>
      </c>
      <c r="E40" s="27" t="str">
        <f>CONCATENATE($C40," ",$D40)</f>
        <v>Steven Conlee</v>
      </c>
      <c r="F40" s="16" t="s">
        <v>184</v>
      </c>
      <c r="G40" s="16" t="s">
        <v>123</v>
      </c>
      <c r="H40" s="16" t="s">
        <v>115</v>
      </c>
      <c r="I40" s="17">
        <v>45439</v>
      </c>
      <c r="J40" s="16" t="str">
        <f>IF($G40&lt;&gt;"",CONCATENATE($G40,", ",$H40," ",$I40),"")</f>
        <v>Dayton, OH 45439</v>
      </c>
      <c r="K40" s="17">
        <v>937</v>
      </c>
      <c r="L40" s="17" t="s">
        <v>185</v>
      </c>
      <c r="M40" s="38" t="s">
        <v>971</v>
      </c>
      <c r="N40" s="38" t="s">
        <v>971</v>
      </c>
      <c r="O40" s="16">
        <f ca="1">IF($P40&lt;&gt;"", DATEDIF($P40,TODAY(),"y"), "")</f>
        <v>25</v>
      </c>
      <c r="P40" s="46">
        <v>36955</v>
      </c>
      <c r="Q40" s="14" t="s">
        <v>25</v>
      </c>
      <c r="R40" s="8"/>
      <c r="S40" s="107" t="s">
        <v>828</v>
      </c>
      <c r="T40" s="17" t="s">
        <v>828</v>
      </c>
      <c r="U40" s="17" t="s">
        <v>10</v>
      </c>
      <c r="V40" s="17"/>
      <c r="W40" s="21"/>
      <c r="X40" s="21"/>
      <c r="Y40" s="17"/>
      <c r="Z40" s="17"/>
      <c r="AA40" s="17"/>
      <c r="AB40" s="18" t="s">
        <v>1526</v>
      </c>
      <c r="AC40" s="18"/>
      <c r="AD40" s="19"/>
      <c r="AE40" s="32"/>
      <c r="AF40" s="110" t="s">
        <v>1662</v>
      </c>
      <c r="AG40" s="53"/>
      <c r="AH40" s="54"/>
      <c r="AI40" s="54"/>
      <c r="AJ40" s="54"/>
    </row>
    <row r="41" spans="1:36" x14ac:dyDescent="0.25">
      <c r="A41" s="40" t="s">
        <v>1094</v>
      </c>
      <c r="B41" s="40" t="s">
        <v>426</v>
      </c>
      <c r="C41" s="42" t="s">
        <v>174</v>
      </c>
      <c r="D41" s="42" t="s">
        <v>1095</v>
      </c>
      <c r="E41" s="27" t="str">
        <f>CONCATENATE($C41," ",$D41)</f>
        <v>Alexander Coomer</v>
      </c>
      <c r="F41" s="16" t="s">
        <v>1096</v>
      </c>
      <c r="G41" s="16" t="s">
        <v>120</v>
      </c>
      <c r="H41" s="16" t="s">
        <v>115</v>
      </c>
      <c r="I41" s="17">
        <v>45342</v>
      </c>
      <c r="J41" s="16" t="str">
        <f>IF($G41&lt;&gt;"",CONCATENATE($G41,", ",$H41," ",$I41),"")</f>
        <v>Miamisburg, OH 45342</v>
      </c>
      <c r="K41" s="17">
        <v>937</v>
      </c>
      <c r="L41" s="17" t="s">
        <v>1097</v>
      </c>
      <c r="M41" s="38"/>
      <c r="N41" s="38"/>
      <c r="O41" s="16">
        <f ca="1">IF($P41&lt;&gt;"", DATEDIF($P41,TODAY(),"y"), "")</f>
        <v>10</v>
      </c>
      <c r="P41" s="46">
        <v>42372</v>
      </c>
      <c r="Q41" s="61" t="s">
        <v>1098</v>
      </c>
      <c r="R41" s="8"/>
      <c r="S41" s="17" t="s">
        <v>823</v>
      </c>
      <c r="T41" s="17" t="s">
        <v>823</v>
      </c>
      <c r="U41" s="17" t="s">
        <v>9</v>
      </c>
      <c r="V41" s="17"/>
      <c r="W41" s="20"/>
      <c r="X41" s="20"/>
      <c r="Y41" s="17"/>
      <c r="Z41" s="17"/>
      <c r="AA41" s="17"/>
      <c r="AB41" s="17"/>
      <c r="AC41" s="18"/>
      <c r="AD41" s="19"/>
      <c r="AE41" s="32"/>
      <c r="AF41" s="110"/>
    </row>
    <row r="42" spans="1:36" x14ac:dyDescent="0.25">
      <c r="A42" s="40" t="s">
        <v>978</v>
      </c>
      <c r="B42" s="40" t="s">
        <v>1527</v>
      </c>
      <c r="C42" s="42" t="s">
        <v>1528</v>
      </c>
      <c r="D42" s="42" t="s">
        <v>637</v>
      </c>
      <c r="E42" s="27" t="str">
        <f>CONCATENATE($C42," ",$D42)</f>
        <v>Aiyanna Cornell</v>
      </c>
      <c r="F42" s="16"/>
      <c r="G42" s="16"/>
      <c r="H42" s="16"/>
      <c r="I42" s="17"/>
      <c r="J42" s="16"/>
      <c r="K42" s="17">
        <v>586</v>
      </c>
      <c r="L42" s="99" t="s">
        <v>1529</v>
      </c>
      <c r="M42" s="38" t="s">
        <v>168</v>
      </c>
      <c r="N42" s="38"/>
      <c r="O42" s="16">
        <f ca="1">IF($P42&lt;&gt;"", DATEDIF($P42,TODAY(),"y"), "")</f>
        <v>17</v>
      </c>
      <c r="P42" s="46">
        <v>39881</v>
      </c>
      <c r="Q42" s="62" t="s">
        <v>1530</v>
      </c>
      <c r="R42" s="8"/>
      <c r="S42" s="107" t="s">
        <v>817</v>
      </c>
      <c r="T42" s="17"/>
      <c r="U42" s="17"/>
      <c r="V42" s="17"/>
      <c r="W42" s="21"/>
      <c r="X42" s="21"/>
      <c r="Y42" s="17"/>
      <c r="Z42" s="17"/>
      <c r="AA42" s="17"/>
      <c r="AB42" s="18" t="s">
        <v>1526</v>
      </c>
      <c r="AC42" s="18"/>
      <c r="AD42" s="16"/>
      <c r="AE42" s="32"/>
      <c r="AF42" s="110" t="s">
        <v>1662</v>
      </c>
    </row>
    <row r="43" spans="1:36" x14ac:dyDescent="0.25">
      <c r="A43" s="41" t="s">
        <v>636</v>
      </c>
      <c r="B43" s="41" t="s">
        <v>637</v>
      </c>
      <c r="C43" s="39" t="s">
        <v>638</v>
      </c>
      <c r="D43" s="39" t="s">
        <v>637</v>
      </c>
      <c r="E43" s="27" t="str">
        <f>CONCATENATE($C43," ",$D43)</f>
        <v>Carter Cornell</v>
      </c>
      <c r="F43" s="8" t="s">
        <v>639</v>
      </c>
      <c r="G43" s="8" t="s">
        <v>114</v>
      </c>
      <c r="H43" s="8" t="s">
        <v>115</v>
      </c>
      <c r="I43" s="7">
        <v>45458</v>
      </c>
      <c r="J43" s="16" t="str">
        <f>IF($G43&lt;&gt;"",CONCATENATE($G43,", ",$H43," ",$I43),"")</f>
        <v>Centerville, OH 45458</v>
      </c>
      <c r="K43" s="99">
        <v>937</v>
      </c>
      <c r="L43" s="99" t="s">
        <v>640</v>
      </c>
      <c r="M43" s="97" t="s">
        <v>102</v>
      </c>
      <c r="N43" s="97" t="s">
        <v>102</v>
      </c>
      <c r="O43" s="16">
        <f ca="1">IF($P43&lt;&gt;"", DATEDIF($P43,TODAY(),"y"), "")</f>
        <v>15</v>
      </c>
      <c r="P43" s="48">
        <v>40547</v>
      </c>
      <c r="Q43" s="58" t="s">
        <v>746</v>
      </c>
      <c r="R43" s="8"/>
      <c r="S43" s="107" t="s">
        <v>1418</v>
      </c>
      <c r="T43" s="7" t="s">
        <v>824</v>
      </c>
      <c r="U43" s="7" t="s">
        <v>9</v>
      </c>
      <c r="V43" s="7"/>
      <c r="W43" s="21"/>
      <c r="X43" s="21"/>
      <c r="Y43" s="17"/>
      <c r="Z43" s="17"/>
      <c r="AA43" s="17"/>
      <c r="AB43" s="18" t="s">
        <v>1526</v>
      </c>
      <c r="AC43" s="7"/>
      <c r="AD43" s="8"/>
      <c r="AE43" s="33"/>
      <c r="AF43" s="110"/>
      <c r="AG43" s="15"/>
    </row>
    <row r="44" spans="1:36" x14ac:dyDescent="0.25">
      <c r="A44" s="40" t="s">
        <v>961</v>
      </c>
      <c r="B44" s="40" t="s">
        <v>527</v>
      </c>
      <c r="C44" s="42" t="s">
        <v>528</v>
      </c>
      <c r="D44" s="42" t="s">
        <v>527</v>
      </c>
      <c r="E44" s="27" t="str">
        <f>CONCATENATE($C44," ",$D44)</f>
        <v>Andrew Crosby</v>
      </c>
      <c r="F44" s="16" t="s">
        <v>529</v>
      </c>
      <c r="G44" s="16" t="s">
        <v>114</v>
      </c>
      <c r="H44" s="16" t="s">
        <v>115</v>
      </c>
      <c r="I44" s="17">
        <v>45458</v>
      </c>
      <c r="J44" s="16" t="str">
        <f>IF($G44&lt;&gt;"",CONCATENATE($G44,", ",$H44," ",$I44),"")</f>
        <v>Centerville, OH 45458</v>
      </c>
      <c r="K44" s="17">
        <v>937</v>
      </c>
      <c r="L44" s="17" t="s">
        <v>530</v>
      </c>
      <c r="M44" s="38" t="s">
        <v>971</v>
      </c>
      <c r="N44" s="38" t="s">
        <v>971</v>
      </c>
      <c r="O44" s="16">
        <f ca="1">IF($P44&lt;&gt;"", DATEDIF($P44,TODAY(),"y"), "")</f>
        <v>29</v>
      </c>
      <c r="P44" s="46">
        <v>35584</v>
      </c>
      <c r="Q44" s="14" t="s">
        <v>531</v>
      </c>
      <c r="R44" s="8"/>
      <c r="S44" s="107" t="s">
        <v>1321</v>
      </c>
      <c r="T44" s="17"/>
      <c r="U44" s="17"/>
      <c r="V44" s="17"/>
      <c r="W44" s="21"/>
      <c r="X44" s="21"/>
      <c r="Y44" s="17"/>
      <c r="Z44" s="17"/>
      <c r="AA44" s="17"/>
      <c r="AB44" s="18" t="s">
        <v>1526</v>
      </c>
      <c r="AC44" s="24"/>
      <c r="AD44" s="19"/>
      <c r="AE44" s="32"/>
      <c r="AF44" s="110" t="s">
        <v>1662</v>
      </c>
      <c r="AG44" s="53"/>
      <c r="AH44" s="54"/>
      <c r="AI44" s="54"/>
      <c r="AJ44" s="54"/>
    </row>
    <row r="45" spans="1:36" x14ac:dyDescent="0.25">
      <c r="A45" s="41" t="s">
        <v>630</v>
      </c>
      <c r="B45" s="41" t="s">
        <v>631</v>
      </c>
      <c r="C45" s="39" t="s">
        <v>415</v>
      </c>
      <c r="D45" s="39" t="s">
        <v>631</v>
      </c>
      <c r="E45" s="27" t="str">
        <f>CONCATENATE($C45," ",$D45)</f>
        <v>Noah Curtis</v>
      </c>
      <c r="F45" s="8" t="s">
        <v>632</v>
      </c>
      <c r="G45" s="8" t="s">
        <v>633</v>
      </c>
      <c r="H45" s="8" t="s">
        <v>115</v>
      </c>
      <c r="I45" s="7">
        <v>45177</v>
      </c>
      <c r="J45" s="16" t="str">
        <f>IF($G45&lt;&gt;"",CONCATENATE($G45,", ",$H45," ",$I45),"")</f>
        <v>Cuba, OH 45177</v>
      </c>
      <c r="K45" s="99">
        <v>937</v>
      </c>
      <c r="L45" s="99" t="s">
        <v>634</v>
      </c>
      <c r="M45" s="97" t="s">
        <v>102</v>
      </c>
      <c r="N45" s="97" t="s">
        <v>102</v>
      </c>
      <c r="O45" s="16">
        <f ca="1">IF($P45&lt;&gt;"", DATEDIF($P45,TODAY(),"y"), "")</f>
        <v>13</v>
      </c>
      <c r="P45" s="48">
        <v>41137</v>
      </c>
      <c r="Q45" s="8" t="s">
        <v>635</v>
      </c>
      <c r="R45" s="8"/>
      <c r="S45" s="107" t="s">
        <v>824</v>
      </c>
      <c r="T45" s="7" t="s">
        <v>823</v>
      </c>
      <c r="U45" s="7" t="s">
        <v>9</v>
      </c>
      <c r="V45" s="7"/>
      <c r="W45" s="21"/>
      <c r="X45" s="21"/>
      <c r="Y45" s="17"/>
      <c r="Z45" s="17"/>
      <c r="AA45" s="17"/>
      <c r="AB45" s="18" t="s">
        <v>1526</v>
      </c>
      <c r="AC45" s="7"/>
      <c r="AD45" s="8"/>
      <c r="AE45" s="33"/>
      <c r="AF45" s="110"/>
    </row>
    <row r="46" spans="1:36" x14ac:dyDescent="0.25">
      <c r="A46" s="41" t="s">
        <v>777</v>
      </c>
      <c r="B46" s="41" t="s">
        <v>869</v>
      </c>
      <c r="C46" s="39" t="s">
        <v>868</v>
      </c>
      <c r="D46" s="39" t="s">
        <v>869</v>
      </c>
      <c r="E46" s="27" t="str">
        <f>CONCATENATE($C46," ",$D46)</f>
        <v>Vada Daniels</v>
      </c>
      <c r="F46" s="8" t="s">
        <v>871</v>
      </c>
      <c r="G46" s="8" t="s">
        <v>872</v>
      </c>
      <c r="H46" s="8" t="s">
        <v>115</v>
      </c>
      <c r="I46" s="7">
        <v>45434</v>
      </c>
      <c r="J46" s="16" t="str">
        <f>IF($G46&lt;&gt;"",CONCATENATE($G46,", ",$H46," ",$I46),"")</f>
        <v>Beavercreek Twn, OH 45434</v>
      </c>
      <c r="K46" s="99">
        <v>937</v>
      </c>
      <c r="L46" s="99" t="s">
        <v>873</v>
      </c>
      <c r="M46" s="39" t="s">
        <v>121</v>
      </c>
      <c r="N46" s="39" t="s">
        <v>121</v>
      </c>
      <c r="O46" s="16">
        <f ca="1">IF($P46&lt;&gt;"", DATEDIF($P46,TODAY(),"y"), "")</f>
        <v>10</v>
      </c>
      <c r="P46" s="47">
        <v>42265</v>
      </c>
      <c r="Q46" s="58" t="s">
        <v>874</v>
      </c>
      <c r="R46" s="61" t="s">
        <v>1362</v>
      </c>
      <c r="S46" s="107" t="s">
        <v>825</v>
      </c>
      <c r="T46" s="7" t="s">
        <v>824</v>
      </c>
      <c r="U46" s="7" t="s">
        <v>9</v>
      </c>
      <c r="V46" s="7"/>
      <c r="W46" s="21"/>
      <c r="X46" s="21"/>
      <c r="Y46" s="17"/>
      <c r="Z46" s="17"/>
      <c r="AA46" s="17"/>
      <c r="AB46" s="18" t="s">
        <v>1526</v>
      </c>
      <c r="AC46" s="7"/>
      <c r="AD46" s="8"/>
      <c r="AE46" s="33"/>
      <c r="AF46" s="110" t="s">
        <v>1663</v>
      </c>
      <c r="AG46" s="15"/>
    </row>
    <row r="47" spans="1:36" x14ac:dyDescent="0.25">
      <c r="A47" s="40" t="s">
        <v>186</v>
      </c>
      <c r="B47" s="40" t="s">
        <v>187</v>
      </c>
      <c r="C47" s="42" t="s">
        <v>188</v>
      </c>
      <c r="D47" s="42" t="s">
        <v>187</v>
      </c>
      <c r="E47" s="27" t="str">
        <f>CONCATENATE($C47," ",$D47)</f>
        <v>Ellie Davenport</v>
      </c>
      <c r="F47" s="16" t="s">
        <v>189</v>
      </c>
      <c r="G47" s="16" t="s">
        <v>123</v>
      </c>
      <c r="H47" s="16" t="s">
        <v>115</v>
      </c>
      <c r="I47" s="17">
        <v>45458</v>
      </c>
      <c r="J47" s="16" t="str">
        <f>IF($G47&lt;&gt;"",CONCATENATE($G47,", ",$H47," ",$I47),"")</f>
        <v>Dayton, OH 45458</v>
      </c>
      <c r="K47" s="17">
        <v>937</v>
      </c>
      <c r="L47" s="17" t="s">
        <v>190</v>
      </c>
      <c r="M47" s="38"/>
      <c r="N47" s="38"/>
      <c r="O47" s="16">
        <f ca="1">IF($P47&lt;&gt;"", DATEDIF($P47,TODAY(),"y"), "")</f>
        <v>16</v>
      </c>
      <c r="P47" s="46">
        <v>40322</v>
      </c>
      <c r="Q47" s="14" t="s">
        <v>26</v>
      </c>
      <c r="R47" s="8" t="s">
        <v>27</v>
      </c>
      <c r="S47" s="17" t="s">
        <v>817</v>
      </c>
      <c r="T47" s="17" t="s">
        <v>825</v>
      </c>
      <c r="U47" s="17" t="s">
        <v>8</v>
      </c>
      <c r="V47" s="17"/>
      <c r="W47" s="21"/>
      <c r="X47" s="21"/>
      <c r="Y47" s="17"/>
      <c r="Z47" s="17"/>
      <c r="AA47" s="17"/>
      <c r="AB47" s="18"/>
      <c r="AC47" s="18"/>
      <c r="AD47" s="19"/>
      <c r="AE47" s="32"/>
      <c r="AF47" s="110"/>
      <c r="AG47" s="15"/>
    </row>
    <row r="48" spans="1:36" x14ac:dyDescent="0.25">
      <c r="A48" s="40" t="s">
        <v>191</v>
      </c>
      <c r="B48" s="40" t="s">
        <v>192</v>
      </c>
      <c r="C48" s="42" t="s">
        <v>193</v>
      </c>
      <c r="D48" s="42" t="s">
        <v>192</v>
      </c>
      <c r="E48" s="27" t="str">
        <f>CONCATENATE($C48," ",$D48)</f>
        <v>Ian Davis</v>
      </c>
      <c r="F48" s="16" t="s">
        <v>725</v>
      </c>
      <c r="G48" s="16" t="s">
        <v>123</v>
      </c>
      <c r="H48" s="16" t="s">
        <v>115</v>
      </c>
      <c r="I48" s="17">
        <v>45429</v>
      </c>
      <c r="J48" s="16" t="str">
        <f>IF($G48&lt;&gt;"",CONCATENATE($G48,", ",$H48," ",$I48),"")</f>
        <v>Dayton, OH 45429</v>
      </c>
      <c r="K48" s="17">
        <v>937</v>
      </c>
      <c r="L48" s="17" t="s">
        <v>194</v>
      </c>
      <c r="M48" s="38" t="s">
        <v>181</v>
      </c>
      <c r="N48" s="38" t="s">
        <v>181</v>
      </c>
      <c r="O48" s="16">
        <f ca="1">IF($P48&lt;&gt;"", DATEDIF($P48,TODAY(),"y"), "")</f>
        <v>19</v>
      </c>
      <c r="P48" s="46">
        <v>39023</v>
      </c>
      <c r="Q48" s="14" t="s">
        <v>28</v>
      </c>
      <c r="R48" s="8" t="s">
        <v>29</v>
      </c>
      <c r="S48" s="107" t="s">
        <v>834</v>
      </c>
      <c r="T48" s="17" t="s">
        <v>817</v>
      </c>
      <c r="U48" s="17" t="s">
        <v>10</v>
      </c>
      <c r="V48" s="17"/>
      <c r="W48" s="21"/>
      <c r="X48" s="21"/>
      <c r="Y48" s="17"/>
      <c r="Z48" s="17"/>
      <c r="AA48" s="17"/>
      <c r="AB48" s="18" t="s">
        <v>1526</v>
      </c>
      <c r="AC48" s="24"/>
      <c r="AD48" s="19"/>
      <c r="AE48" s="31"/>
      <c r="AF48" s="110"/>
      <c r="AG48" s="53"/>
      <c r="AH48" s="54"/>
      <c r="AI48" s="54"/>
      <c r="AJ48" s="54"/>
    </row>
    <row r="49" spans="1:36" x14ac:dyDescent="0.25">
      <c r="A49" s="41" t="s">
        <v>663</v>
      </c>
      <c r="B49" s="41" t="s">
        <v>192</v>
      </c>
      <c r="C49" s="39" t="s">
        <v>664</v>
      </c>
      <c r="D49" s="39" t="s">
        <v>192</v>
      </c>
      <c r="E49" s="27" t="str">
        <f>CONCATENATE($C49," ",$D49)</f>
        <v>Payson Davis</v>
      </c>
      <c r="F49" s="8" t="s">
        <v>665</v>
      </c>
      <c r="G49" s="8" t="s">
        <v>154</v>
      </c>
      <c r="H49" s="8" t="s">
        <v>115</v>
      </c>
      <c r="I49" s="7">
        <v>45430</v>
      </c>
      <c r="J49" s="16" t="str">
        <f>IF($G49&lt;&gt;"",CONCATENATE($G49,", ",$H49," ",$I49),"")</f>
        <v>Beavercreek, OH 45430</v>
      </c>
      <c r="K49" s="99">
        <v>480</v>
      </c>
      <c r="L49" s="99" t="s">
        <v>666</v>
      </c>
      <c r="M49" s="39" t="s">
        <v>121</v>
      </c>
      <c r="N49" s="39" t="s">
        <v>121</v>
      </c>
      <c r="O49" s="16">
        <f ca="1">IF($P49&lt;&gt;"", DATEDIF($P49,TODAY(),"y"), "")</f>
        <v>13</v>
      </c>
      <c r="P49" s="47">
        <v>41411</v>
      </c>
      <c r="Q49" s="58" t="s">
        <v>667</v>
      </c>
      <c r="R49" s="59" t="s">
        <v>668</v>
      </c>
      <c r="S49" s="107" t="s">
        <v>817</v>
      </c>
      <c r="T49" s="7" t="s">
        <v>1034</v>
      </c>
      <c r="U49" s="7" t="s">
        <v>1034</v>
      </c>
      <c r="V49" s="7"/>
      <c r="W49" s="21"/>
      <c r="X49" s="21"/>
      <c r="Y49" s="17"/>
      <c r="Z49" s="17"/>
      <c r="AA49" s="17"/>
      <c r="AB49" s="18" t="s">
        <v>1526</v>
      </c>
      <c r="AC49" s="7"/>
      <c r="AD49" s="8"/>
      <c r="AE49" s="33"/>
      <c r="AF49" s="110" t="s">
        <v>1662</v>
      </c>
    </row>
    <row r="50" spans="1:36" x14ac:dyDescent="0.25">
      <c r="A50" s="40" t="s">
        <v>1569</v>
      </c>
      <c r="B50" s="40" t="s">
        <v>1570</v>
      </c>
      <c r="C50" s="42" t="s">
        <v>1571</v>
      </c>
      <c r="D50" s="42" t="s">
        <v>1570</v>
      </c>
      <c r="E50" s="27" t="str">
        <f>CONCATENATE($C50," ",$D50)</f>
        <v>Nolan DeGrazia</v>
      </c>
      <c r="F50" s="16"/>
      <c r="G50" s="16"/>
      <c r="H50" s="16"/>
      <c r="I50" s="17"/>
      <c r="J50" s="16"/>
      <c r="K50" s="17">
        <v>937</v>
      </c>
      <c r="L50" s="17" t="s">
        <v>1578</v>
      </c>
      <c r="M50" s="39" t="s">
        <v>122</v>
      </c>
      <c r="N50" s="38"/>
      <c r="O50" s="16">
        <f ca="1">IF($P50&lt;&gt;"", DATEDIF($P50,TODAY(),"y"), "")</f>
        <v>5</v>
      </c>
      <c r="P50" s="46">
        <v>44047</v>
      </c>
      <c r="Q50" s="14" t="s">
        <v>1577</v>
      </c>
      <c r="R50" s="8"/>
      <c r="S50" s="107" t="s">
        <v>823</v>
      </c>
      <c r="T50" s="17"/>
      <c r="U50" s="17"/>
      <c r="V50" s="17"/>
      <c r="W50" s="17"/>
      <c r="X50" s="17"/>
      <c r="Y50" s="17"/>
      <c r="Z50" s="17"/>
      <c r="AA50" s="17"/>
      <c r="AB50" s="17" t="s">
        <v>1526</v>
      </c>
      <c r="AC50" s="17"/>
      <c r="AD50" s="16"/>
      <c r="AE50" s="32"/>
      <c r="AF50" s="110" t="s">
        <v>1663</v>
      </c>
      <c r="AG50" s="53"/>
      <c r="AH50" s="54"/>
      <c r="AI50" s="54"/>
      <c r="AJ50" s="54"/>
    </row>
    <row r="51" spans="1:36" x14ac:dyDescent="0.25">
      <c r="A51" s="40" t="s">
        <v>196</v>
      </c>
      <c r="B51" s="40" t="s">
        <v>197</v>
      </c>
      <c r="C51" s="42" t="s">
        <v>198</v>
      </c>
      <c r="D51" s="42" t="s">
        <v>197</v>
      </c>
      <c r="E51" s="27" t="str">
        <f>CONCATENATE($C51," ",$D51)</f>
        <v>Kendra Denlinger</v>
      </c>
      <c r="F51" s="16" t="s">
        <v>199</v>
      </c>
      <c r="G51" s="16" t="s">
        <v>143</v>
      </c>
      <c r="H51" s="16" t="s">
        <v>115</v>
      </c>
      <c r="I51" s="17">
        <v>45068</v>
      </c>
      <c r="J51" s="16" t="str">
        <f>IF($G51&lt;&gt;"",CONCATENATE($G51,", ",$H51," ",$I51),"")</f>
        <v>Waynesville, OH 45068</v>
      </c>
      <c r="K51" s="17">
        <v>937</v>
      </c>
      <c r="L51" s="17" t="s">
        <v>200</v>
      </c>
      <c r="M51" s="38" t="s">
        <v>144</v>
      </c>
      <c r="N51" s="38" t="s">
        <v>144</v>
      </c>
      <c r="O51" s="16">
        <f ca="1">IF($P51&lt;&gt;"", DATEDIF($P51,TODAY(),"y"), "")</f>
        <v>33</v>
      </c>
      <c r="P51" s="46">
        <v>34135</v>
      </c>
      <c r="Q51" s="14" t="s">
        <v>30</v>
      </c>
      <c r="R51" s="8"/>
      <c r="S51" s="107" t="s">
        <v>826</v>
      </c>
      <c r="T51" s="17"/>
      <c r="U51" s="17" t="s">
        <v>8</v>
      </c>
      <c r="V51" s="17"/>
      <c r="W51" s="21"/>
      <c r="X51" s="21"/>
      <c r="Y51" s="17"/>
      <c r="Z51" s="17"/>
      <c r="AA51" s="17"/>
      <c r="AB51" s="18" t="s">
        <v>1526</v>
      </c>
      <c r="AC51" s="18"/>
      <c r="AD51" s="19"/>
      <c r="AE51" s="31"/>
      <c r="AF51" s="110" t="s">
        <v>1662</v>
      </c>
      <c r="AG51" s="53"/>
      <c r="AH51" s="54"/>
      <c r="AI51" s="54"/>
      <c r="AJ51" s="54"/>
    </row>
    <row r="52" spans="1:36" x14ac:dyDescent="0.25">
      <c r="A52" s="40" t="s">
        <v>201</v>
      </c>
      <c r="B52" s="40" t="s">
        <v>202</v>
      </c>
      <c r="C52" s="42" t="s">
        <v>870</v>
      </c>
      <c r="D52" s="42" t="s">
        <v>202</v>
      </c>
      <c r="E52" s="27" t="str">
        <f>CONCATENATE($C52," ",$D52)</f>
        <v>Ryan DeWine</v>
      </c>
      <c r="F52" s="16" t="s">
        <v>204</v>
      </c>
      <c r="G52" s="16" t="s">
        <v>114</v>
      </c>
      <c r="H52" s="16" t="s">
        <v>115</v>
      </c>
      <c r="I52" s="17">
        <v>45459</v>
      </c>
      <c r="J52" s="16" t="str">
        <f>IF($G52&lt;&gt;"",CONCATENATE($G52,", ",$H52," ",$I52),"")</f>
        <v>Centerville, OH 45459</v>
      </c>
      <c r="K52" s="17">
        <v>937</v>
      </c>
      <c r="L52" s="17" t="s">
        <v>205</v>
      </c>
      <c r="M52" s="38" t="s">
        <v>144</v>
      </c>
      <c r="N52" s="38" t="s">
        <v>144</v>
      </c>
      <c r="O52" s="16">
        <f ca="1">IF($P52&lt;&gt;"", DATEDIF($P52,TODAY(),"y"), "")</f>
        <v>40</v>
      </c>
      <c r="P52" s="46">
        <v>31371</v>
      </c>
      <c r="Q52" s="14" t="s">
        <v>31</v>
      </c>
      <c r="R52" s="8"/>
      <c r="S52" s="107" t="s">
        <v>828</v>
      </c>
      <c r="T52" s="17"/>
      <c r="U52" s="17"/>
      <c r="V52" s="17" t="s">
        <v>1034</v>
      </c>
      <c r="W52" s="20"/>
      <c r="X52" s="20"/>
      <c r="Y52" s="17"/>
      <c r="Z52" s="17"/>
      <c r="AA52" s="17"/>
      <c r="AB52" s="18" t="s">
        <v>1526</v>
      </c>
      <c r="AC52" s="18"/>
      <c r="AD52" s="16"/>
      <c r="AE52" s="31"/>
      <c r="AF52" s="110" t="s">
        <v>1662</v>
      </c>
      <c r="AG52" s="53"/>
      <c r="AH52" s="54"/>
      <c r="AI52" s="54"/>
      <c r="AJ52" s="54"/>
    </row>
    <row r="53" spans="1:36" x14ac:dyDescent="0.25">
      <c r="A53" s="41" t="s">
        <v>836</v>
      </c>
      <c r="B53" s="41" t="s">
        <v>830</v>
      </c>
      <c r="C53" s="39" t="s">
        <v>829</v>
      </c>
      <c r="D53" s="39" t="s">
        <v>830</v>
      </c>
      <c r="E53" s="27" t="str">
        <f>CONCATENATE($C53," ",$D53)</f>
        <v>Brandon Dietsch</v>
      </c>
      <c r="F53" s="8" t="s">
        <v>831</v>
      </c>
      <c r="G53" s="8" t="s">
        <v>309</v>
      </c>
      <c r="H53" s="8" t="s">
        <v>115</v>
      </c>
      <c r="I53" s="7">
        <v>45324</v>
      </c>
      <c r="J53" s="16" t="str">
        <f>IF($G53&lt;&gt;"",CONCATENATE($G53,", ",$H53," ",$I53),"")</f>
        <v>Fairborn, OH 45324</v>
      </c>
      <c r="K53" s="99">
        <v>937</v>
      </c>
      <c r="L53" s="99" t="s">
        <v>832</v>
      </c>
      <c r="M53" s="39" t="s">
        <v>102</v>
      </c>
      <c r="N53" s="39" t="s">
        <v>102</v>
      </c>
      <c r="O53" s="16">
        <f ca="1">IF($P53&lt;&gt;"", DATEDIF($P53,TODAY(),"y"), "")</f>
        <v>17</v>
      </c>
      <c r="P53" s="47">
        <v>39860</v>
      </c>
      <c r="Q53" s="58" t="s">
        <v>833</v>
      </c>
      <c r="R53" s="8"/>
      <c r="S53" s="107" t="s">
        <v>824</v>
      </c>
      <c r="T53" s="7" t="s">
        <v>1034</v>
      </c>
      <c r="U53" s="7" t="s">
        <v>1034</v>
      </c>
      <c r="V53" s="7"/>
      <c r="W53" s="21"/>
      <c r="X53" s="21"/>
      <c r="Y53" s="17"/>
      <c r="Z53" s="17"/>
      <c r="AA53" s="17"/>
      <c r="AB53" s="18" t="s">
        <v>1526</v>
      </c>
      <c r="AC53" s="7"/>
      <c r="AD53" s="8"/>
      <c r="AE53" s="33"/>
      <c r="AF53" s="110"/>
    </row>
    <row r="54" spans="1:36" x14ac:dyDescent="0.25">
      <c r="A54" s="40" t="s">
        <v>567</v>
      </c>
      <c r="B54" s="40" t="s">
        <v>651</v>
      </c>
      <c r="C54" s="42" t="s">
        <v>568</v>
      </c>
      <c r="D54" s="42" t="s">
        <v>651</v>
      </c>
      <c r="E54" s="27" t="str">
        <f>CONCATENATE($C54," ",$D54)</f>
        <v>Grant Dismuke</v>
      </c>
      <c r="F54" s="16" t="s">
        <v>569</v>
      </c>
      <c r="G54" s="16" t="s">
        <v>120</v>
      </c>
      <c r="H54" s="16" t="s">
        <v>115</v>
      </c>
      <c r="I54" s="17">
        <v>45342</v>
      </c>
      <c r="J54" s="16" t="str">
        <f>IF($G54&lt;&gt;"",CONCATENATE($G54,", ",$H54," ",$I54),"")</f>
        <v>Miamisburg, OH 45342</v>
      </c>
      <c r="K54" s="17">
        <v>937</v>
      </c>
      <c r="L54" s="17" t="s">
        <v>570</v>
      </c>
      <c r="M54" s="38"/>
      <c r="N54" s="38" t="s">
        <v>116</v>
      </c>
      <c r="O54" s="16">
        <f ca="1">IF($P54&lt;&gt;"", DATEDIF($P54,TODAY(),"y"), "")</f>
        <v>14</v>
      </c>
      <c r="P54" s="46">
        <v>40872</v>
      </c>
      <c r="Q54" s="8" t="s">
        <v>571</v>
      </c>
      <c r="R54" s="8" t="s">
        <v>572</v>
      </c>
      <c r="S54" s="17" t="s">
        <v>824</v>
      </c>
      <c r="T54" s="17" t="s">
        <v>824</v>
      </c>
      <c r="U54" s="17" t="s">
        <v>9</v>
      </c>
      <c r="V54" s="17"/>
      <c r="W54" s="21"/>
      <c r="X54" s="21"/>
      <c r="Y54" s="17"/>
      <c r="Z54" s="17"/>
      <c r="AA54" s="17"/>
      <c r="AB54" s="18"/>
      <c r="AC54" s="18"/>
      <c r="AD54" s="16"/>
      <c r="AE54" s="31"/>
      <c r="AF54" s="110"/>
      <c r="AG54" s="53"/>
      <c r="AH54" s="54"/>
      <c r="AI54" s="54"/>
      <c r="AJ54" s="54"/>
    </row>
    <row r="55" spans="1:36" x14ac:dyDescent="0.25">
      <c r="A55" s="40" t="s">
        <v>206</v>
      </c>
      <c r="B55" s="40" t="s">
        <v>207</v>
      </c>
      <c r="C55" s="42" t="s">
        <v>208</v>
      </c>
      <c r="D55" s="42" t="s">
        <v>207</v>
      </c>
      <c r="E55" s="27" t="str">
        <f>CONCATENATE($C55," ",$D55)</f>
        <v>Matt Dorn</v>
      </c>
      <c r="F55" s="16" t="s">
        <v>209</v>
      </c>
      <c r="G55" s="16" t="s">
        <v>154</v>
      </c>
      <c r="H55" s="16" t="s">
        <v>115</v>
      </c>
      <c r="I55" s="17">
        <v>45434</v>
      </c>
      <c r="J55" s="16" t="str">
        <f>IF($G55&lt;&gt;"",CONCATENATE($G55,", ",$H55," ",$I55),"")</f>
        <v>Beavercreek, OH 45434</v>
      </c>
      <c r="K55" s="17">
        <v>937</v>
      </c>
      <c r="L55" s="17" t="s">
        <v>210</v>
      </c>
      <c r="M55" s="38" t="s">
        <v>144</v>
      </c>
      <c r="N55" s="38" t="s">
        <v>144</v>
      </c>
      <c r="O55" s="16">
        <f ca="1">IF($P55&lt;&gt;"", DATEDIF($P55,TODAY(),"y"), "")</f>
        <v>36</v>
      </c>
      <c r="P55" s="46">
        <v>32816</v>
      </c>
      <c r="Q55" s="14" t="s">
        <v>32</v>
      </c>
      <c r="R55" s="8" t="s">
        <v>33</v>
      </c>
      <c r="S55" s="107" t="s">
        <v>834</v>
      </c>
      <c r="T55" s="17" t="s">
        <v>828</v>
      </c>
      <c r="U55" s="17"/>
      <c r="V55" s="17"/>
      <c r="W55" s="21"/>
      <c r="X55" s="21"/>
      <c r="Y55" s="17"/>
      <c r="Z55" s="17"/>
      <c r="AA55" s="17"/>
      <c r="AB55" s="18" t="s">
        <v>1526</v>
      </c>
      <c r="AC55" s="18"/>
      <c r="AD55" s="19"/>
      <c r="AE55" s="32"/>
      <c r="AF55" s="110" t="s">
        <v>1662</v>
      </c>
      <c r="AG55" s="53"/>
      <c r="AH55" s="54"/>
      <c r="AI55" s="54"/>
      <c r="AJ55" s="54"/>
    </row>
    <row r="56" spans="1:36" x14ac:dyDescent="0.25">
      <c r="A56" s="40" t="s">
        <v>211</v>
      </c>
      <c r="B56" s="40" t="s">
        <v>212</v>
      </c>
      <c r="C56" s="42" t="s">
        <v>213</v>
      </c>
      <c r="D56" s="42" t="s">
        <v>212</v>
      </c>
      <c r="E56" s="27" t="str">
        <f>CONCATENATE($C56," ",$D56)</f>
        <v>Laura Doroh</v>
      </c>
      <c r="F56" s="16" t="s">
        <v>214</v>
      </c>
      <c r="G56" s="16" t="s">
        <v>123</v>
      </c>
      <c r="H56" s="16" t="s">
        <v>115</v>
      </c>
      <c r="I56" s="17">
        <v>45458</v>
      </c>
      <c r="J56" s="16" t="str">
        <f>IF($G56&lt;&gt;"",CONCATENATE($G56,", ",$H56," ",$I56),"")</f>
        <v>Dayton, OH 45458</v>
      </c>
      <c r="K56" s="17">
        <v>937</v>
      </c>
      <c r="L56" s="17" t="s">
        <v>215</v>
      </c>
      <c r="M56" s="38" t="s">
        <v>971</v>
      </c>
      <c r="N56" s="38" t="s">
        <v>971</v>
      </c>
      <c r="O56" s="16">
        <f ca="1">IF($P56&lt;&gt;"", DATEDIF($P56,TODAY(),"y"), "")</f>
        <v>33</v>
      </c>
      <c r="P56" s="46">
        <v>33845</v>
      </c>
      <c r="Q56" s="14" t="s">
        <v>34</v>
      </c>
      <c r="R56" s="8"/>
      <c r="S56" s="107" t="s">
        <v>826</v>
      </c>
      <c r="T56" s="17"/>
      <c r="U56" s="17"/>
      <c r="V56" s="17"/>
      <c r="W56" s="21"/>
      <c r="X56" s="21"/>
      <c r="Y56" s="17"/>
      <c r="Z56" s="17"/>
      <c r="AA56" s="17"/>
      <c r="AB56" s="18" t="s">
        <v>1526</v>
      </c>
      <c r="AC56" s="18"/>
      <c r="AD56" s="16"/>
      <c r="AE56" s="32"/>
      <c r="AF56" s="110" t="s">
        <v>1663</v>
      </c>
      <c r="AG56" s="53"/>
      <c r="AH56" s="54"/>
      <c r="AI56" s="54"/>
      <c r="AJ56" s="54"/>
    </row>
    <row r="57" spans="1:36" x14ac:dyDescent="0.25">
      <c r="A57" s="40" t="s">
        <v>216</v>
      </c>
      <c r="B57" s="40" t="s">
        <v>217</v>
      </c>
      <c r="C57" s="42" t="s">
        <v>195</v>
      </c>
      <c r="D57" s="42" t="s">
        <v>217</v>
      </c>
      <c r="E57" s="27" t="str">
        <f>CONCATENATE($C57," ",$D57)</f>
        <v>Will Drerup</v>
      </c>
      <c r="F57" s="16" t="s">
        <v>218</v>
      </c>
      <c r="G57" s="16" t="s">
        <v>114</v>
      </c>
      <c r="H57" s="16" t="s">
        <v>115</v>
      </c>
      <c r="I57" s="17">
        <v>45459</v>
      </c>
      <c r="J57" s="16" t="str">
        <f>IF($G57&lt;&gt;"",CONCATENATE($G57,", ",$H57," ",$I57),"")</f>
        <v>Centerville, OH 45459</v>
      </c>
      <c r="K57" s="17">
        <v>937</v>
      </c>
      <c r="L57" s="17" t="s">
        <v>219</v>
      </c>
      <c r="M57" s="38" t="s">
        <v>168</v>
      </c>
      <c r="N57" s="38" t="s">
        <v>168</v>
      </c>
      <c r="O57" s="16">
        <f ca="1">IF($P57&lt;&gt;"", DATEDIF($P57,TODAY(),"y"), "")</f>
        <v>20</v>
      </c>
      <c r="P57" s="46">
        <v>38874</v>
      </c>
      <c r="Q57" s="14" t="s">
        <v>35</v>
      </c>
      <c r="R57" s="8"/>
      <c r="S57" s="107" t="s">
        <v>1070</v>
      </c>
      <c r="T57" s="17" t="s">
        <v>834</v>
      </c>
      <c r="U57" s="17"/>
      <c r="V57" s="17"/>
      <c r="W57" s="21"/>
      <c r="X57" s="21"/>
      <c r="Y57" s="17"/>
      <c r="Z57" s="17"/>
      <c r="AA57" s="17"/>
      <c r="AB57" s="18" t="s">
        <v>1526</v>
      </c>
      <c r="AC57" s="18"/>
      <c r="AD57" s="19"/>
      <c r="AE57" s="32"/>
      <c r="AF57" s="110" t="s">
        <v>1662</v>
      </c>
      <c r="AG57" s="53"/>
      <c r="AH57" s="54"/>
      <c r="AI57" s="54"/>
      <c r="AJ57" s="54"/>
    </row>
    <row r="58" spans="1:36" x14ac:dyDescent="0.25">
      <c r="A58" s="40" t="s">
        <v>220</v>
      </c>
      <c r="B58" s="40" t="s">
        <v>221</v>
      </c>
      <c r="C58" s="42" t="s">
        <v>222</v>
      </c>
      <c r="D58" s="42" t="s">
        <v>221</v>
      </c>
      <c r="E58" s="27" t="str">
        <f>CONCATENATE($C58," ",$D58)</f>
        <v>Nick Drewry</v>
      </c>
      <c r="F58" s="16" t="s">
        <v>223</v>
      </c>
      <c r="G58" s="16" t="s">
        <v>118</v>
      </c>
      <c r="H58" s="16" t="s">
        <v>115</v>
      </c>
      <c r="I58" s="17">
        <v>45066</v>
      </c>
      <c r="J58" s="16" t="str">
        <f>IF($G58&lt;&gt;"",CONCATENATE($G58,", ",$H58," ",$I58),"")</f>
        <v>Springboro, OH 45066</v>
      </c>
      <c r="K58" s="17">
        <v>937</v>
      </c>
      <c r="L58" s="17" t="s">
        <v>224</v>
      </c>
      <c r="M58" s="38" t="s">
        <v>971</v>
      </c>
      <c r="N58" s="38" t="s">
        <v>971</v>
      </c>
      <c r="O58" s="16">
        <f ca="1">IF($P58&lt;&gt;"", DATEDIF($P58,TODAY(),"y"), "")</f>
        <v>24</v>
      </c>
      <c r="P58" s="46">
        <v>37095</v>
      </c>
      <c r="Q58" s="14" t="s">
        <v>36</v>
      </c>
      <c r="R58" s="8" t="s">
        <v>37</v>
      </c>
      <c r="S58" s="107" t="s">
        <v>827</v>
      </c>
      <c r="T58" s="17" t="s">
        <v>828</v>
      </c>
      <c r="U58" s="17" t="s">
        <v>10</v>
      </c>
      <c r="V58" s="17"/>
      <c r="W58" s="21"/>
      <c r="X58" s="21"/>
      <c r="Y58" s="17"/>
      <c r="Z58" s="17"/>
      <c r="AA58" s="17"/>
      <c r="AB58" s="18" t="s">
        <v>1526</v>
      </c>
      <c r="AC58" s="18"/>
      <c r="AD58" s="19"/>
      <c r="AE58" s="32"/>
      <c r="AF58" s="110" t="s">
        <v>1662</v>
      </c>
      <c r="AG58" s="51"/>
      <c r="AH58" s="52"/>
      <c r="AI58" s="52"/>
      <c r="AJ58" s="52"/>
    </row>
    <row r="59" spans="1:36" x14ac:dyDescent="0.25">
      <c r="A59" s="40" t="s">
        <v>225</v>
      </c>
      <c r="B59" s="40" t="s">
        <v>226</v>
      </c>
      <c r="C59" s="42" t="s">
        <v>227</v>
      </c>
      <c r="D59" s="42" t="s">
        <v>226</v>
      </c>
      <c r="E59" s="27" t="str">
        <f>CONCATENATE($C59," ",$D59)</f>
        <v>Jack Duckro</v>
      </c>
      <c r="F59" s="16" t="s">
        <v>228</v>
      </c>
      <c r="G59" s="16" t="s">
        <v>123</v>
      </c>
      <c r="H59" s="16" t="s">
        <v>115</v>
      </c>
      <c r="I59" s="17">
        <v>45420</v>
      </c>
      <c r="J59" s="16" t="str">
        <f>IF($G59&lt;&gt;"",CONCATENATE($G59,", ",$H59," ",$I59),"")</f>
        <v>Dayton, OH 45420</v>
      </c>
      <c r="K59" s="17">
        <v>937</v>
      </c>
      <c r="L59" s="17" t="s">
        <v>229</v>
      </c>
      <c r="M59" s="38" t="s">
        <v>971</v>
      </c>
      <c r="N59" s="38" t="s">
        <v>971</v>
      </c>
      <c r="O59" s="16">
        <f ca="1">IF($P59&lt;&gt;"", DATEDIF($P59,TODAY(),"y"), "")</f>
        <v>26</v>
      </c>
      <c r="P59" s="46">
        <v>36594</v>
      </c>
      <c r="Q59" s="14" t="s">
        <v>38</v>
      </c>
      <c r="R59" s="8"/>
      <c r="S59" s="107" t="s">
        <v>828</v>
      </c>
      <c r="T59" s="17"/>
      <c r="U59" s="17"/>
      <c r="V59" s="17"/>
      <c r="W59" s="21"/>
      <c r="X59" s="21"/>
      <c r="Y59" s="17"/>
      <c r="Z59" s="17"/>
      <c r="AA59" s="17"/>
      <c r="AB59" s="18" t="s">
        <v>1526</v>
      </c>
      <c r="AC59" s="18"/>
      <c r="AD59" s="19"/>
      <c r="AE59" s="32"/>
      <c r="AF59" s="110" t="s">
        <v>1662</v>
      </c>
      <c r="AG59" s="53"/>
      <c r="AH59" s="54"/>
      <c r="AI59" s="54"/>
      <c r="AJ59" s="54"/>
    </row>
    <row r="60" spans="1:36" x14ac:dyDescent="0.25">
      <c r="A60" s="41" t="s">
        <v>1065</v>
      </c>
      <c r="B60" s="41" t="s">
        <v>1230</v>
      </c>
      <c r="C60" s="39" t="s">
        <v>1231</v>
      </c>
      <c r="D60" s="39" t="s">
        <v>1650</v>
      </c>
      <c r="E60" s="27" t="str">
        <f>CONCATENATE($C60," ",$D60)</f>
        <v>Leighton Ellinger</v>
      </c>
      <c r="F60" s="8"/>
      <c r="G60" s="8"/>
      <c r="H60" s="8"/>
      <c r="I60" s="7"/>
      <c r="J60" s="16"/>
      <c r="K60" s="99">
        <v>937</v>
      </c>
      <c r="L60" s="99" t="s">
        <v>1232</v>
      </c>
      <c r="M60" s="39" t="s">
        <v>181</v>
      </c>
      <c r="N60" s="39" t="s">
        <v>116</v>
      </c>
      <c r="O60" s="16">
        <f ca="1">IF($P60&lt;&gt;"", DATEDIF($P60,TODAY(),"y"), "")</f>
        <v>12</v>
      </c>
      <c r="P60" s="47">
        <v>41740</v>
      </c>
      <c r="Q60" s="58" t="s">
        <v>1233</v>
      </c>
      <c r="R60" s="8"/>
      <c r="S60" s="107" t="s">
        <v>826</v>
      </c>
      <c r="T60" s="17" t="s">
        <v>8</v>
      </c>
      <c r="U60" s="17" t="s">
        <v>8</v>
      </c>
      <c r="V60" s="7"/>
      <c r="W60" s="7"/>
      <c r="X60" s="7"/>
      <c r="Y60" s="7"/>
      <c r="Z60" s="7"/>
      <c r="AA60" s="7"/>
      <c r="AB60" s="18" t="s">
        <v>1526</v>
      </c>
      <c r="AC60" s="7"/>
      <c r="AD60" s="8"/>
      <c r="AE60" s="33"/>
      <c r="AF60" s="110" t="s">
        <v>1662</v>
      </c>
      <c r="AG60" s="53"/>
      <c r="AH60" s="54"/>
      <c r="AI60" s="54"/>
      <c r="AJ60" s="54"/>
    </row>
    <row r="61" spans="1:36" x14ac:dyDescent="0.25">
      <c r="A61" s="41" t="s">
        <v>718</v>
      </c>
      <c r="B61" s="41" t="s">
        <v>719</v>
      </c>
      <c r="C61" s="39" t="s">
        <v>720</v>
      </c>
      <c r="D61" s="39" t="s">
        <v>719</v>
      </c>
      <c r="E61" s="27" t="str">
        <f>CONCATENATE($C61," ",$D61)</f>
        <v>Freddie Engle</v>
      </c>
      <c r="F61" s="8" t="s">
        <v>721</v>
      </c>
      <c r="G61" s="8" t="s">
        <v>137</v>
      </c>
      <c r="H61" s="8" t="s">
        <v>115</v>
      </c>
      <c r="I61" s="7">
        <v>45385</v>
      </c>
      <c r="J61" s="16" t="str">
        <f>IF($G61&lt;&gt;"",CONCATENATE($G61,", ",$H61," ",$I61),"")</f>
        <v>Xenia, OH 45385</v>
      </c>
      <c r="K61" s="99">
        <v>937</v>
      </c>
      <c r="L61" s="99" t="s">
        <v>722</v>
      </c>
      <c r="M61" s="39"/>
      <c r="N61" s="39"/>
      <c r="O61" s="16">
        <v>14</v>
      </c>
      <c r="P61" s="47">
        <v>38215</v>
      </c>
      <c r="Q61" s="58" t="s">
        <v>723</v>
      </c>
      <c r="R61" s="59" t="s">
        <v>724</v>
      </c>
      <c r="S61" s="17"/>
      <c r="T61" s="17"/>
      <c r="U61" s="17"/>
      <c r="V61" s="7"/>
      <c r="W61" s="7"/>
      <c r="X61" s="7"/>
      <c r="Y61" s="7"/>
      <c r="Z61" s="7"/>
      <c r="AA61" s="7"/>
      <c r="AB61" s="7"/>
      <c r="AC61" s="7"/>
      <c r="AD61" s="8"/>
      <c r="AE61" s="33"/>
      <c r="AF61" s="110"/>
      <c r="AG61" s="15"/>
    </row>
    <row r="62" spans="1:36" x14ac:dyDescent="0.25">
      <c r="A62" s="41" t="s">
        <v>768</v>
      </c>
      <c r="B62" s="41" t="s">
        <v>767</v>
      </c>
      <c r="C62" s="39" t="s">
        <v>816</v>
      </c>
      <c r="D62" s="39" t="s">
        <v>767</v>
      </c>
      <c r="E62" s="27" t="str">
        <f>CONCATENATE($C62," ",$D62)</f>
        <v>Graham Enneking</v>
      </c>
      <c r="F62" s="8" t="s">
        <v>769</v>
      </c>
      <c r="G62" s="8" t="s">
        <v>393</v>
      </c>
      <c r="H62" s="8" t="s">
        <v>115</v>
      </c>
      <c r="I62" s="7">
        <v>45305</v>
      </c>
      <c r="J62" s="16" t="str">
        <f>IF($G62&lt;&gt;"",CONCATENATE($G62,", ",$H62," ",$I62),"")</f>
        <v>Bellbrook, OH 45305</v>
      </c>
      <c r="K62" s="99">
        <v>937</v>
      </c>
      <c r="L62" s="99" t="s">
        <v>771</v>
      </c>
      <c r="M62" s="39"/>
      <c r="N62" s="39"/>
      <c r="O62" s="16">
        <f ca="1">IF($P62&lt;&gt;"", DATEDIF($P62,TODAY(),"y"), "")</f>
        <v>11</v>
      </c>
      <c r="P62" s="47">
        <v>41919</v>
      </c>
      <c r="Q62" s="58" t="s">
        <v>770</v>
      </c>
      <c r="R62" s="8"/>
      <c r="S62" s="17" t="s">
        <v>824</v>
      </c>
      <c r="T62" s="17" t="s">
        <v>823</v>
      </c>
      <c r="U62" s="17" t="s">
        <v>9</v>
      </c>
      <c r="V62" s="7"/>
      <c r="W62" s="7"/>
      <c r="X62" s="7"/>
      <c r="Y62" s="7"/>
      <c r="Z62" s="7"/>
      <c r="AA62" s="7"/>
      <c r="AB62" s="18"/>
      <c r="AC62" s="7"/>
      <c r="AD62" s="8"/>
      <c r="AE62" s="33"/>
      <c r="AF62" s="110"/>
      <c r="AG62" s="53"/>
      <c r="AH62" s="54"/>
      <c r="AI62" s="54"/>
      <c r="AJ62" s="54"/>
    </row>
    <row r="63" spans="1:36" x14ac:dyDescent="0.25">
      <c r="A63" s="40" t="s">
        <v>230</v>
      </c>
      <c r="B63" s="40" t="s">
        <v>231</v>
      </c>
      <c r="C63" s="42" t="s">
        <v>232</v>
      </c>
      <c r="D63" s="42" t="s">
        <v>231</v>
      </c>
      <c r="E63" s="27" t="str">
        <f>CONCATENATE($C63," ",$D63)</f>
        <v>Jake Everson</v>
      </c>
      <c r="F63" s="16" t="s">
        <v>835</v>
      </c>
      <c r="G63" s="16" t="s">
        <v>143</v>
      </c>
      <c r="H63" s="16" t="s">
        <v>115</v>
      </c>
      <c r="I63" s="17">
        <v>45068</v>
      </c>
      <c r="J63" s="16" t="str">
        <f>IF($G63&lt;&gt;"",CONCATENATE($G63,", ",$H63," ",$I63),"")</f>
        <v>Waynesville, OH 45068</v>
      </c>
      <c r="K63" s="17">
        <v>937</v>
      </c>
      <c r="L63" s="17" t="s">
        <v>233</v>
      </c>
      <c r="M63" s="38" t="s">
        <v>144</v>
      </c>
      <c r="N63" s="38" t="s">
        <v>144</v>
      </c>
      <c r="O63" s="16">
        <f ca="1">IF($P63&lt;&gt;"", DATEDIF($P63,TODAY(),"y"), "")</f>
        <v>29</v>
      </c>
      <c r="P63" s="46">
        <v>35334</v>
      </c>
      <c r="Q63" s="14" t="s">
        <v>39</v>
      </c>
      <c r="R63" s="8" t="s">
        <v>40</v>
      </c>
      <c r="S63" s="107" t="s">
        <v>827</v>
      </c>
      <c r="T63" s="17" t="s">
        <v>834</v>
      </c>
      <c r="U63" s="17" t="s">
        <v>10</v>
      </c>
      <c r="V63" s="17"/>
      <c r="W63" s="21"/>
      <c r="X63" s="21"/>
      <c r="Y63" s="17"/>
      <c r="Z63" s="17"/>
      <c r="AA63" s="17"/>
      <c r="AB63" s="18" t="s">
        <v>1526</v>
      </c>
      <c r="AC63" s="22"/>
      <c r="AD63" s="19"/>
      <c r="AE63" s="32"/>
      <c r="AF63" s="110"/>
    </row>
    <row r="64" spans="1:36" x14ac:dyDescent="0.25">
      <c r="A64" s="41" t="s">
        <v>756</v>
      </c>
      <c r="B64" s="41" t="s">
        <v>755</v>
      </c>
      <c r="C64" s="39" t="s">
        <v>757</v>
      </c>
      <c r="D64" s="39" t="s">
        <v>758</v>
      </c>
      <c r="E64" s="27" t="str">
        <f>CONCATENATE($C64," ",$D64)</f>
        <v>Henry Farrell</v>
      </c>
      <c r="F64" s="8" t="s">
        <v>759</v>
      </c>
      <c r="G64" s="8" t="s">
        <v>125</v>
      </c>
      <c r="H64" s="8" t="s">
        <v>115</v>
      </c>
      <c r="I64" s="7">
        <v>45429</v>
      </c>
      <c r="J64" s="16" t="str">
        <f>IF($G64&lt;&gt;"",CONCATENATE($G64,", ",$H64," ",$I64),"")</f>
        <v>Kettering, OH 45429</v>
      </c>
      <c r="K64" s="99">
        <v>937</v>
      </c>
      <c r="L64" s="99" t="s">
        <v>760</v>
      </c>
      <c r="M64" s="39"/>
      <c r="N64" s="39"/>
      <c r="O64" s="16">
        <f ca="1">IF($P64&lt;&gt;"", DATEDIF($P64,TODAY(),"y"), "")</f>
        <v>15</v>
      </c>
      <c r="P64" s="47">
        <v>40695</v>
      </c>
      <c r="Q64" s="58" t="s">
        <v>761</v>
      </c>
      <c r="R64" s="8"/>
      <c r="S64" s="17" t="s">
        <v>825</v>
      </c>
      <c r="T64" s="17" t="s">
        <v>824</v>
      </c>
      <c r="U64" s="17" t="s">
        <v>8</v>
      </c>
      <c r="V64" s="7"/>
      <c r="W64" s="21"/>
      <c r="X64" s="21"/>
      <c r="Y64" s="17"/>
      <c r="Z64" s="17"/>
      <c r="AA64" s="17"/>
      <c r="AB64" s="18"/>
      <c r="AC64" s="7"/>
      <c r="AD64" s="8"/>
      <c r="AE64" s="33"/>
      <c r="AF64" s="110"/>
      <c r="AG64" s="15"/>
    </row>
    <row r="65" spans="1:36" x14ac:dyDescent="0.25">
      <c r="A65" s="41" t="s">
        <v>1371</v>
      </c>
      <c r="B65" s="41" t="s">
        <v>1372</v>
      </c>
      <c r="C65" s="39" t="s">
        <v>1373</v>
      </c>
      <c r="D65" s="39" t="s">
        <v>1372</v>
      </c>
      <c r="E65" s="27" t="str">
        <f>CONCATENATE($C65," ",$D65)</f>
        <v>Elias Felton</v>
      </c>
      <c r="F65" s="8"/>
      <c r="G65" s="8"/>
      <c r="H65" s="8"/>
      <c r="I65" s="7"/>
      <c r="J65" s="16"/>
      <c r="K65" s="99">
        <v>937</v>
      </c>
      <c r="L65" s="99" t="s">
        <v>1377</v>
      </c>
      <c r="M65" s="39"/>
      <c r="N65" s="39" t="s">
        <v>122</v>
      </c>
      <c r="O65" s="16">
        <f ca="1">IF($P65&lt;&gt;"", DATEDIF($P65,TODAY(),"y"), "")</f>
        <v>6</v>
      </c>
      <c r="P65" s="106">
        <v>43728</v>
      </c>
      <c r="Q65" s="58" t="s">
        <v>1375</v>
      </c>
      <c r="R65" s="8"/>
      <c r="S65" s="17" t="s">
        <v>823</v>
      </c>
      <c r="T65" s="17"/>
      <c r="U65" s="17"/>
      <c r="V65" s="7"/>
      <c r="W65" s="21"/>
      <c r="X65" s="21"/>
      <c r="Y65" s="17"/>
      <c r="Z65" s="17"/>
      <c r="AA65" s="17"/>
      <c r="AB65" s="18"/>
      <c r="AC65" s="18"/>
      <c r="AD65" s="8"/>
      <c r="AE65" s="33"/>
      <c r="AF65" s="110"/>
      <c r="AG65" s="54"/>
      <c r="AH65" s="54"/>
      <c r="AI65" s="54"/>
      <c r="AJ65" s="54"/>
    </row>
    <row r="66" spans="1:36" x14ac:dyDescent="0.25">
      <c r="A66" s="41" t="s">
        <v>1004</v>
      </c>
      <c r="B66" s="41" t="s">
        <v>1374</v>
      </c>
      <c r="C66" s="39" t="s">
        <v>227</v>
      </c>
      <c r="D66" s="39" t="s">
        <v>1374</v>
      </c>
      <c r="E66" s="27" t="str">
        <f>CONCATENATE($C66," ",$D66)</f>
        <v>Jack Ferguson</v>
      </c>
      <c r="F66" s="8"/>
      <c r="G66" s="8"/>
      <c r="H66" s="8"/>
      <c r="I66" s="7"/>
      <c r="J66" s="16"/>
      <c r="K66" s="99">
        <v>937</v>
      </c>
      <c r="L66" s="17" t="s">
        <v>1378</v>
      </c>
      <c r="M66" s="39"/>
      <c r="N66" s="39" t="s">
        <v>122</v>
      </c>
      <c r="O66" s="16">
        <f ca="1">IF($P66&lt;&gt;"", DATEDIF($P66,TODAY(),"y"), "")</f>
        <v>7</v>
      </c>
      <c r="P66" s="106">
        <v>43431</v>
      </c>
      <c r="Q66" s="58" t="s">
        <v>1376</v>
      </c>
      <c r="R66" s="8"/>
      <c r="S66" s="17" t="s">
        <v>823</v>
      </c>
      <c r="T66" s="17"/>
      <c r="U66" s="17"/>
      <c r="V66" s="7"/>
      <c r="W66" s="7"/>
      <c r="X66" s="7"/>
      <c r="Y66" s="7"/>
      <c r="Z66" s="7"/>
      <c r="AA66" s="7"/>
      <c r="AB66" s="7"/>
      <c r="AC66" s="7"/>
      <c r="AD66" s="8"/>
      <c r="AE66" s="33"/>
      <c r="AF66" s="110"/>
      <c r="AG66" s="53"/>
      <c r="AH66" s="54"/>
      <c r="AI66" s="54"/>
      <c r="AJ66" s="54"/>
    </row>
    <row r="67" spans="1:36" x14ac:dyDescent="0.25">
      <c r="A67" s="40" t="s">
        <v>234</v>
      </c>
      <c r="B67" s="40" t="s">
        <v>235</v>
      </c>
      <c r="C67" s="42" t="s">
        <v>236</v>
      </c>
      <c r="D67" s="42" t="s">
        <v>235</v>
      </c>
      <c r="E67" s="27" t="str">
        <f>CONCATENATE($C67," ",$D67)</f>
        <v>Tracie Ferrara</v>
      </c>
      <c r="F67" s="16" t="s">
        <v>237</v>
      </c>
      <c r="G67" s="16" t="s">
        <v>120</v>
      </c>
      <c r="H67" s="16" t="s">
        <v>115</v>
      </c>
      <c r="I67" s="17">
        <v>45342</v>
      </c>
      <c r="J67" s="16" t="str">
        <f>IF($G67&lt;&gt;"",CONCATENATE($G67,", ",$H67," ",$I67),"")</f>
        <v>Miamisburg, OH 45342</v>
      </c>
      <c r="K67" s="17">
        <v>937</v>
      </c>
      <c r="L67" s="17" t="s">
        <v>238</v>
      </c>
      <c r="M67" s="38" t="s">
        <v>971</v>
      </c>
      <c r="N67" s="38" t="s">
        <v>971</v>
      </c>
      <c r="O67" s="16">
        <f ca="1">IF($P67&lt;&gt;"", DATEDIF($P67,TODAY(),"y"), "")</f>
        <v>26</v>
      </c>
      <c r="P67" s="46">
        <v>36409</v>
      </c>
      <c r="Q67" s="14" t="s">
        <v>41</v>
      </c>
      <c r="R67" s="8"/>
      <c r="S67" s="107" t="s">
        <v>826</v>
      </c>
      <c r="T67" s="17"/>
      <c r="U67" s="17" t="s">
        <v>8</v>
      </c>
      <c r="V67" s="17"/>
      <c r="W67" s="21"/>
      <c r="X67" s="21"/>
      <c r="Y67" s="17"/>
      <c r="Z67" s="17"/>
      <c r="AA67" s="17"/>
      <c r="AB67" s="18" t="s">
        <v>1526</v>
      </c>
      <c r="AC67" s="18"/>
      <c r="AD67" s="19"/>
      <c r="AE67" s="32"/>
      <c r="AF67" s="110" t="s">
        <v>1662</v>
      </c>
      <c r="AG67" s="53"/>
      <c r="AH67" s="54"/>
      <c r="AI67" s="54"/>
      <c r="AJ67" s="54"/>
    </row>
    <row r="68" spans="1:36" x14ac:dyDescent="0.25">
      <c r="A68" s="40" t="s">
        <v>1059</v>
      </c>
      <c r="B68" s="40" t="s">
        <v>1060</v>
      </c>
      <c r="C68" s="42" t="s">
        <v>1061</v>
      </c>
      <c r="D68" s="42" t="s">
        <v>1060</v>
      </c>
      <c r="E68" s="27" t="str">
        <f>CONCATENATE($C68," ",$D68)</f>
        <v>Isaiah Fisher</v>
      </c>
      <c r="F68" s="16" t="s">
        <v>1062</v>
      </c>
      <c r="G68" s="16" t="s">
        <v>123</v>
      </c>
      <c r="H68" s="16" t="s">
        <v>115</v>
      </c>
      <c r="I68" s="17">
        <v>45439</v>
      </c>
      <c r="J68" s="16" t="str">
        <f>IF($G68&lt;&gt;"",CONCATENATE($G68,", ",$H68," ",$I68),"")</f>
        <v>Dayton, OH 45439</v>
      </c>
      <c r="K68" s="17">
        <v>937</v>
      </c>
      <c r="L68" s="17" t="s">
        <v>1063</v>
      </c>
      <c r="M68" s="38"/>
      <c r="N68" s="38"/>
      <c r="O68" s="16">
        <f ca="1">IF($P68&lt;&gt;"", DATEDIF($P68,TODAY(),"y"), "")</f>
        <v>16</v>
      </c>
      <c r="P68" s="46">
        <v>40078</v>
      </c>
      <c r="Q68" s="62" t="s">
        <v>1064</v>
      </c>
      <c r="R68" s="8"/>
      <c r="S68" s="17" t="s">
        <v>824</v>
      </c>
      <c r="T68" s="17" t="s">
        <v>824</v>
      </c>
      <c r="U68" s="17" t="s">
        <v>9</v>
      </c>
      <c r="V68" s="17"/>
      <c r="W68" s="17"/>
      <c r="X68" s="17"/>
      <c r="Y68" s="17"/>
      <c r="Z68" s="17"/>
      <c r="AA68" s="17"/>
      <c r="AB68" s="17"/>
      <c r="AC68" s="17"/>
      <c r="AD68" s="16"/>
      <c r="AE68" s="32"/>
      <c r="AF68" s="110"/>
      <c r="AG68" s="53"/>
      <c r="AH68" s="54"/>
      <c r="AI68" s="54"/>
      <c r="AJ68" s="54"/>
    </row>
    <row r="69" spans="1:36" x14ac:dyDescent="0.25">
      <c r="A69" s="40" t="s">
        <v>532</v>
      </c>
      <c r="B69" s="40" t="s">
        <v>533</v>
      </c>
      <c r="C69" s="42" t="s">
        <v>453</v>
      </c>
      <c r="D69" s="42" t="s">
        <v>533</v>
      </c>
      <c r="E69" s="27" t="str">
        <f>CONCATENATE($C69," ",$D69)</f>
        <v>Adam Flowers</v>
      </c>
      <c r="F69" s="16" t="s">
        <v>534</v>
      </c>
      <c r="G69" s="16" t="s">
        <v>114</v>
      </c>
      <c r="H69" s="16" t="s">
        <v>115</v>
      </c>
      <c r="I69" s="17">
        <v>45458</v>
      </c>
      <c r="J69" s="16" t="str">
        <f>IF($G69&lt;&gt;"",CONCATENATE($G69,", ",$H69," ",$I69),"")</f>
        <v>Centerville, OH 45458</v>
      </c>
      <c r="K69" s="17">
        <v>937</v>
      </c>
      <c r="L69" s="17" t="s">
        <v>535</v>
      </c>
      <c r="M69" s="38"/>
      <c r="N69" s="38" t="s">
        <v>144</v>
      </c>
      <c r="O69" s="16">
        <f ca="1">IF($P69&lt;&gt;"", DATEDIF($P69,TODAY(),"y"), "")</f>
        <v>30</v>
      </c>
      <c r="P69" s="46">
        <v>34926</v>
      </c>
      <c r="Q69" s="14" t="s">
        <v>970</v>
      </c>
      <c r="R69" s="8"/>
      <c r="S69" s="17" t="s">
        <v>828</v>
      </c>
      <c r="T69" s="17" t="s">
        <v>1034</v>
      </c>
      <c r="U69" s="17" t="s">
        <v>10</v>
      </c>
      <c r="V69" s="17"/>
      <c r="W69" s="21"/>
      <c r="X69" s="21"/>
      <c r="Y69" s="17"/>
      <c r="Z69" s="17"/>
      <c r="AA69" s="17"/>
      <c r="AB69" s="18"/>
      <c r="AC69" s="17"/>
      <c r="AD69" s="19"/>
      <c r="AE69" s="31"/>
      <c r="AF69" s="110"/>
    </row>
    <row r="70" spans="1:36" x14ac:dyDescent="0.25">
      <c r="A70" s="41" t="s">
        <v>1379</v>
      </c>
      <c r="B70" s="41" t="s">
        <v>1380</v>
      </c>
      <c r="C70" s="39" t="s">
        <v>1381</v>
      </c>
      <c r="D70" s="39" t="s">
        <v>1382</v>
      </c>
      <c r="E70" s="27" t="str">
        <f>CONCATENATE($C70," ",$D70)</f>
        <v>Kaizyr Forgy</v>
      </c>
      <c r="F70" s="8"/>
      <c r="G70" s="8"/>
      <c r="H70" s="8"/>
      <c r="I70" s="7"/>
      <c r="J70" s="16"/>
      <c r="K70" s="99">
        <v>937</v>
      </c>
      <c r="L70" s="99" t="s">
        <v>1384</v>
      </c>
      <c r="M70" s="39"/>
      <c r="N70" s="39" t="s">
        <v>122</v>
      </c>
      <c r="O70" s="16">
        <f ca="1">IF($P70&lt;&gt;"", DATEDIF($P70,TODAY(),"y"), "")</f>
        <v>7</v>
      </c>
      <c r="P70" s="48">
        <v>43368</v>
      </c>
      <c r="Q70" s="61" t="s">
        <v>1383</v>
      </c>
      <c r="R70" s="61"/>
      <c r="S70" s="17" t="s">
        <v>824</v>
      </c>
      <c r="T70" s="17"/>
      <c r="U70" s="17"/>
      <c r="V70" s="7"/>
      <c r="W70" s="7"/>
      <c r="X70" s="7"/>
      <c r="Y70" s="7"/>
      <c r="Z70" s="7"/>
      <c r="AA70" s="7"/>
      <c r="AB70" s="7"/>
      <c r="AC70" s="7"/>
      <c r="AD70" s="8"/>
      <c r="AE70" s="33"/>
      <c r="AF70" s="110"/>
      <c r="AG70" s="53"/>
      <c r="AH70" s="54"/>
      <c r="AI70" s="54"/>
      <c r="AJ70" s="54"/>
    </row>
    <row r="71" spans="1:36" x14ac:dyDescent="0.25">
      <c r="A71" s="40" t="s">
        <v>239</v>
      </c>
      <c r="B71" s="40" t="s">
        <v>240</v>
      </c>
      <c r="C71" s="42" t="s">
        <v>241</v>
      </c>
      <c r="D71" s="42" t="s">
        <v>240</v>
      </c>
      <c r="E71" s="27" t="str">
        <f>CONCATENATE($C71," ",$D71)</f>
        <v>Sarah Forman</v>
      </c>
      <c r="F71" s="16" t="s">
        <v>242</v>
      </c>
      <c r="G71" s="16" t="s">
        <v>123</v>
      </c>
      <c r="H71" s="16" t="s">
        <v>115</v>
      </c>
      <c r="I71" s="17">
        <v>45429</v>
      </c>
      <c r="J71" s="16" t="str">
        <f>IF($G71&lt;&gt;"",CONCATENATE($G71,", ",$H71," ",$I71),"")</f>
        <v>Dayton, OH 45429</v>
      </c>
      <c r="K71" s="17">
        <v>937</v>
      </c>
      <c r="L71" s="17" t="s">
        <v>243</v>
      </c>
      <c r="M71" s="38"/>
      <c r="N71" s="38"/>
      <c r="O71" s="16">
        <f ca="1">IF($P71&lt;&gt;"", DATEDIF($P71,TODAY(),"y"), "")</f>
        <v>29</v>
      </c>
      <c r="P71" s="46">
        <v>35368</v>
      </c>
      <c r="Q71" s="14" t="s">
        <v>42</v>
      </c>
      <c r="R71" s="8" t="s">
        <v>43</v>
      </c>
      <c r="S71" s="17" t="s">
        <v>826</v>
      </c>
      <c r="T71" s="17" t="s">
        <v>826</v>
      </c>
      <c r="U71" s="17" t="s">
        <v>9</v>
      </c>
      <c r="V71" s="17"/>
      <c r="W71" s="21"/>
      <c r="X71" s="21"/>
      <c r="Y71" s="17"/>
      <c r="Z71" s="17"/>
      <c r="AA71" s="17"/>
      <c r="AB71" s="18"/>
      <c r="AC71" s="18"/>
      <c r="AD71" s="19"/>
      <c r="AE71" s="32"/>
      <c r="AF71" s="110"/>
      <c r="AG71" s="53"/>
      <c r="AH71" s="54"/>
      <c r="AI71" s="54"/>
      <c r="AJ71" s="54"/>
    </row>
    <row r="72" spans="1:36" x14ac:dyDescent="0.25">
      <c r="A72" s="40" t="s">
        <v>1065</v>
      </c>
      <c r="B72" s="40" t="s">
        <v>1066</v>
      </c>
      <c r="C72" s="42" t="s">
        <v>620</v>
      </c>
      <c r="D72" s="42" t="s">
        <v>1066</v>
      </c>
      <c r="E72" s="27" t="str">
        <f>CONCATENATE($C72," ",$D72)</f>
        <v>Shawn Frederick</v>
      </c>
      <c r="F72" s="16" t="s">
        <v>1067</v>
      </c>
      <c r="G72" s="16" t="s">
        <v>566</v>
      </c>
      <c r="H72" s="16" t="s">
        <v>115</v>
      </c>
      <c r="I72" s="17">
        <v>45419</v>
      </c>
      <c r="J72" s="16" t="str">
        <f>IF($G72&lt;&gt;"",CONCATENATE($G72,", ",$H72," ",$I72),"")</f>
        <v>Oakwood, OH 45419</v>
      </c>
      <c r="K72" s="17">
        <v>937</v>
      </c>
      <c r="L72" s="17" t="s">
        <v>1068</v>
      </c>
      <c r="M72" s="38"/>
      <c r="N72" s="38"/>
      <c r="O72" s="16">
        <f ca="1">IF($P72&lt;&gt;"", DATEDIF($P72,TODAY(),"y"), "")</f>
        <v>21</v>
      </c>
      <c r="P72" s="46">
        <v>38460</v>
      </c>
      <c r="Q72" s="62" t="s">
        <v>1069</v>
      </c>
      <c r="R72" s="8"/>
      <c r="S72" s="17" t="s">
        <v>834</v>
      </c>
      <c r="T72" s="17" t="s">
        <v>828</v>
      </c>
      <c r="U72" s="17" t="s">
        <v>10</v>
      </c>
      <c r="V72" s="17"/>
      <c r="W72" s="20"/>
      <c r="X72" s="20"/>
      <c r="Y72" s="17"/>
      <c r="Z72" s="17"/>
      <c r="AA72" s="17"/>
      <c r="AB72" s="18"/>
      <c r="AC72" s="18"/>
      <c r="AD72" s="16"/>
      <c r="AE72" s="31"/>
      <c r="AF72" s="110"/>
    </row>
    <row r="73" spans="1:36" x14ac:dyDescent="0.25">
      <c r="A73" s="41" t="s">
        <v>573</v>
      </c>
      <c r="B73" s="41" t="s">
        <v>574</v>
      </c>
      <c r="C73" s="39" t="s">
        <v>257</v>
      </c>
      <c r="D73" s="39" t="s">
        <v>574</v>
      </c>
      <c r="E73" s="27" t="str">
        <f>CONCATENATE($C73," ",$D73)</f>
        <v>Matthew Fry</v>
      </c>
      <c r="F73" s="8" t="s">
        <v>575</v>
      </c>
      <c r="G73" s="8" t="s">
        <v>114</v>
      </c>
      <c r="H73" s="8" t="s">
        <v>115</v>
      </c>
      <c r="I73" s="7">
        <v>45458</v>
      </c>
      <c r="J73" s="16" t="str">
        <f>IF($G73&lt;&gt;"",CONCATENATE($G73,", ",$H73," ",$I73),"")</f>
        <v>Centerville, OH 45458</v>
      </c>
      <c r="K73" s="99">
        <v>937</v>
      </c>
      <c r="L73" s="99" t="s">
        <v>576</v>
      </c>
      <c r="M73" s="66"/>
      <c r="N73" s="66"/>
      <c r="O73" s="16">
        <f ca="1">IF($P73&lt;&gt;"", DATEDIF($P73,TODAY(),"y"), "")</f>
        <v>15</v>
      </c>
      <c r="P73" s="48">
        <v>40547</v>
      </c>
      <c r="Q73" s="8" t="s">
        <v>577</v>
      </c>
      <c r="R73" s="8" t="s">
        <v>578</v>
      </c>
      <c r="S73" s="17"/>
      <c r="T73" s="17"/>
      <c r="U73" s="17"/>
      <c r="V73" s="7"/>
      <c r="W73" s="7"/>
      <c r="X73" s="7"/>
      <c r="Y73" s="7"/>
      <c r="Z73" s="7"/>
      <c r="AA73" s="7"/>
      <c r="AB73" s="7"/>
      <c r="AC73" s="7"/>
      <c r="AD73" s="8"/>
      <c r="AE73" s="33"/>
      <c r="AF73" s="110"/>
    </row>
    <row r="74" spans="1:36" x14ac:dyDescent="0.25">
      <c r="A74" s="40" t="s">
        <v>1610</v>
      </c>
      <c r="B74" s="40" t="s">
        <v>1611</v>
      </c>
      <c r="C74" s="42" t="s">
        <v>1612</v>
      </c>
      <c r="D74" s="42" t="s">
        <v>1613</v>
      </c>
      <c r="E74" s="27" t="str">
        <f>CONCATENATE($C74," ",$D74)</f>
        <v>Blane Gallagher</v>
      </c>
      <c r="F74" s="16"/>
      <c r="G74" s="16"/>
      <c r="H74" s="16"/>
      <c r="I74" s="17"/>
      <c r="J74" s="16"/>
      <c r="K74" s="17">
        <v>740</v>
      </c>
      <c r="L74" s="17" t="s">
        <v>1616</v>
      </c>
      <c r="M74" s="39" t="s">
        <v>144</v>
      </c>
      <c r="N74" s="39"/>
      <c r="O74" s="16">
        <f ca="1">IF($P74&lt;&gt;"", DATEDIF($P74,TODAY(),"y"), "")</f>
        <v>36</v>
      </c>
      <c r="P74" s="46">
        <v>32886</v>
      </c>
      <c r="Q74" s="14" t="s">
        <v>1618</v>
      </c>
      <c r="R74" s="8"/>
      <c r="S74" s="107" t="s">
        <v>827</v>
      </c>
      <c r="T74" s="17"/>
      <c r="U74" s="17"/>
      <c r="V74" s="17"/>
      <c r="W74" s="20"/>
      <c r="X74" s="20"/>
      <c r="Y74" s="17"/>
      <c r="Z74" s="17"/>
      <c r="AA74" s="17"/>
      <c r="AB74" s="18"/>
      <c r="AC74" s="18" t="s">
        <v>1526</v>
      </c>
      <c r="AD74" s="16"/>
      <c r="AE74" s="32"/>
      <c r="AF74" s="110"/>
      <c r="AG74" s="53"/>
      <c r="AH74" s="54"/>
      <c r="AI74" s="54"/>
      <c r="AJ74" s="54"/>
    </row>
    <row r="75" spans="1:36" x14ac:dyDescent="0.25">
      <c r="A75" s="40" t="s">
        <v>244</v>
      </c>
      <c r="B75" s="40" t="s">
        <v>245</v>
      </c>
      <c r="C75" s="42" t="s">
        <v>246</v>
      </c>
      <c r="D75" s="42" t="s">
        <v>245</v>
      </c>
      <c r="E75" s="27" t="str">
        <f>CONCATENATE($C75," ",$D75)</f>
        <v>Julianne Gillespie</v>
      </c>
      <c r="F75" s="16" t="s">
        <v>247</v>
      </c>
      <c r="G75" s="16" t="s">
        <v>125</v>
      </c>
      <c r="H75" s="16" t="s">
        <v>115</v>
      </c>
      <c r="I75" s="17">
        <v>45429</v>
      </c>
      <c r="J75" s="16" t="str">
        <f>IF($G75&lt;&gt;"",CONCATENATE($G75,", ",$H75," ",$I75),"")</f>
        <v>Kettering, OH 45429</v>
      </c>
      <c r="K75" s="17">
        <v>937</v>
      </c>
      <c r="L75" s="17" t="s">
        <v>248</v>
      </c>
      <c r="M75" s="38" t="s">
        <v>102</v>
      </c>
      <c r="N75" s="38" t="s">
        <v>102</v>
      </c>
      <c r="O75" s="16">
        <f ca="1">IF($P75&lt;&gt;"", DATEDIF($P75,TODAY(),"y"), "")</f>
        <v>30</v>
      </c>
      <c r="P75" s="46">
        <v>35231</v>
      </c>
      <c r="Q75" s="14" t="s">
        <v>44</v>
      </c>
      <c r="R75" s="8"/>
      <c r="S75" s="107" t="s">
        <v>826</v>
      </c>
      <c r="T75" s="17"/>
      <c r="U75" s="17"/>
      <c r="V75" s="17"/>
      <c r="W75" s="21"/>
      <c r="X75" s="21"/>
      <c r="Y75" s="17"/>
      <c r="Z75" s="17"/>
      <c r="AA75" s="17"/>
      <c r="AB75" s="18" t="s">
        <v>1526</v>
      </c>
      <c r="AC75" s="18"/>
      <c r="AD75" s="19"/>
      <c r="AE75" s="32"/>
      <c r="AF75" s="110" t="s">
        <v>1662</v>
      </c>
    </row>
    <row r="76" spans="1:36" x14ac:dyDescent="0.25">
      <c r="A76" s="40" t="s">
        <v>249</v>
      </c>
      <c r="B76" s="40" t="s">
        <v>250</v>
      </c>
      <c r="C76" s="42" t="s">
        <v>251</v>
      </c>
      <c r="D76" s="42" t="s">
        <v>250</v>
      </c>
      <c r="E76" s="27" t="str">
        <f>CONCATENATE($C76," ",$D76)</f>
        <v>Avery Gillette</v>
      </c>
      <c r="F76" s="16" t="s">
        <v>252</v>
      </c>
      <c r="G76" s="16" t="s">
        <v>114</v>
      </c>
      <c r="H76" s="16" t="s">
        <v>115</v>
      </c>
      <c r="I76" s="17">
        <v>45459</v>
      </c>
      <c r="J76" s="16" t="str">
        <f>IF($G76&lt;&gt;"",CONCATENATE($G76,", ",$H76," ",$I76),"")</f>
        <v>Centerville, OH 45459</v>
      </c>
      <c r="K76" s="17">
        <v>937</v>
      </c>
      <c r="L76" s="17" t="s">
        <v>253</v>
      </c>
      <c r="M76" s="38" t="s">
        <v>168</v>
      </c>
      <c r="N76" s="38" t="s">
        <v>168</v>
      </c>
      <c r="O76" s="16">
        <f ca="1">IF($P76&lt;&gt;"", DATEDIF($P76,TODAY(),"y"), "")</f>
        <v>18</v>
      </c>
      <c r="P76" s="46">
        <v>39365</v>
      </c>
      <c r="Q76" s="14" t="s">
        <v>45</v>
      </c>
      <c r="R76" s="8" t="s">
        <v>46</v>
      </c>
      <c r="S76" s="107" t="s">
        <v>1321</v>
      </c>
      <c r="T76" s="17" t="s">
        <v>1034</v>
      </c>
      <c r="U76" s="17" t="s">
        <v>1034</v>
      </c>
      <c r="V76" s="17"/>
      <c r="W76" s="17"/>
      <c r="X76" s="17"/>
      <c r="Y76" s="17"/>
      <c r="Z76" s="17"/>
      <c r="AA76" s="17"/>
      <c r="AB76" s="18" t="s">
        <v>1526</v>
      </c>
      <c r="AC76" s="17"/>
      <c r="AD76" s="16"/>
      <c r="AE76" s="32"/>
      <c r="AF76" s="110" t="s">
        <v>1662</v>
      </c>
      <c r="AG76" s="15"/>
    </row>
    <row r="77" spans="1:36" x14ac:dyDescent="0.25">
      <c r="A77" s="41" t="s">
        <v>249</v>
      </c>
      <c r="B77" s="41" t="s">
        <v>250</v>
      </c>
      <c r="C77" s="39" t="s">
        <v>597</v>
      </c>
      <c r="D77" s="39" t="s">
        <v>250</v>
      </c>
      <c r="E77" s="27" t="str">
        <f>CONCATENATE($C77," ",$D77)</f>
        <v>Ella Gillette</v>
      </c>
      <c r="F77" s="8" t="s">
        <v>252</v>
      </c>
      <c r="G77" s="8" t="s">
        <v>114</v>
      </c>
      <c r="H77" s="8" t="s">
        <v>115</v>
      </c>
      <c r="I77" s="7">
        <v>45459</v>
      </c>
      <c r="J77" s="16" t="str">
        <f>IF($G77&lt;&gt;"",CONCATENATE($G77,", ",$H77," ",$I77),"")</f>
        <v>Centerville, OH 45459</v>
      </c>
      <c r="K77" s="99">
        <v>937</v>
      </c>
      <c r="L77" s="99" t="s">
        <v>253</v>
      </c>
      <c r="M77" s="97" t="s">
        <v>116</v>
      </c>
      <c r="N77" s="97" t="s">
        <v>116</v>
      </c>
      <c r="O77" s="16">
        <f ca="1">IF($P77&lt;&gt;"", DATEDIF($P77,TODAY(),"y"), "")</f>
        <v>14</v>
      </c>
      <c r="P77" s="48">
        <v>40993</v>
      </c>
      <c r="Q77" s="8" t="s">
        <v>45</v>
      </c>
      <c r="R77" s="8" t="s">
        <v>46</v>
      </c>
      <c r="S77" s="107" t="s">
        <v>834</v>
      </c>
      <c r="T77" s="17" t="s">
        <v>1298</v>
      </c>
      <c r="U77" s="17" t="s">
        <v>1034</v>
      </c>
      <c r="V77" s="7"/>
      <c r="W77" s="7"/>
      <c r="X77" s="7"/>
      <c r="Y77" s="7"/>
      <c r="Z77" s="7"/>
      <c r="AA77" s="7"/>
      <c r="AB77" s="18" t="s">
        <v>1526</v>
      </c>
      <c r="AC77" s="7"/>
      <c r="AD77" s="8"/>
      <c r="AE77" s="33"/>
      <c r="AF77" s="110" t="s">
        <v>1662</v>
      </c>
      <c r="AG77" s="15"/>
    </row>
    <row r="78" spans="1:36" x14ac:dyDescent="0.25">
      <c r="A78" s="40" t="s">
        <v>249</v>
      </c>
      <c r="B78" s="40" t="s">
        <v>250</v>
      </c>
      <c r="C78" s="42" t="s">
        <v>254</v>
      </c>
      <c r="D78" s="42" t="s">
        <v>250</v>
      </c>
      <c r="E78" s="27" t="str">
        <f>CONCATENATE($C78," ",$D78)</f>
        <v>Killian Gillette</v>
      </c>
      <c r="F78" s="16" t="s">
        <v>252</v>
      </c>
      <c r="G78" s="16" t="s">
        <v>114</v>
      </c>
      <c r="H78" s="16" t="s">
        <v>115</v>
      </c>
      <c r="I78" s="17">
        <v>45459</v>
      </c>
      <c r="J78" s="16" t="str">
        <f>IF($G78&lt;&gt;"",CONCATENATE($G78,", ",$H78," ",$I78),"")</f>
        <v>Centerville, OH 45459</v>
      </c>
      <c r="K78" s="17">
        <v>937</v>
      </c>
      <c r="L78" s="17" t="s">
        <v>253</v>
      </c>
      <c r="M78" s="38" t="s">
        <v>168</v>
      </c>
      <c r="N78" s="38" t="s">
        <v>168</v>
      </c>
      <c r="O78" s="16">
        <f ca="1">IF($P78&lt;&gt;"", DATEDIF($P78,TODAY(),"y"), "")</f>
        <v>20</v>
      </c>
      <c r="P78" s="46">
        <v>38702</v>
      </c>
      <c r="Q78" s="14" t="s">
        <v>45</v>
      </c>
      <c r="R78" t="s">
        <v>46</v>
      </c>
      <c r="S78" s="107" t="s">
        <v>1070</v>
      </c>
      <c r="T78" s="17" t="s">
        <v>1034</v>
      </c>
      <c r="U78" s="17" t="s">
        <v>1034</v>
      </c>
      <c r="V78" s="17"/>
      <c r="W78" s="17"/>
      <c r="X78" s="17"/>
      <c r="Y78" s="17"/>
      <c r="Z78" s="17"/>
      <c r="AA78" s="17"/>
      <c r="AB78" s="18" t="s">
        <v>1526</v>
      </c>
      <c r="AC78" s="17"/>
      <c r="AD78" s="16"/>
      <c r="AE78" s="32"/>
      <c r="AF78" s="110" t="s">
        <v>1662</v>
      </c>
      <c r="AG78" s="15"/>
    </row>
    <row r="79" spans="1:36" x14ac:dyDescent="0.25">
      <c r="A79" s="41" t="s">
        <v>840</v>
      </c>
      <c r="B79" s="41" t="s">
        <v>838</v>
      </c>
      <c r="C79" s="39" t="s">
        <v>837</v>
      </c>
      <c r="D79" s="39" t="s">
        <v>838</v>
      </c>
      <c r="E79" s="27" t="str">
        <f>CONCATENATE($C79," ",$D79)</f>
        <v>Balen Glover</v>
      </c>
      <c r="F79" s="8" t="s">
        <v>841</v>
      </c>
      <c r="G79" s="8" t="s">
        <v>156</v>
      </c>
      <c r="H79" s="8" t="s">
        <v>115</v>
      </c>
      <c r="I79" s="7">
        <v>45005</v>
      </c>
      <c r="J79" s="16" t="str">
        <f>IF($G79&lt;&gt;"",CONCATENATE($G79,", ",$H79," ",$I79),"")</f>
        <v>Carlisle, OH 45005</v>
      </c>
      <c r="K79" s="99">
        <v>937</v>
      </c>
      <c r="L79" s="99" t="s">
        <v>842</v>
      </c>
      <c r="M79" s="39"/>
      <c r="N79" s="39"/>
      <c r="O79" s="16">
        <f ca="1">IF($P79&lt;&gt;"", DATEDIF($P79,TODAY(),"y"), "")</f>
        <v>9</v>
      </c>
      <c r="P79" s="47">
        <v>42709</v>
      </c>
      <c r="Q79" s="58" t="s">
        <v>839</v>
      </c>
      <c r="R79" s="8"/>
      <c r="S79" s="17" t="s">
        <v>823</v>
      </c>
      <c r="T79" s="17" t="s">
        <v>823</v>
      </c>
      <c r="U79" s="17" t="s">
        <v>9</v>
      </c>
      <c r="V79" s="7"/>
      <c r="W79" s="21"/>
      <c r="X79" s="21"/>
      <c r="Y79" s="17"/>
      <c r="Z79" s="17"/>
      <c r="AA79" s="17"/>
      <c r="AB79" s="18"/>
      <c r="AC79" s="7"/>
      <c r="AD79" s="8"/>
      <c r="AE79" s="33"/>
      <c r="AF79" s="110"/>
      <c r="AG79" s="53"/>
      <c r="AH79" s="54"/>
      <c r="AI79" s="54"/>
      <c r="AJ79" s="54"/>
    </row>
    <row r="80" spans="1:36" x14ac:dyDescent="0.25">
      <c r="A80" s="43" t="s">
        <v>978</v>
      </c>
      <c r="B80" s="40" t="s">
        <v>1407</v>
      </c>
      <c r="C80" s="42" t="s">
        <v>546</v>
      </c>
      <c r="D80" s="42" t="s">
        <v>1407</v>
      </c>
      <c r="E80" s="27" t="str">
        <f>CONCATENATE($C80," ",$D80)</f>
        <v>Gabriel Gogel</v>
      </c>
      <c r="F80" s="16"/>
      <c r="G80" s="16"/>
      <c r="H80" s="16"/>
      <c r="I80" s="17"/>
      <c r="J80" s="16"/>
      <c r="K80" s="17">
        <v>812</v>
      </c>
      <c r="L80" s="17" t="s">
        <v>1408</v>
      </c>
      <c r="M80" s="39"/>
      <c r="N80" s="39" t="s">
        <v>122</v>
      </c>
      <c r="O80" s="16">
        <f ca="1">IF($P80&lt;&gt;"", DATEDIF($P80,TODAY(),"y"), "")</f>
        <v>7</v>
      </c>
      <c r="P80" s="46">
        <v>43448</v>
      </c>
      <c r="Q80" s="62" t="s">
        <v>1409</v>
      </c>
      <c r="R80" s="8"/>
      <c r="S80" s="17" t="s">
        <v>823</v>
      </c>
      <c r="T80" s="17"/>
      <c r="U80" s="17"/>
      <c r="V80" s="17"/>
      <c r="W80" s="21"/>
      <c r="X80" s="21"/>
      <c r="Y80" s="17"/>
      <c r="Z80" s="17"/>
      <c r="AA80" s="17"/>
      <c r="AB80" s="23"/>
      <c r="AC80" s="22"/>
      <c r="AD80" s="19"/>
      <c r="AE80" s="31"/>
      <c r="AF80" s="110"/>
    </row>
    <row r="81" spans="1:36" x14ac:dyDescent="0.25">
      <c r="A81" s="40" t="s">
        <v>255</v>
      </c>
      <c r="B81" s="40" t="s">
        <v>256</v>
      </c>
      <c r="C81" s="42" t="s">
        <v>257</v>
      </c>
      <c r="D81" s="42" t="s">
        <v>256</v>
      </c>
      <c r="E81" s="27" t="str">
        <f>CONCATENATE($C81," ",$D81)</f>
        <v>Matthew Greely</v>
      </c>
      <c r="F81" s="16" t="s">
        <v>258</v>
      </c>
      <c r="G81" s="16" t="s">
        <v>120</v>
      </c>
      <c r="H81" s="16" t="s">
        <v>115</v>
      </c>
      <c r="I81" s="17">
        <v>45342</v>
      </c>
      <c r="J81" s="16" t="str">
        <f>IF($G81&lt;&gt;"",CONCATENATE($G81,", ",$H81," ",$I81),"")</f>
        <v>Miamisburg, OH 45342</v>
      </c>
      <c r="K81" s="17">
        <v>937</v>
      </c>
      <c r="L81" s="17" t="s">
        <v>259</v>
      </c>
      <c r="M81" s="38" t="s">
        <v>181</v>
      </c>
      <c r="N81" s="38" t="s">
        <v>181</v>
      </c>
      <c r="O81" s="16">
        <f ca="1">IF($P81&lt;&gt;"", DATEDIF($P81,TODAY(),"y"), "")</f>
        <v>16</v>
      </c>
      <c r="P81" s="46">
        <v>40142</v>
      </c>
      <c r="Q81" s="14" t="s">
        <v>47</v>
      </c>
      <c r="R81" s="61" t="s">
        <v>1283</v>
      </c>
      <c r="S81" s="107" t="s">
        <v>834</v>
      </c>
      <c r="T81" s="17" t="s">
        <v>828</v>
      </c>
      <c r="U81" s="17" t="s">
        <v>10</v>
      </c>
      <c r="V81" s="17"/>
      <c r="W81" s="20"/>
      <c r="X81" s="20"/>
      <c r="Y81" s="17"/>
      <c r="Z81" s="17"/>
      <c r="AA81" s="17"/>
      <c r="AB81" s="18" t="s">
        <v>1526</v>
      </c>
      <c r="AC81" s="22"/>
      <c r="AD81" s="19"/>
      <c r="AE81" s="32"/>
      <c r="AF81" s="110" t="s">
        <v>1662</v>
      </c>
      <c r="AG81" s="53"/>
      <c r="AH81" s="54"/>
      <c r="AI81" s="54"/>
      <c r="AJ81" s="54"/>
    </row>
    <row r="82" spans="1:36" x14ac:dyDescent="0.25">
      <c r="A82" s="41" t="s">
        <v>241</v>
      </c>
      <c r="B82" s="41" t="s">
        <v>844</v>
      </c>
      <c r="C82" s="39" t="s">
        <v>843</v>
      </c>
      <c r="D82" s="39" t="s">
        <v>844</v>
      </c>
      <c r="E82" s="27" t="str">
        <f>CONCATENATE($C82," ",$D82)</f>
        <v>Summer Greenspan</v>
      </c>
      <c r="F82" s="8" t="s">
        <v>845</v>
      </c>
      <c r="G82" s="8" t="s">
        <v>125</v>
      </c>
      <c r="H82" s="8" t="s">
        <v>115</v>
      </c>
      <c r="I82" s="7">
        <v>45429</v>
      </c>
      <c r="J82" s="16" t="str">
        <f>IF($G82&lt;&gt;"",CONCATENATE($G82,", ",$H82," ",$I82),"")</f>
        <v>Kettering, OH 45429</v>
      </c>
      <c r="K82" s="99">
        <v>937</v>
      </c>
      <c r="L82" s="99" t="s">
        <v>846</v>
      </c>
      <c r="M82" s="39"/>
      <c r="N82" s="39"/>
      <c r="O82" s="16">
        <f ca="1">IF($P82&lt;&gt;"", DATEDIF($P82,TODAY(),"y"), "")</f>
        <v>10</v>
      </c>
      <c r="P82" s="47">
        <v>42181</v>
      </c>
      <c r="Q82" s="58" t="s">
        <v>847</v>
      </c>
      <c r="R82" s="8"/>
      <c r="S82" s="17" t="s">
        <v>824</v>
      </c>
      <c r="T82" s="17" t="s">
        <v>824</v>
      </c>
      <c r="U82" s="17" t="s">
        <v>8</v>
      </c>
      <c r="V82" s="7"/>
      <c r="W82" s="21"/>
      <c r="X82" s="21"/>
      <c r="Y82" s="17"/>
      <c r="Z82" s="17"/>
      <c r="AA82" s="17"/>
      <c r="AB82" s="18"/>
      <c r="AC82" s="7"/>
      <c r="AD82" s="8"/>
      <c r="AE82" s="33"/>
      <c r="AF82" s="110"/>
      <c r="AG82" s="15"/>
    </row>
    <row r="83" spans="1:36" x14ac:dyDescent="0.25">
      <c r="A83" s="41" t="s">
        <v>1642</v>
      </c>
      <c r="B83" s="41" t="s">
        <v>1543</v>
      </c>
      <c r="C83" s="39" t="s">
        <v>1542</v>
      </c>
      <c r="D83" s="39" t="s">
        <v>1543</v>
      </c>
      <c r="E83" s="27" t="str">
        <f>CONCATENATE($C83," ",$D83)</f>
        <v>Nora Grimsley</v>
      </c>
      <c r="F83" s="8"/>
      <c r="G83" s="8"/>
      <c r="H83" s="8"/>
      <c r="I83" s="7"/>
      <c r="J83" s="16"/>
      <c r="K83" s="99">
        <v>513</v>
      </c>
      <c r="L83" s="99" t="s">
        <v>1544</v>
      </c>
      <c r="M83" s="39" t="s">
        <v>121</v>
      </c>
      <c r="N83" s="39"/>
      <c r="O83" s="16">
        <f ca="1">IF($P83&lt;&gt;"", DATEDIF($P83,TODAY(),"y"), "")</f>
        <v>10</v>
      </c>
      <c r="P83" s="47">
        <v>42402</v>
      </c>
      <c r="Q83" s="58" t="s">
        <v>1545</v>
      </c>
      <c r="R83" s="59"/>
      <c r="S83" s="111" t="s">
        <v>824</v>
      </c>
      <c r="T83" s="7"/>
      <c r="U83" s="7"/>
      <c r="V83" s="7"/>
      <c r="W83" s="7"/>
      <c r="X83" s="7"/>
      <c r="Y83" s="7"/>
      <c r="Z83" s="7"/>
      <c r="AA83" s="7"/>
      <c r="AB83" s="7" t="s">
        <v>1526</v>
      </c>
      <c r="AC83" s="7"/>
      <c r="AD83" s="8"/>
      <c r="AE83" s="33"/>
      <c r="AF83" s="110" t="s">
        <v>1663</v>
      </c>
      <c r="AG83" s="15"/>
    </row>
    <row r="84" spans="1:36" x14ac:dyDescent="0.25">
      <c r="A84" s="41" t="s">
        <v>926</v>
      </c>
      <c r="B84" s="41" t="s">
        <v>925</v>
      </c>
      <c r="C84" s="39" t="s">
        <v>117</v>
      </c>
      <c r="D84" s="39" t="s">
        <v>925</v>
      </c>
      <c r="E84" s="27" t="str">
        <f>CONCATENATE($C84," ",$D84)</f>
        <v>Tyler Gustafson</v>
      </c>
      <c r="F84" s="8" t="s">
        <v>927</v>
      </c>
      <c r="G84" s="8" t="s">
        <v>154</v>
      </c>
      <c r="H84" s="8" t="s">
        <v>115</v>
      </c>
      <c r="I84" s="7">
        <v>45431</v>
      </c>
      <c r="J84" s="16" t="str">
        <f>IF($G84&lt;&gt;"",CONCATENATE($G84,", ",$H84," ",$I84),"")</f>
        <v>Beavercreek, OH 45431</v>
      </c>
      <c r="K84" s="99">
        <v>208</v>
      </c>
      <c r="L84" s="99" t="s">
        <v>928</v>
      </c>
      <c r="M84" s="39"/>
      <c r="N84" s="39"/>
      <c r="O84" s="16">
        <f ca="1">IF($P84&lt;&gt;"", DATEDIF($P84,TODAY(),"y"), "")</f>
        <v>23</v>
      </c>
      <c r="P84" s="47">
        <v>37638</v>
      </c>
      <c r="Q84" s="58" t="s">
        <v>968</v>
      </c>
      <c r="R84" s="8"/>
      <c r="S84" s="17"/>
      <c r="T84" s="17"/>
      <c r="U84" s="17"/>
      <c r="V84" s="7"/>
      <c r="W84" s="7"/>
      <c r="X84" s="7"/>
      <c r="Y84" s="7"/>
      <c r="Z84" s="7"/>
      <c r="AA84" s="7"/>
      <c r="AB84" s="7"/>
      <c r="AC84" s="7"/>
      <c r="AD84" s="8"/>
      <c r="AE84" s="33"/>
      <c r="AF84" s="110"/>
    </row>
    <row r="85" spans="1:36" x14ac:dyDescent="0.25">
      <c r="A85" s="40" t="s">
        <v>1016</v>
      </c>
      <c r="B85" s="40" t="s">
        <v>1017</v>
      </c>
      <c r="C85" s="42" t="s">
        <v>1018</v>
      </c>
      <c r="D85" s="42" t="s">
        <v>1019</v>
      </c>
      <c r="E85" s="27" t="str">
        <f>CONCATENATE($C85," ",$D85)</f>
        <v>Zayn Hahn</v>
      </c>
      <c r="F85" s="16" t="s">
        <v>1020</v>
      </c>
      <c r="G85" s="16" t="s">
        <v>123</v>
      </c>
      <c r="H85" s="16" t="s">
        <v>115</v>
      </c>
      <c r="I85" s="17">
        <v>45424</v>
      </c>
      <c r="J85" s="16" t="str">
        <f>IF($G85&lt;&gt;"",CONCATENATE($G85,", ",$H85," ",$I85),"")</f>
        <v>Dayton, OH 45424</v>
      </c>
      <c r="K85" s="17">
        <v>937</v>
      </c>
      <c r="L85" s="17" t="s">
        <v>1021</v>
      </c>
      <c r="M85" s="38" t="s">
        <v>121</v>
      </c>
      <c r="N85" s="38" t="s">
        <v>121</v>
      </c>
      <c r="O85" s="16">
        <f ca="1">IF($P85&lt;&gt;"", DATEDIF($P85,TODAY(),"y"), "")</f>
        <v>10</v>
      </c>
      <c r="P85" s="46">
        <v>42369</v>
      </c>
      <c r="Q85" s="62" t="s">
        <v>1022</v>
      </c>
      <c r="R85" s="8"/>
      <c r="S85" s="107" t="s">
        <v>824</v>
      </c>
      <c r="T85" s="17" t="s">
        <v>823</v>
      </c>
      <c r="U85" s="17" t="s">
        <v>9</v>
      </c>
      <c r="V85" s="17"/>
      <c r="W85" s="21"/>
      <c r="X85" s="21"/>
      <c r="Y85" s="17"/>
      <c r="Z85" s="17"/>
      <c r="AA85" s="17"/>
      <c r="AB85" s="7" t="s">
        <v>1526</v>
      </c>
      <c r="AC85" s="18"/>
      <c r="AD85" s="16"/>
      <c r="AE85" s="32"/>
      <c r="AF85" s="110" t="s">
        <v>1662</v>
      </c>
      <c r="AG85" s="15"/>
    </row>
    <row r="86" spans="1:36" x14ac:dyDescent="0.25">
      <c r="A86" s="41" t="s">
        <v>1348</v>
      </c>
      <c r="B86" s="41" t="s">
        <v>1079</v>
      </c>
      <c r="C86" s="39" t="s">
        <v>1349</v>
      </c>
      <c r="D86" s="39" t="s">
        <v>1350</v>
      </c>
      <c r="E86" s="27" t="str">
        <f>CONCATENATE($C86," ",$D86)</f>
        <v>Myron Hall</v>
      </c>
      <c r="F86" s="8"/>
      <c r="G86" s="8"/>
      <c r="H86" s="8"/>
      <c r="I86" s="7"/>
      <c r="J86" s="16"/>
      <c r="K86" s="99">
        <v>937</v>
      </c>
      <c r="L86" s="99" t="s">
        <v>1351</v>
      </c>
      <c r="M86" s="39"/>
      <c r="N86" s="39"/>
      <c r="O86" s="16">
        <f ca="1">IF($P86&lt;&gt;"", DATEDIF($P86,TODAY(),"y"), "")</f>
        <v>25</v>
      </c>
      <c r="P86" s="47">
        <v>36833</v>
      </c>
      <c r="Q86" s="58" t="s">
        <v>1352</v>
      </c>
      <c r="R86" s="8"/>
      <c r="S86" s="17" t="s">
        <v>827</v>
      </c>
      <c r="T86" s="17" t="s">
        <v>834</v>
      </c>
      <c r="U86" s="17" t="s">
        <v>10</v>
      </c>
      <c r="V86" s="7"/>
      <c r="W86" s="7"/>
      <c r="X86" s="7"/>
      <c r="Y86" s="7"/>
      <c r="Z86" s="7"/>
      <c r="AA86" s="7"/>
      <c r="AB86" s="7"/>
      <c r="AC86" s="7"/>
      <c r="AD86" s="8"/>
      <c r="AE86" s="33"/>
      <c r="AF86" s="110"/>
      <c r="AG86" s="15"/>
    </row>
    <row r="87" spans="1:36" x14ac:dyDescent="0.25">
      <c r="A87" s="40" t="s">
        <v>260</v>
      </c>
      <c r="B87" s="40" t="s">
        <v>261</v>
      </c>
      <c r="C87" s="42" t="s">
        <v>262</v>
      </c>
      <c r="D87" s="42" t="s">
        <v>263</v>
      </c>
      <c r="E87" s="27" t="str">
        <f>CONCATENATE($C87," ",$D87)</f>
        <v>Alicia Hanna</v>
      </c>
      <c r="F87" s="16" t="s">
        <v>916</v>
      </c>
      <c r="G87" s="16" t="s">
        <v>917</v>
      </c>
      <c r="H87" s="16" t="s">
        <v>918</v>
      </c>
      <c r="I87" s="17">
        <v>33933</v>
      </c>
      <c r="J87" s="16" t="str">
        <f>IF($G87&lt;&gt;"",CONCATENATE($G87,", ",$H87," ",$I87),"")</f>
        <v>Matlacha, FL 33933</v>
      </c>
      <c r="K87" s="17">
        <v>937</v>
      </c>
      <c r="L87" s="17" t="s">
        <v>264</v>
      </c>
      <c r="M87" s="38"/>
      <c r="N87" s="38"/>
      <c r="O87" s="16">
        <f ca="1">IF($P87&lt;&gt;"", DATEDIF($P87,TODAY(),"y"), "")</f>
        <v>37</v>
      </c>
      <c r="P87" s="46">
        <v>32637</v>
      </c>
      <c r="Q87" s="14" t="s">
        <v>48</v>
      </c>
      <c r="R87" s="8"/>
      <c r="S87" s="17"/>
      <c r="T87" s="17"/>
      <c r="U87" s="17"/>
      <c r="V87" s="17"/>
      <c r="W87" s="17"/>
      <c r="X87" s="17"/>
      <c r="Y87" s="17"/>
      <c r="Z87" s="18"/>
      <c r="AA87" s="18"/>
      <c r="AB87" s="17"/>
      <c r="AC87" s="17"/>
      <c r="AD87" s="19"/>
      <c r="AE87" s="32"/>
      <c r="AF87" s="110"/>
      <c r="AG87" s="15"/>
    </row>
    <row r="88" spans="1:36" x14ac:dyDescent="0.25">
      <c r="A88" s="41" t="s">
        <v>579</v>
      </c>
      <c r="B88" s="41" t="s">
        <v>580</v>
      </c>
      <c r="C88" s="39" t="s">
        <v>581</v>
      </c>
      <c r="D88" s="39" t="s">
        <v>580</v>
      </c>
      <c r="E88" s="27" t="str">
        <f>CONCATENATE($C88," ",$D88)</f>
        <v>Gavin Hardy</v>
      </c>
      <c r="F88" s="8" t="s">
        <v>582</v>
      </c>
      <c r="G88" s="8" t="s">
        <v>432</v>
      </c>
      <c r="H88" s="8" t="s">
        <v>115</v>
      </c>
      <c r="I88" s="7">
        <v>45449</v>
      </c>
      <c r="J88" s="16" t="str">
        <f>IF($G88&lt;&gt;"",CONCATENATE($G88,", ",$H88," ",$I88),"")</f>
        <v>West Carrollton, OH 45449</v>
      </c>
      <c r="K88" s="99">
        <v>937</v>
      </c>
      <c r="L88" s="99" t="s">
        <v>583</v>
      </c>
      <c r="M88" s="68"/>
      <c r="N88" s="68"/>
      <c r="O88" s="16">
        <f ca="1">IF($P88&lt;&gt;"", DATEDIF($P88,TODAY(),"y"), "")</f>
        <v>19</v>
      </c>
      <c r="P88" s="48">
        <v>39133</v>
      </c>
      <c r="Q88" s="8" t="s">
        <v>584</v>
      </c>
      <c r="R88" s="8"/>
      <c r="S88" s="17"/>
      <c r="T88" s="17"/>
      <c r="U88" s="17"/>
      <c r="V88" s="7"/>
      <c r="W88" s="7"/>
      <c r="X88" s="7"/>
      <c r="Y88" s="7"/>
      <c r="Z88" s="7"/>
      <c r="AA88" s="7"/>
      <c r="AB88" s="7"/>
      <c r="AC88" s="7"/>
      <c r="AD88" s="8"/>
      <c r="AE88" s="33"/>
      <c r="AF88" s="110"/>
      <c r="AG88" s="15"/>
    </row>
    <row r="89" spans="1:36" x14ac:dyDescent="0.25">
      <c r="A89" s="41" t="s">
        <v>711</v>
      </c>
      <c r="B89" s="41" t="s">
        <v>717</v>
      </c>
      <c r="C89" s="39" t="s">
        <v>536</v>
      </c>
      <c r="D89" s="39" t="s">
        <v>712</v>
      </c>
      <c r="E89" s="27" t="str">
        <f>CONCATENATE($C89," ",$D89)</f>
        <v>Marilyn Hatfield</v>
      </c>
      <c r="F89" s="8" t="s">
        <v>713</v>
      </c>
      <c r="G89" s="8" t="s">
        <v>714</v>
      </c>
      <c r="H89" s="8" t="s">
        <v>115</v>
      </c>
      <c r="I89" s="7">
        <v>45177</v>
      </c>
      <c r="J89" s="16" t="str">
        <f>IF($G89&lt;&gt;"",CONCATENATE($G89,", ",$H89," ",$I89),"")</f>
        <v>Wilmington, OH 45177</v>
      </c>
      <c r="K89" s="99">
        <v>937</v>
      </c>
      <c r="L89" s="99" t="s">
        <v>715</v>
      </c>
      <c r="M89" s="39"/>
      <c r="N89" s="39" t="s">
        <v>116</v>
      </c>
      <c r="O89" s="16">
        <v>12</v>
      </c>
      <c r="P89" s="47">
        <v>38889</v>
      </c>
      <c r="Q89" s="58" t="s">
        <v>716</v>
      </c>
      <c r="R89" s="8"/>
      <c r="S89" s="17" t="s">
        <v>834</v>
      </c>
      <c r="T89" s="17" t="s">
        <v>1034</v>
      </c>
      <c r="U89" s="17" t="s">
        <v>1034</v>
      </c>
      <c r="V89" s="7"/>
      <c r="W89" s="21"/>
      <c r="X89" s="21"/>
      <c r="Y89" s="17"/>
      <c r="Z89" s="17"/>
      <c r="AA89" s="17"/>
      <c r="AB89" s="18"/>
      <c r="AC89" s="7"/>
      <c r="AD89" s="8"/>
      <c r="AE89" s="33"/>
      <c r="AF89" s="110"/>
      <c r="AG89" s="15"/>
    </row>
    <row r="90" spans="1:36" x14ac:dyDescent="0.25">
      <c r="A90" s="41" t="s">
        <v>613</v>
      </c>
      <c r="B90" s="41" t="s">
        <v>614</v>
      </c>
      <c r="C90" s="39" t="s">
        <v>615</v>
      </c>
      <c r="D90" s="39" t="s">
        <v>614</v>
      </c>
      <c r="E90" s="27" t="str">
        <f>CONCATENATE($C90," ",$D90)</f>
        <v>Neil Heller</v>
      </c>
      <c r="F90" s="8" t="s">
        <v>616</v>
      </c>
      <c r="G90" s="8" t="s">
        <v>125</v>
      </c>
      <c r="H90" s="8" t="s">
        <v>115</v>
      </c>
      <c r="I90" s="7">
        <v>45429</v>
      </c>
      <c r="J90" s="16" t="str">
        <f>IF($G90&lt;&gt;"",CONCATENATE($G90,", ",$H90," ",$I90),"")</f>
        <v>Kettering, OH 45429</v>
      </c>
      <c r="K90" s="99">
        <v>937</v>
      </c>
      <c r="L90" s="99" t="s">
        <v>617</v>
      </c>
      <c r="M90" s="97" t="s">
        <v>102</v>
      </c>
      <c r="N90" s="97" t="s">
        <v>102</v>
      </c>
      <c r="O90" s="16">
        <f ca="1">IF($P90&lt;&gt;"", DATEDIF($P90,TODAY(),"y"), "")</f>
        <v>13</v>
      </c>
      <c r="P90" s="48">
        <v>41124</v>
      </c>
      <c r="Q90" s="8" t="s">
        <v>618</v>
      </c>
      <c r="R90" s="8"/>
      <c r="S90" s="107" t="s">
        <v>817</v>
      </c>
      <c r="T90" s="17" t="s">
        <v>824</v>
      </c>
      <c r="U90" s="17" t="s">
        <v>9</v>
      </c>
      <c r="V90" s="7"/>
      <c r="W90" s="21"/>
      <c r="X90" s="21"/>
      <c r="Y90" s="17"/>
      <c r="Z90" s="17"/>
      <c r="AA90" s="17"/>
      <c r="AB90" s="18" t="s">
        <v>1526</v>
      </c>
      <c r="AC90" s="7"/>
      <c r="AD90" s="8"/>
      <c r="AE90" s="33"/>
      <c r="AF90" s="110" t="s">
        <v>1662</v>
      </c>
      <c r="AG90" s="15"/>
    </row>
    <row r="91" spans="1:36" x14ac:dyDescent="0.25">
      <c r="A91" s="40" t="s">
        <v>265</v>
      </c>
      <c r="B91" s="40" t="s">
        <v>266</v>
      </c>
      <c r="C91" s="42" t="s">
        <v>267</v>
      </c>
      <c r="D91" s="42" t="s">
        <v>266</v>
      </c>
      <c r="E91" s="27" t="str">
        <f>CONCATENATE($C91," ",$D91)</f>
        <v>Cody Heyne</v>
      </c>
      <c r="F91" s="16" t="s">
        <v>268</v>
      </c>
      <c r="G91" s="16" t="s">
        <v>114</v>
      </c>
      <c r="H91" s="16" t="s">
        <v>115</v>
      </c>
      <c r="I91" s="17">
        <v>45458</v>
      </c>
      <c r="J91" s="16" t="str">
        <f>IF($G91&lt;&gt;"",CONCATENATE($G91,", ",$H91," ",$I91),"")</f>
        <v>Centerville, OH 45458</v>
      </c>
      <c r="K91" s="17">
        <v>937</v>
      </c>
      <c r="L91" s="17" t="s">
        <v>269</v>
      </c>
      <c r="M91" s="38" t="s">
        <v>971</v>
      </c>
      <c r="N91" s="38" t="s">
        <v>971</v>
      </c>
      <c r="O91" s="16">
        <f ca="1">IF($P91&lt;&gt;"", DATEDIF($P91,TODAY(),"y"), "")</f>
        <v>26</v>
      </c>
      <c r="P91" s="46">
        <v>36335</v>
      </c>
      <c r="Q91" s="14" t="s">
        <v>49</v>
      </c>
      <c r="R91" s="8" t="s">
        <v>50</v>
      </c>
      <c r="S91" s="107" t="s">
        <v>828</v>
      </c>
      <c r="T91" s="17"/>
      <c r="U91" s="17"/>
      <c r="V91" s="17"/>
      <c r="W91" s="21"/>
      <c r="X91" s="21"/>
      <c r="Y91" s="17"/>
      <c r="Z91" s="17"/>
      <c r="AA91" s="17"/>
      <c r="AB91" s="18" t="s">
        <v>1526</v>
      </c>
      <c r="AC91" s="18"/>
      <c r="AD91" s="16"/>
      <c r="AE91" s="31"/>
      <c r="AF91" s="110" t="s">
        <v>1662</v>
      </c>
      <c r="AG91" s="15"/>
    </row>
    <row r="92" spans="1:36" x14ac:dyDescent="0.25">
      <c r="A92" s="40" t="s">
        <v>265</v>
      </c>
      <c r="B92" s="40" t="s">
        <v>266</v>
      </c>
      <c r="C92" s="42" t="s">
        <v>270</v>
      </c>
      <c r="D92" s="42" t="s">
        <v>266</v>
      </c>
      <c r="E92" s="27" t="str">
        <f>CONCATENATE($C92," ",$D92)</f>
        <v>Michael Heyne</v>
      </c>
      <c r="F92" s="16" t="s">
        <v>268</v>
      </c>
      <c r="G92" s="16" t="s">
        <v>114</v>
      </c>
      <c r="H92" s="16" t="s">
        <v>115</v>
      </c>
      <c r="I92" s="17">
        <v>45458</v>
      </c>
      <c r="J92" s="16" t="str">
        <f>IF($G92&lt;&gt;"",CONCATENATE($G92,", ",$H92," ",$I92),"")</f>
        <v>Centerville, OH 45458</v>
      </c>
      <c r="K92" s="17">
        <v>937</v>
      </c>
      <c r="L92" s="17" t="s">
        <v>269</v>
      </c>
      <c r="M92" s="38" t="s">
        <v>971</v>
      </c>
      <c r="N92" s="38" t="s">
        <v>971</v>
      </c>
      <c r="O92" s="16">
        <f ca="1">IF($P92&lt;&gt;"", DATEDIF($P92,TODAY(),"y"), "")</f>
        <v>26</v>
      </c>
      <c r="P92" s="46">
        <v>36335</v>
      </c>
      <c r="Q92" s="14" t="s">
        <v>49</v>
      </c>
      <c r="R92" s="8" t="s">
        <v>50</v>
      </c>
      <c r="S92" s="107" t="s">
        <v>834</v>
      </c>
      <c r="T92" s="17"/>
      <c r="U92" s="17"/>
      <c r="V92" s="17"/>
      <c r="W92" s="21"/>
      <c r="X92" s="21"/>
      <c r="Y92" s="17"/>
      <c r="Z92" s="17"/>
      <c r="AA92" s="17"/>
      <c r="AB92" s="18" t="s">
        <v>1526</v>
      </c>
      <c r="AC92" s="18"/>
      <c r="AD92" s="16"/>
      <c r="AE92" s="32"/>
      <c r="AF92" s="110" t="s">
        <v>1662</v>
      </c>
      <c r="AG92" s="53"/>
      <c r="AH92" s="54"/>
      <c r="AI92" s="54"/>
      <c r="AJ92" s="54"/>
    </row>
    <row r="93" spans="1:36" x14ac:dyDescent="0.25">
      <c r="A93" s="40" t="s">
        <v>265</v>
      </c>
      <c r="B93" s="40" t="s">
        <v>266</v>
      </c>
      <c r="C93" s="42" t="s">
        <v>271</v>
      </c>
      <c r="D93" s="42" t="s">
        <v>266</v>
      </c>
      <c r="E93" s="27" t="str">
        <f>CONCATENATE($C93," ",$D93)</f>
        <v>Nicolas Heyne</v>
      </c>
      <c r="F93" s="16" t="s">
        <v>268</v>
      </c>
      <c r="G93" s="16" t="s">
        <v>114</v>
      </c>
      <c r="H93" s="16" t="s">
        <v>115</v>
      </c>
      <c r="I93" s="17">
        <v>45458</v>
      </c>
      <c r="J93" s="16" t="str">
        <f>IF($G93&lt;&gt;"",CONCATENATE($G93,", ",$H93," ",$I93),"")</f>
        <v>Centerville, OH 45458</v>
      </c>
      <c r="K93" s="17">
        <v>937</v>
      </c>
      <c r="L93" s="17" t="s">
        <v>269</v>
      </c>
      <c r="M93" s="38" t="s">
        <v>116</v>
      </c>
      <c r="N93" s="38" t="s">
        <v>116</v>
      </c>
      <c r="O93" s="16">
        <f ca="1">IF($P93&lt;&gt;"", DATEDIF($P93,TODAY(),"y"), "")</f>
        <v>14</v>
      </c>
      <c r="P93" s="46">
        <v>40843</v>
      </c>
      <c r="Q93" s="14" t="s">
        <v>49</v>
      </c>
      <c r="R93" s="8" t="s">
        <v>50</v>
      </c>
      <c r="S93" s="107" t="s">
        <v>1418</v>
      </c>
      <c r="T93" s="17"/>
      <c r="U93" s="17"/>
      <c r="V93" s="17"/>
      <c r="W93" s="21"/>
      <c r="X93" s="21"/>
      <c r="Y93" s="17"/>
      <c r="Z93" s="17"/>
      <c r="AA93" s="17"/>
      <c r="AB93" s="18" t="s">
        <v>1526</v>
      </c>
      <c r="AC93" s="18"/>
      <c r="AD93" s="16"/>
      <c r="AE93" s="32"/>
      <c r="AF93" s="110" t="s">
        <v>1662</v>
      </c>
      <c r="AG93" s="53"/>
      <c r="AH93" s="54"/>
      <c r="AI93" s="54"/>
      <c r="AJ93" s="54"/>
    </row>
    <row r="94" spans="1:36" x14ac:dyDescent="0.25">
      <c r="A94" s="41" t="s">
        <v>840</v>
      </c>
      <c r="B94" s="41" t="s">
        <v>1614</v>
      </c>
      <c r="C94" s="39" t="s">
        <v>174</v>
      </c>
      <c r="D94" s="39" t="s">
        <v>1615</v>
      </c>
      <c r="E94" s="27" t="str">
        <f>CONCATENATE($C94," ",$D94)</f>
        <v>Alexander Holecek</v>
      </c>
      <c r="F94" s="8"/>
      <c r="G94" s="8"/>
      <c r="H94" s="8"/>
      <c r="I94" s="7"/>
      <c r="J94" s="16"/>
      <c r="K94" s="99">
        <v>608</v>
      </c>
      <c r="L94" s="99" t="s">
        <v>1617</v>
      </c>
      <c r="M94" s="39" t="s">
        <v>181</v>
      </c>
      <c r="N94" s="38"/>
      <c r="O94" s="16">
        <f ca="1">IF($P94&lt;&gt;"", DATEDIF($P94,TODAY(),"y"), "")</f>
        <v>19</v>
      </c>
      <c r="P94" s="47">
        <v>39026</v>
      </c>
      <c r="Q94" s="58" t="s">
        <v>1619</v>
      </c>
      <c r="R94" s="59"/>
      <c r="S94" s="111" t="s">
        <v>817</v>
      </c>
      <c r="T94" s="7"/>
      <c r="U94" s="7"/>
      <c r="V94" s="7"/>
      <c r="W94" s="7"/>
      <c r="X94" s="7"/>
      <c r="Y94" s="7"/>
      <c r="Z94" s="7"/>
      <c r="AA94" s="7"/>
      <c r="AB94" s="7" t="s">
        <v>1526</v>
      </c>
      <c r="AC94" s="7"/>
      <c r="AD94" s="8"/>
      <c r="AE94" s="33"/>
      <c r="AF94" s="110" t="s">
        <v>1662</v>
      </c>
      <c r="AG94" s="53"/>
      <c r="AH94" s="54"/>
      <c r="AI94" s="54"/>
      <c r="AJ94" s="54"/>
    </row>
    <row r="95" spans="1:36" x14ac:dyDescent="0.25">
      <c r="A95" s="40" t="s">
        <v>997</v>
      </c>
      <c r="B95" s="40" t="s">
        <v>998</v>
      </c>
      <c r="C95" s="42" t="s">
        <v>999</v>
      </c>
      <c r="D95" s="42" t="s">
        <v>998</v>
      </c>
      <c r="E95" s="27" t="str">
        <f>CONCATENATE($C95," ",$D95)</f>
        <v>Kenley Holtz</v>
      </c>
      <c r="F95" s="16" t="s">
        <v>1000</v>
      </c>
      <c r="G95" s="16" t="s">
        <v>114</v>
      </c>
      <c r="H95" s="16" t="s">
        <v>115</v>
      </c>
      <c r="I95" s="17">
        <v>45459</v>
      </c>
      <c r="J95" s="16" t="str">
        <f>IF($G95&lt;&gt;"",CONCATENATE($G95,", ",$H95," ",$I95),"")</f>
        <v>Centerville, OH 45459</v>
      </c>
      <c r="K95" s="17">
        <v>937</v>
      </c>
      <c r="L95" s="17" t="s">
        <v>1001</v>
      </c>
      <c r="M95" s="38" t="s">
        <v>116</v>
      </c>
      <c r="N95" s="38" t="s">
        <v>121</v>
      </c>
      <c r="O95" s="16">
        <f ca="1">IF($P95&lt;&gt;"", DATEDIF($P95,TODAY(),"y"), "")</f>
        <v>11</v>
      </c>
      <c r="P95" s="46">
        <v>41890</v>
      </c>
      <c r="Q95" s="62" t="s">
        <v>1002</v>
      </c>
      <c r="R95" s="8"/>
      <c r="S95" s="107" t="s">
        <v>824</v>
      </c>
      <c r="T95" s="17" t="s">
        <v>824</v>
      </c>
      <c r="U95" s="17" t="s">
        <v>9</v>
      </c>
      <c r="V95" s="17"/>
      <c r="W95" s="21"/>
      <c r="X95" s="21"/>
      <c r="Y95" s="17"/>
      <c r="Z95" s="17"/>
      <c r="AA95" s="17"/>
      <c r="AB95" s="18" t="s">
        <v>1526</v>
      </c>
      <c r="AC95" s="18"/>
      <c r="AD95" s="19"/>
      <c r="AE95" s="32"/>
      <c r="AF95" s="110" t="s">
        <v>1662</v>
      </c>
      <c r="AG95" s="53"/>
      <c r="AH95" s="54"/>
      <c r="AI95" s="54"/>
      <c r="AJ95" s="54"/>
    </row>
    <row r="96" spans="1:36" x14ac:dyDescent="0.25">
      <c r="A96" s="40" t="s">
        <v>990</v>
      </c>
      <c r="B96" s="40" t="s">
        <v>991</v>
      </c>
      <c r="C96" s="42" t="s">
        <v>992</v>
      </c>
      <c r="D96" s="42" t="s">
        <v>993</v>
      </c>
      <c r="E96" s="27" t="str">
        <f>CONCATENATE($C96," ",$D96)</f>
        <v>Carlee Honius</v>
      </c>
      <c r="F96" s="16" t="s">
        <v>994</v>
      </c>
      <c r="G96" s="16" t="s">
        <v>120</v>
      </c>
      <c r="H96" s="16" t="s">
        <v>115</v>
      </c>
      <c r="I96" s="17">
        <v>45342</v>
      </c>
      <c r="J96" s="16" t="str">
        <f>IF($G96&lt;&gt;"",CONCATENATE($G96,", ",$H96," ",$I96),"")</f>
        <v>Miamisburg, OH 45342</v>
      </c>
      <c r="K96" s="17">
        <v>937</v>
      </c>
      <c r="L96" s="17" t="s">
        <v>995</v>
      </c>
      <c r="M96" s="38"/>
      <c r="N96" s="38" t="s">
        <v>181</v>
      </c>
      <c r="O96" s="16">
        <f ca="1">IF($P96&lt;&gt;"", DATEDIF($P96,TODAY(),"y"), "")</f>
        <v>19</v>
      </c>
      <c r="P96" s="46">
        <v>39234</v>
      </c>
      <c r="Q96" s="62" t="s">
        <v>996</v>
      </c>
      <c r="R96" s="8"/>
      <c r="S96" s="17" t="s">
        <v>817</v>
      </c>
      <c r="T96" s="17" t="s">
        <v>825</v>
      </c>
      <c r="U96" s="17" t="s">
        <v>8</v>
      </c>
      <c r="V96" s="17"/>
      <c r="W96" s="21"/>
      <c r="X96" s="21"/>
      <c r="Y96" s="17"/>
      <c r="Z96" s="17"/>
      <c r="AA96" s="17"/>
      <c r="AB96" s="18"/>
      <c r="AC96" s="18"/>
      <c r="AD96" s="19"/>
      <c r="AE96" s="32"/>
      <c r="AF96" s="110"/>
    </row>
    <row r="97" spans="1:36" x14ac:dyDescent="0.25">
      <c r="A97" s="41" t="s">
        <v>1202</v>
      </c>
      <c r="B97" s="41" t="s">
        <v>1203</v>
      </c>
      <c r="C97" s="39" t="s">
        <v>1204</v>
      </c>
      <c r="D97" s="42" t="s">
        <v>1203</v>
      </c>
      <c r="E97" s="27" t="str">
        <f>CONCATENATE($C97," ",$D97)</f>
        <v>Mikey Hoptry</v>
      </c>
      <c r="F97" s="8"/>
      <c r="G97" s="8"/>
      <c r="H97" s="8"/>
      <c r="I97" s="7"/>
      <c r="J97" s="16"/>
      <c r="K97" s="99">
        <v>228</v>
      </c>
      <c r="L97" s="99" t="s">
        <v>1205</v>
      </c>
      <c r="M97" s="39" t="s">
        <v>122</v>
      </c>
      <c r="N97" s="39"/>
      <c r="O97" s="16">
        <f ca="1">IF($P97&lt;&gt;"", DATEDIF($P97,TODAY(),"y"), "")</f>
        <v>10</v>
      </c>
      <c r="P97" s="47">
        <v>42497</v>
      </c>
      <c r="Q97" s="58" t="s">
        <v>1206</v>
      </c>
      <c r="R97" s="8"/>
      <c r="S97" s="107" t="s">
        <v>823</v>
      </c>
      <c r="T97" s="7" t="s">
        <v>823</v>
      </c>
      <c r="U97" s="7" t="s">
        <v>9</v>
      </c>
      <c r="V97" s="7"/>
      <c r="W97" s="7"/>
      <c r="X97" s="7"/>
      <c r="Y97" s="7"/>
      <c r="Z97" s="7"/>
      <c r="AA97" s="7"/>
      <c r="AB97" s="18" t="s">
        <v>1526</v>
      </c>
      <c r="AC97" s="7"/>
      <c r="AD97" s="8"/>
      <c r="AE97" s="33"/>
      <c r="AF97" s="110" t="s">
        <v>1662</v>
      </c>
      <c r="AG97" s="53"/>
      <c r="AH97" s="54"/>
      <c r="AI97" s="54"/>
      <c r="AJ97" s="54"/>
    </row>
    <row r="98" spans="1:36" x14ac:dyDescent="0.25">
      <c r="A98" s="40" t="s">
        <v>272</v>
      </c>
      <c r="B98" s="40" t="s">
        <v>273</v>
      </c>
      <c r="C98" s="42" t="s">
        <v>274</v>
      </c>
      <c r="D98" s="42" t="s">
        <v>273</v>
      </c>
      <c r="E98" s="27" t="str">
        <f>CONCATENATE($C98," ",$D98)</f>
        <v>Beth Horstman</v>
      </c>
      <c r="F98" s="16" t="s">
        <v>275</v>
      </c>
      <c r="G98" s="16" t="s">
        <v>154</v>
      </c>
      <c r="H98" s="16" t="s">
        <v>115</v>
      </c>
      <c r="I98" s="17">
        <v>45431</v>
      </c>
      <c r="J98" s="16" t="str">
        <f>IF($G98&lt;&gt;"",CONCATENATE($G98,", ",$H98," ",$I98),"")</f>
        <v>Beavercreek, OH 45431</v>
      </c>
      <c r="K98" s="17">
        <v>937</v>
      </c>
      <c r="L98" s="17" t="s">
        <v>276</v>
      </c>
      <c r="M98" s="38"/>
      <c r="N98" s="38"/>
      <c r="O98" s="16">
        <f ca="1">IF($P98&lt;&gt;"", DATEDIF($P98,TODAY(),"y"), "")</f>
        <v>38</v>
      </c>
      <c r="P98" s="46">
        <v>31999</v>
      </c>
      <c r="Q98" s="14" t="s">
        <v>51</v>
      </c>
      <c r="R98" s="8" t="s">
        <v>52</v>
      </c>
      <c r="S98" s="17" t="s">
        <v>828</v>
      </c>
      <c r="T98" s="17"/>
      <c r="U98" s="17"/>
      <c r="V98" s="17"/>
      <c r="W98" s="20"/>
      <c r="X98" s="20"/>
      <c r="Y98" s="17"/>
      <c r="Z98" s="17"/>
      <c r="AA98" s="17"/>
      <c r="AB98" s="18"/>
      <c r="AC98" s="18"/>
      <c r="AD98" s="16"/>
      <c r="AE98" s="31"/>
      <c r="AF98" s="110"/>
    </row>
    <row r="99" spans="1:36" x14ac:dyDescent="0.25">
      <c r="A99" s="41" t="s">
        <v>1150</v>
      </c>
      <c r="B99" s="41" t="s">
        <v>1151</v>
      </c>
      <c r="C99" s="39" t="s">
        <v>174</v>
      </c>
      <c r="D99" s="39" t="s">
        <v>1152</v>
      </c>
      <c r="E99" s="27" t="str">
        <f>CONCATENATE($C99," ",$D99)</f>
        <v>Alexander Horton</v>
      </c>
      <c r="F99" s="16" t="s">
        <v>1153</v>
      </c>
      <c r="G99" s="8" t="s">
        <v>123</v>
      </c>
      <c r="H99" s="8" t="s">
        <v>115</v>
      </c>
      <c r="I99" s="7">
        <v>45458</v>
      </c>
      <c r="J99" s="16" t="str">
        <f>IF($G99&lt;&gt;"",CONCATENATE($G99,", ",$H99," ",$I99),"")</f>
        <v>Dayton, OH 45458</v>
      </c>
      <c r="K99" s="17">
        <v>937</v>
      </c>
      <c r="L99" s="17" t="s">
        <v>1154</v>
      </c>
      <c r="M99" s="39" t="s">
        <v>144</v>
      </c>
      <c r="N99" s="39" t="s">
        <v>144</v>
      </c>
      <c r="O99" s="16">
        <f ca="1">IF($P99&lt;&gt;"", DATEDIF($P99,TODAY(),"y"), "")</f>
        <v>31</v>
      </c>
      <c r="P99" s="46">
        <v>34580</v>
      </c>
      <c r="Q99" s="58" t="s">
        <v>1155</v>
      </c>
      <c r="R99" s="59"/>
      <c r="S99" s="107" t="s">
        <v>827</v>
      </c>
      <c r="T99" s="7" t="s">
        <v>834</v>
      </c>
      <c r="U99" s="7" t="s">
        <v>10</v>
      </c>
      <c r="V99" s="7"/>
      <c r="W99" s="7"/>
      <c r="X99" s="7"/>
      <c r="Y99" s="7"/>
      <c r="Z99" s="7"/>
      <c r="AA99" s="7"/>
      <c r="AB99" s="18" t="s">
        <v>1526</v>
      </c>
      <c r="AC99" s="7"/>
      <c r="AD99" s="8"/>
      <c r="AE99" s="33"/>
      <c r="AF99" s="110" t="s">
        <v>1662</v>
      </c>
      <c r="AG99" s="15"/>
    </row>
    <row r="100" spans="1:36" x14ac:dyDescent="0.25">
      <c r="A100" s="41" t="s">
        <v>198</v>
      </c>
      <c r="B100" s="41" t="s">
        <v>1324</v>
      </c>
      <c r="C100" s="39" t="s">
        <v>1323</v>
      </c>
      <c r="D100" s="39" t="s">
        <v>899</v>
      </c>
      <c r="E100" s="27" t="str">
        <f>CONCATENATE($C100," ",$D100)</f>
        <v>Patience Howard</v>
      </c>
      <c r="F100" s="8"/>
      <c r="G100" s="8"/>
      <c r="H100" s="8"/>
      <c r="I100" s="7"/>
      <c r="J100" s="16"/>
      <c r="K100" s="99">
        <v>937</v>
      </c>
      <c r="L100" s="99" t="s">
        <v>1325</v>
      </c>
      <c r="M100" s="39"/>
      <c r="N100" s="39"/>
      <c r="O100" s="16">
        <f ca="1">IF($P100&lt;&gt;"", DATEDIF($P100,TODAY(),"y"), "")</f>
        <v>14</v>
      </c>
      <c r="P100" s="47">
        <v>40794</v>
      </c>
      <c r="Q100" s="59" t="s">
        <v>1326</v>
      </c>
      <c r="R100" s="8"/>
      <c r="S100" s="17" t="s">
        <v>828</v>
      </c>
      <c r="T100" s="17" t="s">
        <v>10</v>
      </c>
      <c r="U100" s="17" t="s">
        <v>10</v>
      </c>
      <c r="V100" s="7"/>
      <c r="W100" s="7"/>
      <c r="X100" s="7"/>
      <c r="Y100" s="7"/>
      <c r="Z100" s="7"/>
      <c r="AA100" s="7"/>
      <c r="AB100" s="7"/>
      <c r="AC100" s="7"/>
      <c r="AD100" s="8"/>
      <c r="AE100" s="33"/>
      <c r="AF100" s="110"/>
      <c r="AG100" s="53"/>
      <c r="AH100" s="54"/>
      <c r="AI100" s="54"/>
      <c r="AJ100" s="54"/>
    </row>
    <row r="101" spans="1:36" x14ac:dyDescent="0.25">
      <c r="A101" s="40" t="s">
        <v>277</v>
      </c>
      <c r="B101" s="40" t="s">
        <v>278</v>
      </c>
      <c r="C101" s="42" t="s">
        <v>279</v>
      </c>
      <c r="D101" s="42" t="s">
        <v>278</v>
      </c>
      <c r="E101" s="27" t="str">
        <f>CONCATENATE($C101," ",$D101)</f>
        <v>Jakob Howson</v>
      </c>
      <c r="F101" s="16" t="s">
        <v>280</v>
      </c>
      <c r="G101" s="16" t="s">
        <v>154</v>
      </c>
      <c r="H101" s="16" t="s">
        <v>115</v>
      </c>
      <c r="I101" s="17">
        <v>45431</v>
      </c>
      <c r="J101" s="16" t="str">
        <f>IF($G101&lt;&gt;"",CONCATENATE($G101,", ",$H101," ",$I101),"")</f>
        <v>Beavercreek, OH 45431</v>
      </c>
      <c r="K101" s="17">
        <v>937</v>
      </c>
      <c r="L101" s="17" t="s">
        <v>281</v>
      </c>
      <c r="M101" s="38"/>
      <c r="N101" s="38"/>
      <c r="O101" s="16">
        <f ca="1">IF($P101&lt;&gt;"", DATEDIF($P101,TODAY(),"y"), "")</f>
        <v>26</v>
      </c>
      <c r="P101" s="46">
        <v>36377</v>
      </c>
      <c r="Q101" s="63" t="s">
        <v>726</v>
      </c>
      <c r="R101" s="8"/>
      <c r="S101" s="17" t="s">
        <v>1070</v>
      </c>
      <c r="T101" s="17" t="s">
        <v>834</v>
      </c>
      <c r="U101" s="17" t="s">
        <v>10</v>
      </c>
      <c r="V101" s="17"/>
      <c r="W101" s="17"/>
      <c r="X101" s="17"/>
      <c r="Y101" s="17"/>
      <c r="Z101" s="17"/>
      <c r="AA101" s="17"/>
      <c r="AB101" s="23"/>
      <c r="AC101" s="22"/>
      <c r="AD101" s="16"/>
      <c r="AE101" s="32"/>
      <c r="AF101" s="110"/>
      <c r="AG101" s="15"/>
    </row>
    <row r="102" spans="1:36" x14ac:dyDescent="0.25">
      <c r="A102" s="40" t="s">
        <v>282</v>
      </c>
      <c r="B102" s="40" t="s">
        <v>283</v>
      </c>
      <c r="C102" s="42" t="s">
        <v>284</v>
      </c>
      <c r="D102" s="42" t="s">
        <v>283</v>
      </c>
      <c r="E102" s="27" t="str">
        <f>CONCATENATE($C102," ",$D102)</f>
        <v>Corey Hume</v>
      </c>
      <c r="F102" s="16" t="s">
        <v>285</v>
      </c>
      <c r="G102" s="16" t="s">
        <v>154</v>
      </c>
      <c r="H102" s="16" t="s">
        <v>115</v>
      </c>
      <c r="I102" s="17">
        <v>45431</v>
      </c>
      <c r="J102" s="16" t="str">
        <f>IF($G102&lt;&gt;"",CONCATENATE($G102,", ",$H102," ",$I102),"")</f>
        <v>Beavercreek, OH 45431</v>
      </c>
      <c r="K102" s="17">
        <v>937</v>
      </c>
      <c r="L102" s="17" t="s">
        <v>286</v>
      </c>
      <c r="M102" s="38" t="s">
        <v>102</v>
      </c>
      <c r="N102" s="38" t="s">
        <v>102</v>
      </c>
      <c r="O102" s="16">
        <f ca="1">IF($P102&lt;&gt;"", DATEDIF($P102,TODAY(),"y"), "")</f>
        <v>29</v>
      </c>
      <c r="P102" s="46">
        <v>35448</v>
      </c>
      <c r="Q102" s="14" t="s">
        <v>53</v>
      </c>
      <c r="R102" s="8"/>
      <c r="S102" s="107" t="s">
        <v>817</v>
      </c>
      <c r="T102" s="17"/>
      <c r="U102" s="17"/>
      <c r="V102" s="17"/>
      <c r="W102" s="21"/>
      <c r="X102" s="21"/>
      <c r="Y102" s="17"/>
      <c r="Z102" s="17"/>
      <c r="AA102" s="17"/>
      <c r="AB102" s="23"/>
      <c r="AC102" s="18" t="s">
        <v>1526</v>
      </c>
      <c r="AD102" s="19"/>
      <c r="AE102" s="32"/>
      <c r="AF102" s="110"/>
      <c r="AG102" s="15"/>
    </row>
    <row r="103" spans="1:36" x14ac:dyDescent="0.25">
      <c r="A103" s="41" t="s">
        <v>808</v>
      </c>
      <c r="B103" s="41" t="s">
        <v>804</v>
      </c>
      <c r="C103" s="39" t="s">
        <v>805</v>
      </c>
      <c r="D103" s="39" t="s">
        <v>804</v>
      </c>
      <c r="E103" s="27" t="str">
        <f>CONCATENATE($C103," ",$D103)</f>
        <v>Skylar Hurley</v>
      </c>
      <c r="F103" s="8" t="s">
        <v>806</v>
      </c>
      <c r="G103" s="8" t="s">
        <v>118</v>
      </c>
      <c r="H103" s="8" t="s">
        <v>115</v>
      </c>
      <c r="I103" s="7">
        <v>45066</v>
      </c>
      <c r="J103" s="16" t="str">
        <f>IF($G103&lt;&gt;"",CONCATENATE($G103,", ",$H103," ",$I103),"")</f>
        <v>Springboro, OH 45066</v>
      </c>
      <c r="K103" s="99">
        <v>937</v>
      </c>
      <c r="L103" s="99" t="s">
        <v>807</v>
      </c>
      <c r="M103" s="39" t="s">
        <v>102</v>
      </c>
      <c r="N103" s="39" t="s">
        <v>102</v>
      </c>
      <c r="O103" s="16">
        <f ca="1">IF($P103&lt;&gt;"", DATEDIF($P103,TODAY(),"y"), "")</f>
        <v>13</v>
      </c>
      <c r="P103" s="47">
        <v>41347</v>
      </c>
      <c r="Q103" s="14" t="s">
        <v>809</v>
      </c>
      <c r="R103" s="8"/>
      <c r="S103" s="107" t="s">
        <v>824</v>
      </c>
      <c r="T103" s="17" t="s">
        <v>823</v>
      </c>
      <c r="U103" s="17" t="s">
        <v>9</v>
      </c>
      <c r="V103" s="7"/>
      <c r="W103" s="7"/>
      <c r="X103" s="7"/>
      <c r="Y103" s="7"/>
      <c r="Z103" s="7"/>
      <c r="AA103" s="7"/>
      <c r="AB103" s="18" t="s">
        <v>1526</v>
      </c>
      <c r="AC103" s="7"/>
      <c r="AD103" s="8"/>
      <c r="AE103" s="33"/>
      <c r="AF103" s="110" t="s">
        <v>1662</v>
      </c>
      <c r="AG103" s="15"/>
    </row>
    <row r="104" spans="1:36" x14ac:dyDescent="0.25">
      <c r="A104" s="41" t="s">
        <v>1572</v>
      </c>
      <c r="B104" s="41" t="s">
        <v>1573</v>
      </c>
      <c r="C104" s="39" t="s">
        <v>1574</v>
      </c>
      <c r="D104" s="39" t="s">
        <v>1573</v>
      </c>
      <c r="E104" s="27" t="str">
        <f>CONCATENATE($C104," ",$D104)</f>
        <v>Jeffery Isbell</v>
      </c>
      <c r="F104" s="8"/>
      <c r="G104" s="8"/>
      <c r="H104" s="8"/>
      <c r="I104" s="7"/>
      <c r="J104" s="16"/>
      <c r="K104" s="99">
        <v>513</v>
      </c>
      <c r="L104" s="99" t="s">
        <v>1579</v>
      </c>
      <c r="M104" s="39" t="s">
        <v>121</v>
      </c>
      <c r="N104" s="38"/>
      <c r="O104" s="16">
        <f ca="1">IF($P104&lt;&gt;"", DATEDIF($P104,TODAY(),"y"), "")</f>
        <v>9</v>
      </c>
      <c r="P104" s="48">
        <v>42548</v>
      </c>
      <c r="Q104" s="108" t="s">
        <v>1580</v>
      </c>
      <c r="R104" s="8"/>
      <c r="S104" s="111" t="s">
        <v>824</v>
      </c>
      <c r="T104" s="7"/>
      <c r="U104" s="7"/>
      <c r="V104" s="7"/>
      <c r="W104" s="7"/>
      <c r="X104" s="7"/>
      <c r="Y104" s="7"/>
      <c r="Z104" s="7"/>
      <c r="AA104" s="7"/>
      <c r="AB104" s="7" t="s">
        <v>1526</v>
      </c>
      <c r="AC104" s="7"/>
      <c r="AD104" s="8"/>
      <c r="AE104" s="33"/>
      <c r="AF104" s="110"/>
      <c r="AG104" s="53"/>
      <c r="AH104" s="54"/>
      <c r="AI104" s="54"/>
      <c r="AJ104" s="54"/>
    </row>
    <row r="105" spans="1:36" x14ac:dyDescent="0.25">
      <c r="A105" s="40" t="s">
        <v>287</v>
      </c>
      <c r="B105" s="40" t="s">
        <v>177</v>
      </c>
      <c r="C105" s="42" t="s">
        <v>288</v>
      </c>
      <c r="D105" s="42" t="s">
        <v>177</v>
      </c>
      <c r="E105" s="27" t="str">
        <f>CONCATENATE($C105," ",$D105)</f>
        <v>Sophie Jackson</v>
      </c>
      <c r="F105" s="16" t="s">
        <v>289</v>
      </c>
      <c r="G105" s="16" t="s">
        <v>154</v>
      </c>
      <c r="H105" s="16" t="s">
        <v>115</v>
      </c>
      <c r="I105" s="17">
        <v>45434</v>
      </c>
      <c r="J105" s="16" t="str">
        <f>IF($G105&lt;&gt;"",CONCATENATE($G105,", ",$H105," ",$I105),"")</f>
        <v>Beavercreek, OH 45434</v>
      </c>
      <c r="K105" s="17">
        <v>937</v>
      </c>
      <c r="L105" s="17" t="s">
        <v>290</v>
      </c>
      <c r="M105" s="38" t="s">
        <v>181</v>
      </c>
      <c r="N105" s="38" t="s">
        <v>181</v>
      </c>
      <c r="O105" s="16">
        <f ca="1">IF($P105&lt;&gt;"", DATEDIF($P105,TODAY(),"y"), "")</f>
        <v>18</v>
      </c>
      <c r="P105" s="46">
        <v>39340</v>
      </c>
      <c r="Q105" s="14" t="s">
        <v>54</v>
      </c>
      <c r="R105" s="8"/>
      <c r="S105" s="107" t="s">
        <v>834</v>
      </c>
      <c r="T105" s="17" t="s">
        <v>828</v>
      </c>
      <c r="U105" s="17" t="s">
        <v>10</v>
      </c>
      <c r="V105" s="17"/>
      <c r="W105" s="21"/>
      <c r="X105" s="21"/>
      <c r="Y105" s="17"/>
      <c r="Z105" s="17"/>
      <c r="AA105" s="17"/>
      <c r="AB105" s="18" t="s">
        <v>1526</v>
      </c>
      <c r="AC105" s="18"/>
      <c r="AD105" s="19"/>
      <c r="AE105" s="31"/>
      <c r="AF105" s="110"/>
      <c r="AG105" s="53"/>
      <c r="AH105" s="54"/>
      <c r="AI105" s="54"/>
      <c r="AJ105" s="54"/>
    </row>
    <row r="106" spans="1:36" x14ac:dyDescent="0.25">
      <c r="A106" s="40" t="s">
        <v>291</v>
      </c>
      <c r="B106" s="40" t="s">
        <v>292</v>
      </c>
      <c r="C106" s="42" t="s">
        <v>293</v>
      </c>
      <c r="D106" s="42" t="s">
        <v>294</v>
      </c>
      <c r="E106" s="27" t="str">
        <f>CONCATENATE($C106," ",$D106)</f>
        <v>Mohammed Jamal</v>
      </c>
      <c r="F106" s="16" t="s">
        <v>295</v>
      </c>
      <c r="G106" s="16" t="s">
        <v>125</v>
      </c>
      <c r="H106" s="16" t="s">
        <v>115</v>
      </c>
      <c r="I106" s="17">
        <v>45429</v>
      </c>
      <c r="J106" s="16" t="str">
        <f>IF($G106&lt;&gt;"",CONCATENATE($G106,", ",$H106," ",$I106),"")</f>
        <v>Kettering, OH 45429</v>
      </c>
      <c r="K106" s="17">
        <v>937</v>
      </c>
      <c r="L106" s="17" t="s">
        <v>296</v>
      </c>
      <c r="M106" s="38"/>
      <c r="N106" s="38"/>
      <c r="O106" s="16">
        <f ca="1">IF($P106&lt;&gt;"", DATEDIF($P106,TODAY(),"y"), "")</f>
        <v>20</v>
      </c>
      <c r="P106" s="46">
        <v>38666</v>
      </c>
      <c r="Q106" s="14" t="s">
        <v>55</v>
      </c>
      <c r="R106" s="8" t="s">
        <v>56</v>
      </c>
      <c r="S106" s="17" t="s">
        <v>826</v>
      </c>
      <c r="T106" s="17" t="s">
        <v>826</v>
      </c>
      <c r="U106" s="17" t="s">
        <v>8</v>
      </c>
      <c r="V106" s="17"/>
      <c r="W106" s="20"/>
      <c r="X106" s="20"/>
      <c r="Y106" s="17"/>
      <c r="Z106" s="17"/>
      <c r="AA106" s="17"/>
      <c r="AB106" s="17"/>
      <c r="AC106" s="18"/>
      <c r="AD106" s="16"/>
      <c r="AE106" s="32"/>
      <c r="AF106" s="110"/>
      <c r="AG106" s="53"/>
      <c r="AH106" s="54"/>
      <c r="AI106" s="54"/>
      <c r="AJ106" s="54"/>
    </row>
    <row r="107" spans="1:36" x14ac:dyDescent="0.25">
      <c r="A107" s="41" t="s">
        <v>749</v>
      </c>
      <c r="B107" s="41" t="s">
        <v>750</v>
      </c>
      <c r="C107" s="39" t="s">
        <v>751</v>
      </c>
      <c r="D107" s="39" t="s">
        <v>750</v>
      </c>
      <c r="E107" s="27" t="str">
        <f>CONCATENATE($C107," ",$D107)</f>
        <v>Annie Jansen</v>
      </c>
      <c r="F107" s="8" t="s">
        <v>752</v>
      </c>
      <c r="G107" s="8" t="s">
        <v>114</v>
      </c>
      <c r="H107" s="8" t="s">
        <v>115</v>
      </c>
      <c r="I107" s="7">
        <v>45458</v>
      </c>
      <c r="J107" s="16" t="str">
        <f>IF($G107&lt;&gt;"",CONCATENATE($G107,", ",$H107," ",$I107),"")</f>
        <v>Centerville, OH 45458</v>
      </c>
      <c r="K107" s="99">
        <v>937</v>
      </c>
      <c r="L107" s="99" t="s">
        <v>753</v>
      </c>
      <c r="M107" s="39" t="s">
        <v>144</v>
      </c>
      <c r="N107" s="39" t="s">
        <v>144</v>
      </c>
      <c r="O107" s="16">
        <f ca="1">IF($P107&lt;&gt;"", DATEDIF($P107,TODAY(),"y"), "")</f>
        <v>30</v>
      </c>
      <c r="P107" s="47">
        <v>35085</v>
      </c>
      <c r="Q107" s="58" t="s">
        <v>754</v>
      </c>
      <c r="R107" s="8"/>
      <c r="S107" s="107" t="s">
        <v>834</v>
      </c>
      <c r="T107" s="17" t="s">
        <v>834</v>
      </c>
      <c r="U107" s="17" t="s">
        <v>10</v>
      </c>
      <c r="V107" s="7"/>
      <c r="W107" s="21"/>
      <c r="X107" s="21"/>
      <c r="Y107" s="17"/>
      <c r="Z107" s="17"/>
      <c r="AA107" s="17"/>
      <c r="AB107" s="18" t="s">
        <v>1526</v>
      </c>
      <c r="AC107" s="7"/>
      <c r="AD107" s="8"/>
      <c r="AE107" s="33"/>
      <c r="AF107" s="110" t="s">
        <v>1662</v>
      </c>
    </row>
    <row r="108" spans="1:36" x14ac:dyDescent="0.25">
      <c r="A108" s="40" t="s">
        <v>1557</v>
      </c>
      <c r="B108" s="40" t="s">
        <v>1558</v>
      </c>
      <c r="C108" s="42" t="s">
        <v>1559</v>
      </c>
      <c r="D108" s="42" t="s">
        <v>1558</v>
      </c>
      <c r="E108" s="27" t="str">
        <f>CONCATENATE($C108," ",$D108)</f>
        <v>Micah Jegede</v>
      </c>
      <c r="F108" s="16"/>
      <c r="G108" s="16"/>
      <c r="H108" s="16"/>
      <c r="I108" s="17"/>
      <c r="J108" s="16"/>
      <c r="K108" s="17">
        <v>240</v>
      </c>
      <c r="L108" s="17" t="s">
        <v>1560</v>
      </c>
      <c r="M108" s="39" t="s">
        <v>121</v>
      </c>
      <c r="N108" s="39"/>
      <c r="O108" s="16">
        <f ca="1">IF($P108&lt;&gt;"", DATEDIF($P108,TODAY(),"y"), "")</f>
        <v>10</v>
      </c>
      <c r="P108" s="46">
        <v>42417</v>
      </c>
      <c r="Q108" s="14" t="s">
        <v>1561</v>
      </c>
      <c r="R108" s="8"/>
      <c r="S108" s="107" t="s">
        <v>825</v>
      </c>
      <c r="T108" s="17"/>
      <c r="U108" s="17"/>
      <c r="V108" s="17"/>
      <c r="W108" s="20"/>
      <c r="X108" s="20"/>
      <c r="Y108" s="17"/>
      <c r="Z108" s="17"/>
      <c r="AA108" s="17"/>
      <c r="AB108" s="17" t="s">
        <v>1526</v>
      </c>
      <c r="AC108" s="22"/>
      <c r="AD108" s="19"/>
      <c r="AE108" s="32"/>
      <c r="AF108" s="110" t="s">
        <v>1662</v>
      </c>
      <c r="AG108" s="53"/>
      <c r="AH108" s="54"/>
      <c r="AI108" s="54"/>
      <c r="AJ108" s="54"/>
    </row>
    <row r="109" spans="1:36" x14ac:dyDescent="0.25">
      <c r="A109" s="40" t="s">
        <v>1234</v>
      </c>
      <c r="B109" s="40" t="s">
        <v>1235</v>
      </c>
      <c r="C109" s="42" t="s">
        <v>600</v>
      </c>
      <c r="D109" s="42" t="s">
        <v>1235</v>
      </c>
      <c r="E109" s="27" t="str">
        <f>CONCATENATE($C109," ",$D109)</f>
        <v xml:space="preserve">Ethan Jo </v>
      </c>
      <c r="F109" s="16"/>
      <c r="G109" s="16"/>
      <c r="H109" s="16"/>
      <c r="I109" s="17"/>
      <c r="J109" s="16"/>
      <c r="K109" s="17">
        <v>716</v>
      </c>
      <c r="L109" s="17" t="s">
        <v>1236</v>
      </c>
      <c r="M109" s="38"/>
      <c r="N109" s="38"/>
      <c r="O109" s="16">
        <f ca="1">IF($P109&lt;&gt;"", DATEDIF($P109,TODAY(),"y"), "")</f>
        <v>11</v>
      </c>
      <c r="P109" s="46">
        <v>42079</v>
      </c>
      <c r="Q109" s="62" t="s">
        <v>1237</v>
      </c>
      <c r="R109" s="8"/>
      <c r="S109" s="17" t="s">
        <v>825</v>
      </c>
      <c r="T109" s="17" t="s">
        <v>825</v>
      </c>
      <c r="U109" s="17" t="s">
        <v>8</v>
      </c>
      <c r="V109" s="17"/>
      <c r="W109" s="21"/>
      <c r="X109" s="21"/>
      <c r="Y109" s="17"/>
      <c r="Z109" s="17"/>
      <c r="AA109" s="17"/>
      <c r="AB109" s="18"/>
      <c r="AC109" s="18"/>
      <c r="AD109" s="19"/>
      <c r="AE109" s="32"/>
      <c r="AF109" s="110"/>
    </row>
    <row r="110" spans="1:36" x14ac:dyDescent="0.25">
      <c r="A110" s="41" t="s">
        <v>147</v>
      </c>
      <c r="B110" s="41" t="s">
        <v>1312</v>
      </c>
      <c r="C110" s="39" t="s">
        <v>415</v>
      </c>
      <c r="D110" s="39" t="s">
        <v>1312</v>
      </c>
      <c r="E110" s="27" t="str">
        <f>CONCATENATE($C110," ",$D110)</f>
        <v>Noah Jobson</v>
      </c>
      <c r="F110" s="8"/>
      <c r="G110" s="8"/>
      <c r="H110" s="8"/>
      <c r="I110" s="7"/>
      <c r="J110" s="16"/>
      <c r="K110" s="17">
        <v>937</v>
      </c>
      <c r="L110" s="17" t="s">
        <v>1316</v>
      </c>
      <c r="M110" s="39"/>
      <c r="N110" s="39"/>
      <c r="O110" s="16">
        <f ca="1">IF($P110&lt;&gt;"", DATEDIF($P110,TODAY(),"y"), "")</f>
        <v>16</v>
      </c>
      <c r="P110" s="46">
        <v>40065</v>
      </c>
      <c r="Q110" s="58" t="s">
        <v>1318</v>
      </c>
      <c r="R110" s="8"/>
      <c r="S110" s="17" t="s">
        <v>824</v>
      </c>
      <c r="T110" s="17" t="s">
        <v>823</v>
      </c>
      <c r="U110" s="17" t="s">
        <v>8</v>
      </c>
      <c r="V110" s="7"/>
      <c r="W110" s="7"/>
      <c r="X110" s="7"/>
      <c r="Y110" s="7"/>
      <c r="Z110" s="7"/>
      <c r="AA110" s="7"/>
      <c r="AB110" s="7"/>
      <c r="AC110" s="7"/>
      <c r="AD110" s="8"/>
      <c r="AE110" s="33"/>
      <c r="AF110" s="110"/>
    </row>
    <row r="111" spans="1:36" x14ac:dyDescent="0.25">
      <c r="A111" s="41" t="s">
        <v>1393</v>
      </c>
      <c r="B111" s="41" t="s">
        <v>1394</v>
      </c>
      <c r="C111" s="39" t="s">
        <v>889</v>
      </c>
      <c r="D111" s="39" t="s">
        <v>1394</v>
      </c>
      <c r="E111" s="27" t="str">
        <f>CONCATENATE($C111," ",$D111)</f>
        <v>Everett Jones</v>
      </c>
      <c r="F111" s="8"/>
      <c r="G111" s="8"/>
      <c r="H111" s="8"/>
      <c r="I111" s="7"/>
      <c r="J111" s="16"/>
      <c r="K111" s="99">
        <v>937</v>
      </c>
      <c r="L111" s="99" t="s">
        <v>617</v>
      </c>
      <c r="M111" s="39" t="s">
        <v>181</v>
      </c>
      <c r="N111" s="39" t="s">
        <v>116</v>
      </c>
      <c r="O111" s="16">
        <f ca="1">IF($P111&lt;&gt;"", DATEDIF($P111,TODAY(),"y"), "")</f>
        <v>13</v>
      </c>
      <c r="P111" s="46">
        <v>41124</v>
      </c>
      <c r="Q111" s="8" t="s">
        <v>1395</v>
      </c>
      <c r="R111" s="8"/>
      <c r="S111" s="107" t="s">
        <v>827</v>
      </c>
      <c r="T111" s="17"/>
      <c r="U111" s="17"/>
      <c r="V111" s="7"/>
      <c r="W111" s="7"/>
      <c r="X111" s="7"/>
      <c r="Y111" s="7"/>
      <c r="Z111" s="7"/>
      <c r="AA111" s="7"/>
      <c r="AB111" s="7" t="s">
        <v>1526</v>
      </c>
      <c r="AC111" s="7"/>
      <c r="AD111" s="8"/>
      <c r="AE111" s="33"/>
      <c r="AF111" s="110"/>
      <c r="AG111" s="15"/>
    </row>
    <row r="112" spans="1:36" x14ac:dyDescent="0.25">
      <c r="A112" s="40" t="s">
        <v>1165</v>
      </c>
      <c r="B112" s="40" t="s">
        <v>445</v>
      </c>
      <c r="C112" s="42" t="s">
        <v>1166</v>
      </c>
      <c r="D112" s="42" t="s">
        <v>1167</v>
      </c>
      <c r="E112" s="27" t="str">
        <f>CONCATENATE($C112," ",$D112)</f>
        <v xml:space="preserve">Korey Joseph </v>
      </c>
      <c r="F112" s="16" t="s">
        <v>1171</v>
      </c>
      <c r="G112" s="16" t="s">
        <v>135</v>
      </c>
      <c r="H112" s="16" t="s">
        <v>115</v>
      </c>
      <c r="I112" s="17">
        <v>45044</v>
      </c>
      <c r="J112" s="16" t="str">
        <f>IF($G112&lt;&gt;"",CONCATENATE($G112,", ",$H112," ",$I112),"")</f>
        <v>Middletown, OH 45044</v>
      </c>
      <c r="K112" s="17">
        <v>513</v>
      </c>
      <c r="L112" s="17" t="s">
        <v>1172</v>
      </c>
      <c r="M112" s="38" t="s">
        <v>102</v>
      </c>
      <c r="N112" s="38" t="s">
        <v>102</v>
      </c>
      <c r="O112" s="16">
        <f ca="1">IF($P112&lt;&gt;"", DATEDIF($P112,TODAY(),"y"), "")</f>
        <v>32</v>
      </c>
      <c r="P112" s="46">
        <v>34405</v>
      </c>
      <c r="Q112" s="62" t="s">
        <v>1512</v>
      </c>
      <c r="R112" s="8"/>
      <c r="S112" s="107" t="s">
        <v>834</v>
      </c>
      <c r="T112" s="17" t="s">
        <v>826</v>
      </c>
      <c r="U112" s="17" t="s">
        <v>8</v>
      </c>
      <c r="V112" s="17" t="s">
        <v>1034</v>
      </c>
      <c r="W112" s="20"/>
      <c r="X112" s="20"/>
      <c r="Y112" s="17"/>
      <c r="Z112" s="17"/>
      <c r="AA112" s="17"/>
      <c r="AB112" s="18"/>
      <c r="AC112" s="7" t="s">
        <v>1526</v>
      </c>
      <c r="AD112" s="16"/>
      <c r="AE112" s="32"/>
      <c r="AF112" s="110"/>
    </row>
    <row r="113" spans="1:36" x14ac:dyDescent="0.25">
      <c r="A113" s="40" t="s">
        <v>297</v>
      </c>
      <c r="B113" s="40" t="s">
        <v>298</v>
      </c>
      <c r="C113" s="42" t="s">
        <v>299</v>
      </c>
      <c r="D113" s="42" t="s">
        <v>298</v>
      </c>
      <c r="E113" s="27" t="str">
        <f>CONCATENATE($C113," ",$D113)</f>
        <v>Akshay Kalani</v>
      </c>
      <c r="F113" s="16" t="s">
        <v>300</v>
      </c>
      <c r="G113" s="16" t="s">
        <v>154</v>
      </c>
      <c r="H113" s="16" t="s">
        <v>115</v>
      </c>
      <c r="I113" s="17">
        <v>45434</v>
      </c>
      <c r="J113" s="16" t="str">
        <f>IF($G113&lt;&gt;"",CONCATENATE($G113,", ",$H113," ",$I113),"")</f>
        <v>Beavercreek, OH 45434</v>
      </c>
      <c r="K113" s="17">
        <v>937</v>
      </c>
      <c r="L113" s="17" t="s">
        <v>301</v>
      </c>
      <c r="M113" s="38"/>
      <c r="N113" s="38"/>
      <c r="O113" s="16">
        <f ca="1">IF($P113&lt;&gt;"", DATEDIF($P113,TODAY(),"y"), "")</f>
        <v>15</v>
      </c>
      <c r="P113" s="46">
        <v>40408</v>
      </c>
      <c r="Q113" s="14" t="s">
        <v>57</v>
      </c>
      <c r="R113" s="8" t="s">
        <v>58</v>
      </c>
      <c r="S113" s="17" t="s">
        <v>817</v>
      </c>
      <c r="T113" s="17" t="s">
        <v>817</v>
      </c>
      <c r="U113" s="17" t="s">
        <v>8</v>
      </c>
      <c r="V113" s="17"/>
      <c r="W113" s="21"/>
      <c r="X113" s="21"/>
      <c r="Y113" s="17"/>
      <c r="Z113" s="17"/>
      <c r="AA113" s="17"/>
      <c r="AB113" s="18"/>
      <c r="AC113" s="18"/>
      <c r="AD113" s="16"/>
      <c r="AE113" s="32"/>
      <c r="AF113" s="110"/>
    </row>
    <row r="114" spans="1:36" x14ac:dyDescent="0.25">
      <c r="A114" s="40" t="s">
        <v>1562</v>
      </c>
      <c r="B114" s="40" t="s">
        <v>1563</v>
      </c>
      <c r="C114" s="42" t="s">
        <v>1564</v>
      </c>
      <c r="D114" s="42" t="s">
        <v>1563</v>
      </c>
      <c r="E114" s="27" t="str">
        <f>CONCATENATE($C114," ",$D114)</f>
        <v>Trent Kapfhammer</v>
      </c>
      <c r="F114" s="16"/>
      <c r="G114" s="16"/>
      <c r="H114" s="16"/>
      <c r="I114" s="17"/>
      <c r="J114" s="16"/>
      <c r="K114" s="17">
        <v>937</v>
      </c>
      <c r="L114" s="17" t="s">
        <v>1565</v>
      </c>
      <c r="M114" s="39" t="s">
        <v>102</v>
      </c>
      <c r="N114" s="39"/>
      <c r="O114" s="16">
        <f ca="1">IF($P114&lt;&gt;"", DATEDIF($P114,TODAY(),"y"), "")</f>
        <v>12</v>
      </c>
      <c r="P114" s="46">
        <v>41626</v>
      </c>
      <c r="Q114" s="14" t="s">
        <v>1566</v>
      </c>
      <c r="R114" s="8"/>
      <c r="S114" s="107" t="s">
        <v>824</v>
      </c>
      <c r="T114" s="17"/>
      <c r="U114" s="17"/>
      <c r="V114" s="17"/>
      <c r="W114" s="17"/>
      <c r="X114" s="17"/>
      <c r="Y114" s="17"/>
      <c r="Z114" s="18"/>
      <c r="AA114" s="18"/>
      <c r="AB114" s="17" t="s">
        <v>1526</v>
      </c>
      <c r="AC114" s="17"/>
      <c r="AD114" s="19"/>
      <c r="AE114" s="32"/>
      <c r="AF114" s="110"/>
      <c r="AG114" s="53"/>
      <c r="AH114" s="54"/>
      <c r="AI114" s="54"/>
      <c r="AJ114" s="54"/>
    </row>
    <row r="115" spans="1:36" x14ac:dyDescent="0.25">
      <c r="A115" s="41" t="s">
        <v>1315</v>
      </c>
      <c r="B115" s="41" t="s">
        <v>1313</v>
      </c>
      <c r="C115" s="39" t="s">
        <v>1314</v>
      </c>
      <c r="D115" s="39" t="s">
        <v>1313</v>
      </c>
      <c r="E115" s="27" t="str">
        <f>CONCATENATE($C115," ",$D115)</f>
        <v>Diane Georgia Kesner</v>
      </c>
      <c r="F115" s="8"/>
      <c r="G115" s="8"/>
      <c r="H115" s="8"/>
      <c r="I115" s="7"/>
      <c r="J115" s="16"/>
      <c r="K115" s="17">
        <v>937</v>
      </c>
      <c r="L115" s="17" t="s">
        <v>1317</v>
      </c>
      <c r="M115" s="97" t="s">
        <v>168</v>
      </c>
      <c r="N115" s="97" t="s">
        <v>181</v>
      </c>
      <c r="O115" s="16">
        <f ca="1">IF($P115&lt;&gt;"", DATEDIF($P115,TODAY(),"y"), "")</f>
        <v>16</v>
      </c>
      <c r="P115" s="48">
        <v>40100</v>
      </c>
      <c r="Q115" s="61" t="s">
        <v>1319</v>
      </c>
      <c r="R115" s="8"/>
      <c r="S115" s="107" t="s">
        <v>834</v>
      </c>
      <c r="T115" s="17" t="s">
        <v>828</v>
      </c>
      <c r="U115" s="17" t="s">
        <v>10</v>
      </c>
      <c r="V115" s="7"/>
      <c r="W115" s="7"/>
      <c r="X115" s="7"/>
      <c r="Y115" s="7"/>
      <c r="Z115" s="7"/>
      <c r="AA115" s="7"/>
      <c r="AB115" s="7" t="s">
        <v>1526</v>
      </c>
      <c r="AC115" s="7"/>
      <c r="AD115" s="8"/>
      <c r="AE115" s="33"/>
      <c r="AF115" s="110" t="s">
        <v>1662</v>
      </c>
    </row>
    <row r="116" spans="1:36" x14ac:dyDescent="0.25">
      <c r="A116" s="41" t="s">
        <v>705</v>
      </c>
      <c r="B116" s="41" t="s">
        <v>704</v>
      </c>
      <c r="C116" s="39" t="s">
        <v>705</v>
      </c>
      <c r="D116" s="39" t="s">
        <v>704</v>
      </c>
      <c r="E116" s="27" t="str">
        <f>CONCATENATE($C116," ",$D116)</f>
        <v>Katy Kindopp</v>
      </c>
      <c r="F116" s="8" t="s">
        <v>706</v>
      </c>
      <c r="G116" s="8" t="s">
        <v>114</v>
      </c>
      <c r="H116" s="8" t="s">
        <v>115</v>
      </c>
      <c r="I116" s="7">
        <v>45459</v>
      </c>
      <c r="J116" s="16" t="str">
        <f>IF($G116&lt;&gt;"",CONCATENATE($G116,", ",$H116," ",$I116),"")</f>
        <v>Centerville, OH 45459</v>
      </c>
      <c r="K116" s="99">
        <v>937</v>
      </c>
      <c r="L116" s="99" t="s">
        <v>707</v>
      </c>
      <c r="M116" s="39"/>
      <c r="N116" s="39"/>
      <c r="O116" s="16">
        <f ca="1">IF($P116&lt;&gt;"", DATEDIF($P116,TODAY(),"y"), "")</f>
        <v>35</v>
      </c>
      <c r="P116" s="47">
        <v>33356</v>
      </c>
      <c r="Q116" s="58" t="s">
        <v>848</v>
      </c>
      <c r="R116" s="8"/>
      <c r="S116" s="17" t="s">
        <v>828</v>
      </c>
      <c r="T116" s="17" t="s">
        <v>828</v>
      </c>
      <c r="U116" s="17" t="s">
        <v>10</v>
      </c>
      <c r="V116" s="7"/>
      <c r="W116" s="21"/>
      <c r="X116" s="21"/>
      <c r="Y116" s="17"/>
      <c r="Z116" s="17"/>
      <c r="AA116" s="17"/>
      <c r="AB116" s="18"/>
      <c r="AC116" s="7"/>
      <c r="AD116" s="8"/>
      <c r="AE116" s="33"/>
      <c r="AF116" s="110"/>
    </row>
    <row r="117" spans="1:36" x14ac:dyDescent="0.25">
      <c r="A117" s="41" t="s">
        <v>705</v>
      </c>
      <c r="B117" s="41" t="s">
        <v>704</v>
      </c>
      <c r="C117" s="39" t="s">
        <v>1077</v>
      </c>
      <c r="D117" s="39" t="s">
        <v>704</v>
      </c>
      <c r="E117" s="27" t="str">
        <f>CONCATENATE($C117," ",$D117)</f>
        <v>Mark Kindopp</v>
      </c>
      <c r="F117" s="8" t="s">
        <v>706</v>
      </c>
      <c r="G117" s="8" t="s">
        <v>114</v>
      </c>
      <c r="H117" s="8" t="s">
        <v>115</v>
      </c>
      <c r="I117" s="7">
        <v>45459</v>
      </c>
      <c r="J117" s="16" t="str">
        <f>IF($G117&lt;&gt;"",CONCATENATE($G117,", ",$H117," ",$I117),"")</f>
        <v>Centerville, OH 45459</v>
      </c>
      <c r="K117" s="99">
        <v>937</v>
      </c>
      <c r="L117" s="99" t="s">
        <v>707</v>
      </c>
      <c r="M117" s="39"/>
      <c r="N117" s="39"/>
      <c r="O117" s="16">
        <f ca="1">IF($P117&lt;&gt;"", DATEDIF($P117,TODAY(),"y"), "")</f>
        <v>27</v>
      </c>
      <c r="P117" s="47">
        <v>36330</v>
      </c>
      <c r="Q117" s="58" t="s">
        <v>848</v>
      </c>
      <c r="R117" s="8"/>
      <c r="S117" s="17" t="s">
        <v>828</v>
      </c>
      <c r="T117" s="17" t="s">
        <v>828</v>
      </c>
      <c r="U117" s="17"/>
      <c r="V117" s="7"/>
      <c r="W117" s="21"/>
      <c r="X117" s="21"/>
      <c r="Y117" s="17"/>
      <c r="Z117" s="17"/>
      <c r="AA117" s="17"/>
      <c r="AB117" s="18"/>
      <c r="AC117" s="7"/>
      <c r="AD117" s="8"/>
      <c r="AE117" s="33"/>
      <c r="AF117" s="110"/>
    </row>
    <row r="118" spans="1:36" x14ac:dyDescent="0.25">
      <c r="A118" s="41" t="s">
        <v>1302</v>
      </c>
      <c r="B118" s="41" t="s">
        <v>1303</v>
      </c>
      <c r="C118" s="39" t="s">
        <v>1304</v>
      </c>
      <c r="D118" s="39" t="s">
        <v>1303</v>
      </c>
      <c r="E118" s="27" t="str">
        <f>CONCATENATE($C118," ",$D118)</f>
        <v>Keaton Kinney</v>
      </c>
      <c r="F118" s="8"/>
      <c r="G118" s="8"/>
      <c r="H118" s="8"/>
      <c r="I118" s="7"/>
      <c r="J118" s="16"/>
      <c r="K118" s="99">
        <v>832</v>
      </c>
      <c r="L118" s="99" t="s">
        <v>1305</v>
      </c>
      <c r="M118" s="39" t="s">
        <v>121</v>
      </c>
      <c r="N118" s="39" t="s">
        <v>121</v>
      </c>
      <c r="O118" s="16">
        <f ca="1">IF($P118&lt;&gt;"", DATEDIF($P118,TODAY(),"y"), "")</f>
        <v>9</v>
      </c>
      <c r="P118" s="47">
        <v>42716</v>
      </c>
      <c r="Q118" s="58" t="s">
        <v>1306</v>
      </c>
      <c r="R118" s="8"/>
      <c r="S118" s="107" t="s">
        <v>825</v>
      </c>
      <c r="T118" s="17" t="s">
        <v>824</v>
      </c>
      <c r="U118" s="17" t="s">
        <v>9</v>
      </c>
      <c r="V118" s="7"/>
      <c r="W118" s="7"/>
      <c r="X118" s="7"/>
      <c r="Y118" s="7"/>
      <c r="Z118" s="7"/>
      <c r="AA118" s="7"/>
      <c r="AB118" s="18" t="s">
        <v>1526</v>
      </c>
      <c r="AC118" s="7"/>
      <c r="AD118" s="8"/>
      <c r="AE118" s="33"/>
      <c r="AF118" s="110" t="s">
        <v>1662</v>
      </c>
      <c r="AG118" s="53"/>
      <c r="AH118" s="54"/>
      <c r="AI118" s="54"/>
      <c r="AJ118" s="54"/>
    </row>
    <row r="119" spans="1:36" x14ac:dyDescent="0.25">
      <c r="A119" s="41" t="s">
        <v>877</v>
      </c>
      <c r="B119" s="41" t="s">
        <v>876</v>
      </c>
      <c r="C119" s="39" t="s">
        <v>875</v>
      </c>
      <c r="D119" s="39" t="s">
        <v>876</v>
      </c>
      <c r="E119" s="27" t="str">
        <f>CONCATENATE($C119," ",$D119)</f>
        <v>Parth Kulkarni</v>
      </c>
      <c r="F119" s="8" t="s">
        <v>878</v>
      </c>
      <c r="G119" s="8" t="s">
        <v>114</v>
      </c>
      <c r="H119" s="8" t="s">
        <v>115</v>
      </c>
      <c r="I119" s="7">
        <v>45458</v>
      </c>
      <c r="J119" s="16" t="str">
        <f>IF($G119&lt;&gt;"",CONCATENATE($G119,", ",$H119," ",$I119),"")</f>
        <v>Centerville, OH 45458</v>
      </c>
      <c r="K119" s="99">
        <v>937</v>
      </c>
      <c r="L119" s="99" t="s">
        <v>879</v>
      </c>
      <c r="M119" s="39"/>
      <c r="N119" s="39"/>
      <c r="O119" s="16">
        <f ca="1">IF($P119&lt;&gt;"", DATEDIF($P119,TODAY(),"y"), "")</f>
        <v>29</v>
      </c>
      <c r="P119" s="47">
        <v>35493</v>
      </c>
      <c r="Q119" s="58" t="s">
        <v>880</v>
      </c>
      <c r="R119" s="8"/>
      <c r="S119" s="17" t="s">
        <v>828</v>
      </c>
      <c r="T119" s="17" t="s">
        <v>826</v>
      </c>
      <c r="U119" s="17" t="s">
        <v>10</v>
      </c>
      <c r="V119" s="7"/>
      <c r="W119" s="21"/>
      <c r="X119" s="21"/>
      <c r="Y119" s="17"/>
      <c r="Z119" s="17"/>
      <c r="AA119" s="17"/>
      <c r="AB119" s="18"/>
      <c r="AC119" s="7"/>
      <c r="AD119" s="8"/>
      <c r="AE119" s="33"/>
      <c r="AF119" s="110"/>
    </row>
    <row r="120" spans="1:36" x14ac:dyDescent="0.25">
      <c r="A120" s="41" t="s">
        <v>727</v>
      </c>
      <c r="B120" s="41" t="s">
        <v>728</v>
      </c>
      <c r="C120" s="39" t="s">
        <v>729</v>
      </c>
      <c r="D120" s="39" t="s">
        <v>728</v>
      </c>
      <c r="E120" s="27" t="str">
        <f>CONCATENATE($C120," ",$D120)</f>
        <v>Dylan Kunka</v>
      </c>
      <c r="F120" s="8" t="s">
        <v>730</v>
      </c>
      <c r="G120" s="8" t="s">
        <v>120</v>
      </c>
      <c r="H120" s="8" t="s">
        <v>115</v>
      </c>
      <c r="I120" s="7">
        <v>45342</v>
      </c>
      <c r="J120" s="16" t="str">
        <f>IF($G120&lt;&gt;"",CONCATENATE($G120,", ",$H120," ",$I120),"")</f>
        <v>Miamisburg, OH 45342</v>
      </c>
      <c r="K120" s="99">
        <v>937</v>
      </c>
      <c r="L120" s="99" t="s">
        <v>772</v>
      </c>
      <c r="M120" s="39"/>
      <c r="N120" s="39"/>
      <c r="O120" s="16">
        <f ca="1">IF($P120&lt;&gt;"", DATEDIF($P120,TODAY(),"y"), "")</f>
        <v>31</v>
      </c>
      <c r="P120" s="47">
        <v>34722</v>
      </c>
      <c r="Q120" s="58" t="s">
        <v>731</v>
      </c>
      <c r="R120" s="8"/>
      <c r="S120" s="17"/>
      <c r="T120" s="17"/>
      <c r="U120" s="17"/>
      <c r="V120" s="7"/>
      <c r="W120" s="7"/>
      <c r="X120" s="7"/>
      <c r="Y120" s="7"/>
      <c r="Z120" s="7"/>
      <c r="AA120" s="7"/>
      <c r="AB120" s="7"/>
      <c r="AC120" s="7"/>
      <c r="AD120" s="8"/>
      <c r="AE120" s="33"/>
      <c r="AF120" s="110"/>
      <c r="AG120" s="53"/>
      <c r="AH120" s="54"/>
      <c r="AI120" s="54"/>
      <c r="AJ120" s="54"/>
    </row>
    <row r="121" spans="1:36" x14ac:dyDescent="0.25">
      <c r="A121" s="40" t="s">
        <v>1048</v>
      </c>
      <c r="B121" s="40" t="s">
        <v>1049</v>
      </c>
      <c r="C121" s="42" t="s">
        <v>1050</v>
      </c>
      <c r="D121" s="42" t="s">
        <v>1049</v>
      </c>
      <c r="E121" s="27" t="str">
        <f>CONCATENATE($C121," ",$D121)</f>
        <v>Xander Kuschnerus</v>
      </c>
      <c r="F121" s="16" t="s">
        <v>1051</v>
      </c>
      <c r="G121" s="16" t="s">
        <v>120</v>
      </c>
      <c r="H121" s="16" t="s">
        <v>115</v>
      </c>
      <c r="I121" s="17">
        <v>45342</v>
      </c>
      <c r="J121" s="16" t="str">
        <f>IF($G121&lt;&gt;"",CONCATENATE($G121,", ",$H121," ",$I121),"")</f>
        <v>Miamisburg, OH 45342</v>
      </c>
      <c r="K121" s="17">
        <v>614</v>
      </c>
      <c r="L121" s="17" t="s">
        <v>1052</v>
      </c>
      <c r="M121" s="38"/>
      <c r="N121" s="38"/>
      <c r="O121" s="16">
        <f ca="1">IF($P121&lt;&gt;"", DATEDIF($P121,TODAY(),"y"), "")</f>
        <v>11</v>
      </c>
      <c r="P121" s="46">
        <v>42046</v>
      </c>
      <c r="Q121" s="62" t="s">
        <v>1053</v>
      </c>
      <c r="R121" s="8"/>
      <c r="S121" s="17" t="s">
        <v>824</v>
      </c>
      <c r="T121" s="17" t="s">
        <v>824</v>
      </c>
      <c r="U121" s="17" t="s">
        <v>8</v>
      </c>
      <c r="V121" s="18"/>
      <c r="W121" s="21"/>
      <c r="X121" s="21"/>
      <c r="Y121" s="17"/>
      <c r="Z121" s="17"/>
      <c r="AA121" s="17"/>
      <c r="AB121" s="18"/>
      <c r="AC121" s="18"/>
      <c r="AD121" s="26"/>
      <c r="AE121" s="32"/>
      <c r="AF121" s="110"/>
      <c r="AG121" s="53"/>
      <c r="AH121" s="54"/>
      <c r="AI121" s="54"/>
      <c r="AJ121" s="54"/>
    </row>
    <row r="122" spans="1:36" x14ac:dyDescent="0.25">
      <c r="A122" s="40" t="s">
        <v>305</v>
      </c>
      <c r="B122" s="40" t="s">
        <v>306</v>
      </c>
      <c r="C122" s="42" t="s">
        <v>307</v>
      </c>
      <c r="D122" s="42" t="s">
        <v>306</v>
      </c>
      <c r="E122" s="27" t="str">
        <f>CONCATENATE($C122," ",$D122)</f>
        <v>Julia Kutter</v>
      </c>
      <c r="F122" s="16" t="s">
        <v>308</v>
      </c>
      <c r="G122" s="16" t="s">
        <v>309</v>
      </c>
      <c r="H122" s="16" t="s">
        <v>115</v>
      </c>
      <c r="I122" s="17">
        <v>45324</v>
      </c>
      <c r="J122" s="16" t="str">
        <f>IF($G122&lt;&gt;"",CONCATENATE($G122,", ",$H122," ",$I122),"")</f>
        <v>Fairborn, OH 45324</v>
      </c>
      <c r="K122" s="17">
        <v>937</v>
      </c>
      <c r="L122" s="17" t="s">
        <v>310</v>
      </c>
      <c r="M122" s="38"/>
      <c r="N122" s="38"/>
      <c r="O122" s="16">
        <f ca="1">IF($P122&lt;&gt;"", DATEDIF($P122,TODAY(),"y"), "")</f>
        <v>18</v>
      </c>
      <c r="P122" s="46">
        <v>39393</v>
      </c>
      <c r="Q122" s="14" t="s">
        <v>59</v>
      </c>
      <c r="R122" s="8"/>
      <c r="S122" s="17" t="s">
        <v>817</v>
      </c>
      <c r="T122" s="17"/>
      <c r="U122" s="17"/>
      <c r="V122" s="17"/>
      <c r="W122" s="21"/>
      <c r="X122" s="21"/>
      <c r="Y122" s="17"/>
      <c r="Z122" s="17"/>
      <c r="AA122" s="17"/>
      <c r="AB122" s="18"/>
      <c r="AC122" s="22"/>
      <c r="AD122" s="19"/>
      <c r="AE122" s="32"/>
      <c r="AF122" s="110"/>
    </row>
    <row r="123" spans="1:36" x14ac:dyDescent="0.25">
      <c r="A123" s="40" t="s">
        <v>305</v>
      </c>
      <c r="B123" s="40" t="s">
        <v>306</v>
      </c>
      <c r="C123" s="42" t="s">
        <v>311</v>
      </c>
      <c r="D123" s="42" t="s">
        <v>306</v>
      </c>
      <c r="E123" s="27" t="str">
        <f>CONCATENATE($C123," ",$D123)</f>
        <v>Thomas Kutter</v>
      </c>
      <c r="F123" s="16" t="s">
        <v>308</v>
      </c>
      <c r="G123" s="16" t="s">
        <v>309</v>
      </c>
      <c r="H123" s="16" t="s">
        <v>115</v>
      </c>
      <c r="I123" s="17">
        <v>45324</v>
      </c>
      <c r="J123" s="16" t="str">
        <f>IF($G123&lt;&gt;"",CONCATENATE($G123,", ",$H123," ",$I123),"")</f>
        <v>Fairborn, OH 45324</v>
      </c>
      <c r="K123" s="17">
        <v>937</v>
      </c>
      <c r="L123" s="17" t="s">
        <v>310</v>
      </c>
      <c r="M123" s="38"/>
      <c r="N123" s="38"/>
      <c r="O123" s="16">
        <f ca="1">IF($P123&lt;&gt;"", DATEDIF($P123,TODAY(),"y"), "")</f>
        <v>17</v>
      </c>
      <c r="P123" s="46">
        <v>39967</v>
      </c>
      <c r="Q123" s="14" t="s">
        <v>59</v>
      </c>
      <c r="R123" s="8"/>
      <c r="S123" s="17"/>
      <c r="T123" s="17"/>
      <c r="U123" s="17"/>
      <c r="V123" s="17"/>
      <c r="W123" s="20"/>
      <c r="X123" s="20"/>
      <c r="Y123" s="17"/>
      <c r="Z123" s="17"/>
      <c r="AA123" s="17"/>
      <c r="AB123" s="18"/>
      <c r="AC123" s="22"/>
      <c r="AD123" s="19"/>
      <c r="AE123" s="32"/>
      <c r="AF123" s="110"/>
      <c r="AG123" s="53"/>
      <c r="AH123" s="54"/>
      <c r="AI123" s="54"/>
      <c r="AJ123" s="54"/>
    </row>
    <row r="124" spans="1:36" x14ac:dyDescent="0.25">
      <c r="A124" s="41" t="s">
        <v>1071</v>
      </c>
      <c r="B124" s="41" t="s">
        <v>1072</v>
      </c>
      <c r="C124" s="39" t="s">
        <v>1073</v>
      </c>
      <c r="D124" s="39" t="s">
        <v>1072</v>
      </c>
      <c r="E124" s="27" t="str">
        <f>CONCATENATE($C124," ",$D124)</f>
        <v>Elliot Ladd</v>
      </c>
      <c r="F124" s="8" t="s">
        <v>1074</v>
      </c>
      <c r="G124" s="8" t="s">
        <v>118</v>
      </c>
      <c r="H124" s="8" t="s">
        <v>115</v>
      </c>
      <c r="I124" s="7">
        <v>45066</v>
      </c>
      <c r="J124" s="16" t="str">
        <f>IF($G124&lt;&gt;"",CONCATENATE($G124,", ",$H124," ",$I124),"")</f>
        <v>Springboro, OH 45066</v>
      </c>
      <c r="K124" s="99">
        <v>937</v>
      </c>
      <c r="L124" s="99" t="s">
        <v>1076</v>
      </c>
      <c r="M124" s="39" t="s">
        <v>122</v>
      </c>
      <c r="N124" s="39" t="s">
        <v>121</v>
      </c>
      <c r="O124" s="16">
        <f ca="1">IF($P124&lt;&gt;"", DATEDIF($P124,TODAY(),"y"), "")</f>
        <v>9</v>
      </c>
      <c r="P124" s="47">
        <v>42649</v>
      </c>
      <c r="Q124" s="58" t="s">
        <v>1075</v>
      </c>
      <c r="R124" s="8"/>
      <c r="S124" s="107" t="s">
        <v>823</v>
      </c>
      <c r="T124" s="7" t="s">
        <v>823</v>
      </c>
      <c r="U124" s="7" t="s">
        <v>9</v>
      </c>
      <c r="V124" s="7"/>
      <c r="W124" s="7"/>
      <c r="X124" s="7"/>
      <c r="Y124" s="7"/>
      <c r="Z124" s="7"/>
      <c r="AA124" s="7"/>
      <c r="AB124" s="7" t="s">
        <v>1526</v>
      </c>
      <c r="AC124" s="7"/>
      <c r="AD124" s="8"/>
      <c r="AE124" s="33"/>
      <c r="AF124" s="110" t="s">
        <v>1662</v>
      </c>
    </row>
    <row r="125" spans="1:36" x14ac:dyDescent="0.25">
      <c r="A125" s="41" t="s">
        <v>1458</v>
      </c>
      <c r="B125" s="41" t="s">
        <v>1459</v>
      </c>
      <c r="C125" s="39" t="s">
        <v>1460</v>
      </c>
      <c r="D125" s="39" t="s">
        <v>1459</v>
      </c>
      <c r="E125" s="27" t="str">
        <f>CONCATENATE($C125," ",$D125)</f>
        <v>Cade LaFontsee</v>
      </c>
      <c r="F125" s="8"/>
      <c r="G125" s="8"/>
      <c r="H125" s="8"/>
      <c r="I125" s="7"/>
      <c r="J125" s="16"/>
      <c r="K125" s="99">
        <v>209</v>
      </c>
      <c r="L125" s="99" t="s">
        <v>1463</v>
      </c>
      <c r="M125" s="39" t="s">
        <v>122</v>
      </c>
      <c r="N125" s="39" t="s">
        <v>122</v>
      </c>
      <c r="O125" s="16">
        <f ca="1">IF($P125&lt;&gt;"", DATEDIF($P125,TODAY(),"y"), "")</f>
        <v>9</v>
      </c>
      <c r="P125" s="48">
        <v>42831</v>
      </c>
      <c r="Q125" s="8" t="s">
        <v>1465</v>
      </c>
      <c r="R125" s="8"/>
      <c r="S125" s="111" t="s">
        <v>823</v>
      </c>
      <c r="T125" s="7"/>
      <c r="U125" s="7"/>
      <c r="V125" s="7"/>
      <c r="W125" s="7"/>
      <c r="X125" s="7"/>
      <c r="Y125" s="7"/>
      <c r="Z125" s="7"/>
      <c r="AA125" s="7"/>
      <c r="AB125" s="7" t="s">
        <v>1526</v>
      </c>
      <c r="AC125" s="7"/>
      <c r="AD125" s="8"/>
      <c r="AE125" s="33"/>
      <c r="AF125" s="110" t="s">
        <v>1662</v>
      </c>
    </row>
    <row r="126" spans="1:36" x14ac:dyDescent="0.25">
      <c r="A126" s="41" t="s">
        <v>978</v>
      </c>
      <c r="B126" s="41" t="s">
        <v>1652</v>
      </c>
      <c r="C126" s="39" t="s">
        <v>1651</v>
      </c>
      <c r="D126" s="39" t="s">
        <v>1652</v>
      </c>
      <c r="E126" s="27" t="str">
        <f>CONCATENATE($C126," ",$D126)</f>
        <v>Livy Lake</v>
      </c>
      <c r="F126" s="8"/>
      <c r="G126" s="8"/>
      <c r="H126" s="8"/>
      <c r="I126" s="7"/>
      <c r="J126" s="16"/>
      <c r="K126" s="99">
        <v>937</v>
      </c>
      <c r="L126" s="99" t="s">
        <v>1659</v>
      </c>
      <c r="M126" s="39" t="s">
        <v>116</v>
      </c>
      <c r="N126" s="39"/>
      <c r="O126" s="16">
        <v>14</v>
      </c>
      <c r="P126" s="48">
        <v>41260</v>
      </c>
      <c r="Q126" s="61" t="s">
        <v>1653</v>
      </c>
      <c r="R126" s="8"/>
      <c r="S126" s="111" t="s">
        <v>825</v>
      </c>
      <c r="T126" s="7"/>
      <c r="U126" s="7"/>
      <c r="V126" s="7"/>
      <c r="W126" s="7"/>
      <c r="X126" s="7"/>
      <c r="Y126" s="7"/>
      <c r="Z126" s="7"/>
      <c r="AA126" s="7"/>
      <c r="AB126" s="7"/>
      <c r="AC126" s="7" t="s">
        <v>1526</v>
      </c>
      <c r="AD126" s="8"/>
      <c r="AE126" s="33"/>
      <c r="AF126" s="110"/>
    </row>
    <row r="127" spans="1:36" x14ac:dyDescent="0.25">
      <c r="A127" s="41" t="s">
        <v>649</v>
      </c>
      <c r="B127" s="41" t="s">
        <v>643</v>
      </c>
      <c r="C127" s="39" t="s">
        <v>644</v>
      </c>
      <c r="D127" s="39" t="s">
        <v>645</v>
      </c>
      <c r="E127" s="27" t="str">
        <f>CONCATENATE($C127," ",$D127)</f>
        <v>Madison Landers</v>
      </c>
      <c r="F127" s="8" t="s">
        <v>646</v>
      </c>
      <c r="G127" s="8" t="s">
        <v>123</v>
      </c>
      <c r="H127" s="8" t="s">
        <v>115</v>
      </c>
      <c r="I127" s="7">
        <v>45458</v>
      </c>
      <c r="J127" s="16" t="str">
        <f>IF($G127&lt;&gt;"",CONCATENATE($G127,", ",$H127," ",$I127),"")</f>
        <v>Dayton, OH 45458</v>
      </c>
      <c r="K127" s="99">
        <v>937</v>
      </c>
      <c r="L127" s="99" t="s">
        <v>647</v>
      </c>
      <c r="M127" s="97" t="s">
        <v>181</v>
      </c>
      <c r="N127" s="90"/>
      <c r="O127" s="16">
        <f ca="1">IF($P127&lt;&gt;"", DATEDIF($P127,TODAY(),"y"), "")</f>
        <v>20</v>
      </c>
      <c r="P127" s="48">
        <v>38805</v>
      </c>
      <c r="Q127" s="8" t="s">
        <v>648</v>
      </c>
      <c r="R127" s="8"/>
      <c r="S127" s="17" t="s">
        <v>826</v>
      </c>
      <c r="T127" s="17" t="s">
        <v>817</v>
      </c>
      <c r="U127" s="17" t="s">
        <v>1034</v>
      </c>
      <c r="V127" s="7"/>
      <c r="W127" s="21"/>
      <c r="X127" s="21"/>
      <c r="Y127" s="17"/>
      <c r="Z127" s="17"/>
      <c r="AA127" s="17"/>
      <c r="AB127" s="18"/>
      <c r="AC127" s="7" t="s">
        <v>1526</v>
      </c>
      <c r="AD127" s="8"/>
      <c r="AE127" s="33"/>
      <c r="AF127" s="110"/>
      <c r="AG127" s="53"/>
      <c r="AH127" s="54"/>
      <c r="AI127" s="54"/>
      <c r="AJ127" s="54"/>
    </row>
    <row r="128" spans="1:36" x14ac:dyDescent="0.25">
      <c r="A128" s="41" t="s">
        <v>1207</v>
      </c>
      <c r="B128" s="41" t="s">
        <v>1208</v>
      </c>
      <c r="C128" s="39" t="s">
        <v>1327</v>
      </c>
      <c r="D128" s="39" t="s">
        <v>1208</v>
      </c>
      <c r="E128" s="27" t="str">
        <f>CONCATENATE($C128," ",$D128)</f>
        <v>Mariah Lane</v>
      </c>
      <c r="F128" s="8"/>
      <c r="G128" s="8"/>
      <c r="H128" s="8"/>
      <c r="I128" s="7"/>
      <c r="J128" s="16"/>
      <c r="K128" s="99">
        <v>585</v>
      </c>
      <c r="L128" s="99" t="s">
        <v>1209</v>
      </c>
      <c r="M128" s="39"/>
      <c r="N128" s="39" t="s">
        <v>121</v>
      </c>
      <c r="O128" s="16">
        <f ca="1">IF($P128&lt;&gt;"", DATEDIF($P128,TODAY(),"y"), "")</f>
        <v>9</v>
      </c>
      <c r="P128" s="47">
        <v>42755</v>
      </c>
      <c r="Q128" s="58" t="s">
        <v>1210</v>
      </c>
      <c r="R128" s="8"/>
      <c r="S128" s="17" t="s">
        <v>823</v>
      </c>
      <c r="T128" s="7" t="s">
        <v>823</v>
      </c>
      <c r="U128" s="7" t="s">
        <v>9</v>
      </c>
      <c r="V128" s="7"/>
      <c r="W128" s="7"/>
      <c r="X128" s="7"/>
      <c r="Y128" s="7"/>
      <c r="Z128" s="7"/>
      <c r="AA128" s="7"/>
      <c r="AB128" s="18"/>
      <c r="AC128" s="7"/>
      <c r="AD128" s="8"/>
      <c r="AE128" s="33"/>
      <c r="AF128" s="110"/>
    </row>
    <row r="129" spans="1:36" x14ac:dyDescent="0.25">
      <c r="A129" s="41" t="s">
        <v>1207</v>
      </c>
      <c r="B129" s="41" t="s">
        <v>1208</v>
      </c>
      <c r="C129" s="39" t="s">
        <v>1194</v>
      </c>
      <c r="D129" s="39" t="s">
        <v>1208</v>
      </c>
      <c r="E129" s="27" t="str">
        <f>CONCATENATE($C129," ",$D129)</f>
        <v>Mason Lane</v>
      </c>
      <c r="F129" s="8"/>
      <c r="G129" s="8"/>
      <c r="H129" s="8"/>
      <c r="I129" s="7"/>
      <c r="J129" s="16"/>
      <c r="K129" s="99">
        <v>585</v>
      </c>
      <c r="L129" s="99" t="s">
        <v>1209</v>
      </c>
      <c r="M129" s="39"/>
      <c r="N129" s="39" t="s">
        <v>121</v>
      </c>
      <c r="O129" s="16">
        <f ca="1">IF($P129&lt;&gt;"", DATEDIF($P129,TODAY(),"y"), "")</f>
        <v>9</v>
      </c>
      <c r="P129" s="47">
        <v>42755</v>
      </c>
      <c r="Q129" s="58" t="s">
        <v>1210</v>
      </c>
      <c r="R129" s="8"/>
      <c r="S129" s="17" t="s">
        <v>823</v>
      </c>
      <c r="T129" s="7" t="s">
        <v>823</v>
      </c>
      <c r="U129" s="7" t="s">
        <v>9</v>
      </c>
      <c r="V129" s="7"/>
      <c r="W129" s="7"/>
      <c r="X129" s="7"/>
      <c r="Y129" s="7"/>
      <c r="Z129" s="7"/>
      <c r="AA129" s="7"/>
      <c r="AB129" s="18"/>
      <c r="AC129" s="7"/>
      <c r="AD129" s="8"/>
      <c r="AE129" s="33"/>
      <c r="AF129" s="110"/>
      <c r="AG129" s="15"/>
    </row>
    <row r="130" spans="1:36" x14ac:dyDescent="0.25">
      <c r="A130" s="41" t="s">
        <v>696</v>
      </c>
      <c r="B130" s="41" t="s">
        <v>697</v>
      </c>
      <c r="C130" s="39" t="s">
        <v>698</v>
      </c>
      <c r="D130" s="39" t="s">
        <v>699</v>
      </c>
      <c r="E130" s="27" t="str">
        <f>CONCATENATE($C130," ",$D130)</f>
        <v>Alishalyn Lang</v>
      </c>
      <c r="F130" s="8" t="s">
        <v>700</v>
      </c>
      <c r="G130" s="8" t="s">
        <v>304</v>
      </c>
      <c r="H130" s="8" t="s">
        <v>115</v>
      </c>
      <c r="I130" s="7">
        <v>45488</v>
      </c>
      <c r="J130" s="16" t="str">
        <f>IF($G130&lt;&gt;"",CONCATENATE($G130,", ",$H130," ",$I130),"")</f>
        <v>Washington Twp, OH 45488</v>
      </c>
      <c r="K130" s="99">
        <v>937</v>
      </c>
      <c r="L130" s="99" t="s">
        <v>701</v>
      </c>
      <c r="M130" s="39"/>
      <c r="N130" s="39"/>
      <c r="O130" s="16">
        <v>10</v>
      </c>
      <c r="P130" s="47">
        <v>39360</v>
      </c>
      <c r="Q130" s="58" t="s">
        <v>702</v>
      </c>
      <c r="R130" s="59" t="s">
        <v>703</v>
      </c>
      <c r="S130" s="17"/>
      <c r="T130" s="17"/>
      <c r="U130" s="17"/>
      <c r="V130" s="7"/>
      <c r="W130" s="7"/>
      <c r="X130" s="7"/>
      <c r="Y130" s="7"/>
      <c r="Z130" s="7"/>
      <c r="AA130" s="7"/>
      <c r="AB130" s="7"/>
      <c r="AC130" s="7"/>
      <c r="AD130" s="8"/>
      <c r="AE130" s="33"/>
      <c r="AF130" s="110"/>
    </row>
    <row r="131" spans="1:36" x14ac:dyDescent="0.25">
      <c r="A131" s="40" t="s">
        <v>1099</v>
      </c>
      <c r="B131" s="40" t="s">
        <v>1211</v>
      </c>
      <c r="C131" s="42" t="s">
        <v>1212</v>
      </c>
      <c r="D131" s="42" t="s">
        <v>1211</v>
      </c>
      <c r="E131" s="27" t="str">
        <f>CONCATENATE($C131," ",$D131)</f>
        <v>Grayson Leffew</v>
      </c>
      <c r="F131" s="16"/>
      <c r="G131" s="16"/>
      <c r="H131" s="16"/>
      <c r="I131" s="17"/>
      <c r="J131" s="16"/>
      <c r="K131" s="17">
        <v>513</v>
      </c>
      <c r="L131" s="17" t="s">
        <v>1213</v>
      </c>
      <c r="M131" s="38"/>
      <c r="N131" s="38"/>
      <c r="O131" s="16">
        <f ca="1">IF($P131&lt;&gt;"", DATEDIF($P131,TODAY(),"y"), "")</f>
        <v>9</v>
      </c>
      <c r="P131" s="46">
        <v>42630</v>
      </c>
      <c r="Q131" s="62" t="s">
        <v>1214</v>
      </c>
      <c r="R131" s="8"/>
      <c r="S131" s="17" t="s">
        <v>823</v>
      </c>
      <c r="T131" s="17" t="s">
        <v>823</v>
      </c>
      <c r="U131" s="17" t="s">
        <v>9</v>
      </c>
      <c r="V131" s="17"/>
      <c r="W131" s="20"/>
      <c r="X131" s="20"/>
      <c r="Y131" s="17"/>
      <c r="Z131" s="17"/>
      <c r="AA131" s="17"/>
      <c r="AB131" s="18"/>
      <c r="AC131" s="18"/>
      <c r="AD131" s="19"/>
      <c r="AE131" s="32"/>
      <c r="AF131" s="110"/>
    </row>
    <row r="132" spans="1:36" x14ac:dyDescent="0.25">
      <c r="A132" s="40" t="s">
        <v>312</v>
      </c>
      <c r="B132" s="40" t="s">
        <v>313</v>
      </c>
      <c r="C132" s="42" t="s">
        <v>1410</v>
      </c>
      <c r="D132" s="42" t="s">
        <v>313</v>
      </c>
      <c r="E132" s="27" t="str">
        <f>CONCATENATE($C132," ",$D132)</f>
        <v>Isabella Leonard</v>
      </c>
      <c r="F132" s="16"/>
      <c r="G132" s="16"/>
      <c r="H132" s="16"/>
      <c r="I132" s="17"/>
      <c r="J132" s="16"/>
      <c r="K132" s="17">
        <v>937</v>
      </c>
      <c r="L132" s="17" t="s">
        <v>1411</v>
      </c>
      <c r="M132" s="39"/>
      <c r="N132" s="39" t="s">
        <v>181</v>
      </c>
      <c r="O132" s="16">
        <f ca="1">IF($P132&lt;&gt;"", DATEDIF($P132,TODAY(),"y"), "")</f>
        <v>16</v>
      </c>
      <c r="P132" s="46">
        <v>40261</v>
      </c>
      <c r="Q132" s="62" t="s">
        <v>1412</v>
      </c>
      <c r="R132" s="8"/>
      <c r="S132" s="17" t="s">
        <v>828</v>
      </c>
      <c r="T132" s="17"/>
      <c r="U132" s="17"/>
      <c r="V132" s="17"/>
      <c r="W132" s="20"/>
      <c r="X132" s="20"/>
      <c r="Y132" s="17"/>
      <c r="Z132" s="17"/>
      <c r="AA132" s="17"/>
      <c r="AB132" s="18"/>
      <c r="AC132" s="18"/>
      <c r="AD132" s="19"/>
      <c r="AE132" s="32"/>
      <c r="AF132" s="110"/>
      <c r="AG132" s="53"/>
      <c r="AH132" s="54"/>
      <c r="AI132" s="54"/>
      <c r="AJ132" s="54"/>
    </row>
    <row r="133" spans="1:36" x14ac:dyDescent="0.25">
      <c r="A133" s="41" t="s">
        <v>619</v>
      </c>
      <c r="B133" s="41" t="s">
        <v>313</v>
      </c>
      <c r="C133" s="39" t="s">
        <v>849</v>
      </c>
      <c r="D133" s="39" t="s">
        <v>313</v>
      </c>
      <c r="E133" s="27" t="str">
        <f>CONCATENATE($C133," ",$D133)</f>
        <v>Lochlan Leonard</v>
      </c>
      <c r="F133" s="8" t="s">
        <v>850</v>
      </c>
      <c r="G133" s="8" t="s">
        <v>358</v>
      </c>
      <c r="H133" s="8" t="s">
        <v>115</v>
      </c>
      <c r="I133" s="7">
        <v>45005</v>
      </c>
      <c r="J133" s="16" t="str">
        <f>IF($G133&lt;&gt;"",CONCATENATE($G133,", ",$H133," ",$I133),"")</f>
        <v>Franklin, OH 45005</v>
      </c>
      <c r="K133" s="99">
        <v>937</v>
      </c>
      <c r="L133" s="99" t="s">
        <v>852</v>
      </c>
      <c r="M133" s="39"/>
      <c r="N133" s="39" t="s">
        <v>102</v>
      </c>
      <c r="O133" s="16">
        <f ca="1">IF($P133&lt;&gt;"", DATEDIF($P133,TODAY(),"y"), "")</f>
        <v>10</v>
      </c>
      <c r="P133" s="47">
        <v>42260</v>
      </c>
      <c r="Q133" s="58" t="s">
        <v>851</v>
      </c>
      <c r="R133" s="8"/>
      <c r="S133" s="17" t="s">
        <v>823</v>
      </c>
      <c r="T133" s="17" t="s">
        <v>823</v>
      </c>
      <c r="U133" s="17" t="s">
        <v>9</v>
      </c>
      <c r="V133" s="7"/>
      <c r="W133" s="21"/>
      <c r="X133" s="21"/>
      <c r="Y133" s="17"/>
      <c r="Z133" s="17"/>
      <c r="AA133" s="17"/>
      <c r="AB133" s="18"/>
      <c r="AC133" s="7"/>
      <c r="AD133" s="8"/>
      <c r="AE133" s="33"/>
      <c r="AF133" s="110"/>
    </row>
    <row r="134" spans="1:36" x14ac:dyDescent="0.25">
      <c r="A134" s="41" t="s">
        <v>1202</v>
      </c>
      <c r="B134" s="41" t="s">
        <v>1259</v>
      </c>
      <c r="C134" s="39" t="s">
        <v>1328</v>
      </c>
      <c r="D134" s="39" t="s">
        <v>1259</v>
      </c>
      <c r="E134" s="27" t="str">
        <f>CONCATENATE($C134," ",$D134)</f>
        <v>Rhett List</v>
      </c>
      <c r="F134" s="8"/>
      <c r="G134" s="8"/>
      <c r="H134" s="8"/>
      <c r="I134" s="7"/>
      <c r="J134" s="16"/>
      <c r="K134" s="99">
        <v>740</v>
      </c>
      <c r="L134" s="99" t="s">
        <v>1260</v>
      </c>
      <c r="M134" s="39"/>
      <c r="N134" s="39"/>
      <c r="O134" s="16">
        <f ca="1">IF($P134&lt;&gt;"", DATEDIF($P134,TODAY(),"y"), "")</f>
        <v>8</v>
      </c>
      <c r="P134" s="47">
        <v>43268</v>
      </c>
      <c r="Q134" s="58" t="s">
        <v>1261</v>
      </c>
      <c r="R134" s="8"/>
      <c r="S134" s="17" t="s">
        <v>823</v>
      </c>
      <c r="T134" s="17" t="s">
        <v>823</v>
      </c>
      <c r="U134" s="17" t="s">
        <v>9</v>
      </c>
      <c r="V134" s="7"/>
      <c r="W134" s="7"/>
      <c r="X134" s="7"/>
      <c r="Y134" s="7"/>
      <c r="Z134" s="7"/>
      <c r="AA134" s="7"/>
      <c r="AB134" s="18"/>
      <c r="AC134" s="7"/>
      <c r="AD134" s="8"/>
      <c r="AE134" s="33"/>
      <c r="AF134" s="110"/>
    </row>
    <row r="135" spans="1:36" x14ac:dyDescent="0.25">
      <c r="A135" s="40" t="s">
        <v>314</v>
      </c>
      <c r="B135" s="40" t="s">
        <v>315</v>
      </c>
      <c r="C135" s="42" t="s">
        <v>316</v>
      </c>
      <c r="D135" s="42" t="s">
        <v>315</v>
      </c>
      <c r="E135" s="27" t="str">
        <f>CONCATENATE($C135," ",$D135)</f>
        <v>Kyra  Lovings</v>
      </c>
      <c r="F135" s="16" t="s">
        <v>317</v>
      </c>
      <c r="G135" s="16" t="s">
        <v>123</v>
      </c>
      <c r="H135" s="16" t="s">
        <v>115</v>
      </c>
      <c r="I135" s="17">
        <v>45459</v>
      </c>
      <c r="J135" s="16" t="str">
        <f>IF($G135&lt;&gt;"",CONCATENATE($G135,", ",$H135," ",$I135),"")</f>
        <v>Dayton, OH 45459</v>
      </c>
      <c r="K135" s="17">
        <v>937</v>
      </c>
      <c r="L135" s="17" t="s">
        <v>318</v>
      </c>
      <c r="M135" s="38"/>
      <c r="N135" s="38"/>
      <c r="O135" s="16">
        <f ca="1">IF($P135&lt;&gt;"", DATEDIF($P135,TODAY(),"y"), "")</f>
        <v>27</v>
      </c>
      <c r="P135" s="46">
        <v>36017</v>
      </c>
      <c r="Q135" s="14" t="s">
        <v>60</v>
      </c>
      <c r="R135" s="8" t="s">
        <v>61</v>
      </c>
      <c r="S135" s="17" t="s">
        <v>817</v>
      </c>
      <c r="T135" s="17"/>
      <c r="U135" s="17"/>
      <c r="V135" s="17"/>
      <c r="W135" s="21"/>
      <c r="X135" s="21"/>
      <c r="Y135" s="17"/>
      <c r="Z135" s="17"/>
      <c r="AA135" s="17"/>
      <c r="AB135" s="18"/>
      <c r="AC135" s="18"/>
      <c r="AD135" s="16"/>
      <c r="AE135" s="32"/>
      <c r="AF135" s="110"/>
    </row>
    <row r="136" spans="1:36" x14ac:dyDescent="0.25">
      <c r="A136" s="40" t="s">
        <v>1449</v>
      </c>
      <c r="B136" s="40" t="s">
        <v>1448</v>
      </c>
      <c r="C136" s="42" t="s">
        <v>1447</v>
      </c>
      <c r="D136" s="42" t="s">
        <v>1448</v>
      </c>
      <c r="E136" s="27" t="str">
        <f>CONCATENATE($C136," ",$D136)</f>
        <v>Bodey Maher</v>
      </c>
      <c r="F136" s="16"/>
      <c r="G136" s="16"/>
      <c r="H136" s="16"/>
      <c r="I136" s="17"/>
      <c r="J136" s="16"/>
      <c r="K136" s="17">
        <v>937</v>
      </c>
      <c r="L136" s="17" t="s">
        <v>1451</v>
      </c>
      <c r="M136" s="39" t="s">
        <v>116</v>
      </c>
      <c r="N136" s="39" t="s">
        <v>121</v>
      </c>
      <c r="O136" s="16">
        <f ca="1">IF($P136&lt;&gt;"", DATEDIF($P136,TODAY(),"y"), "")</f>
        <v>11</v>
      </c>
      <c r="P136" s="46">
        <v>42111</v>
      </c>
      <c r="Q136" s="14" t="s">
        <v>1450</v>
      </c>
      <c r="R136" s="8"/>
      <c r="S136" s="107" t="s">
        <v>1418</v>
      </c>
      <c r="T136" s="17"/>
      <c r="U136" s="17"/>
      <c r="V136" s="17"/>
      <c r="W136" s="20"/>
      <c r="X136" s="20"/>
      <c r="Y136" s="17"/>
      <c r="Z136" s="17"/>
      <c r="AA136" s="17"/>
      <c r="AB136" s="18" t="s">
        <v>1526</v>
      </c>
      <c r="AC136" s="18"/>
      <c r="AD136" s="19"/>
      <c r="AE136" s="32"/>
      <c r="AF136" s="110" t="s">
        <v>1662</v>
      </c>
    </row>
    <row r="137" spans="1:36" x14ac:dyDescent="0.25">
      <c r="A137" s="41" t="s">
        <v>959</v>
      </c>
      <c r="B137" s="41" t="s">
        <v>960</v>
      </c>
      <c r="C137" s="39" t="s">
        <v>954</v>
      </c>
      <c r="D137" s="39" t="s">
        <v>955</v>
      </c>
      <c r="E137" s="27" t="str">
        <f>CONCATENATE($C137," ",$D137)</f>
        <v>Artie Mahl</v>
      </c>
      <c r="F137" s="8" t="s">
        <v>956</v>
      </c>
      <c r="G137" s="8" t="s">
        <v>114</v>
      </c>
      <c r="H137" s="8" t="s">
        <v>115</v>
      </c>
      <c r="I137" s="7">
        <v>45459</v>
      </c>
      <c r="J137" s="16" t="str">
        <f>IF($G137&lt;&gt;"",CONCATENATE($G137,", ",$H137," ",$I137),"")</f>
        <v>Centerville, OH 45459</v>
      </c>
      <c r="K137" s="99">
        <v>708</v>
      </c>
      <c r="L137" s="99" t="s">
        <v>957</v>
      </c>
      <c r="M137" s="39"/>
      <c r="N137" s="39"/>
      <c r="O137" s="16">
        <f ca="1">IF($P137&lt;&gt;"", DATEDIF($P137,TODAY(),"y"), "")</f>
        <v>16</v>
      </c>
      <c r="P137" s="47">
        <v>40245</v>
      </c>
      <c r="Q137" s="58" t="s">
        <v>958</v>
      </c>
      <c r="R137" s="8"/>
      <c r="S137" s="17"/>
      <c r="T137" s="17"/>
      <c r="U137" s="17"/>
      <c r="V137" s="7"/>
      <c r="W137" s="7"/>
      <c r="X137" s="7"/>
      <c r="Y137" s="7"/>
      <c r="Z137" s="7"/>
      <c r="AA137" s="7"/>
      <c r="AB137" s="7"/>
      <c r="AC137" s="7"/>
      <c r="AD137" s="8"/>
      <c r="AE137" s="33"/>
      <c r="AF137" s="110"/>
    </row>
    <row r="138" spans="1:36" x14ac:dyDescent="0.25">
      <c r="A138" s="41" t="s">
        <v>669</v>
      </c>
      <c r="B138" s="41" t="s">
        <v>670</v>
      </c>
      <c r="C138" s="39" t="s">
        <v>671</v>
      </c>
      <c r="D138" s="39" t="s">
        <v>670</v>
      </c>
      <c r="E138" s="27" t="str">
        <f>CONCATENATE($C138," ",$D138)</f>
        <v>Lucia Malott</v>
      </c>
      <c r="F138" s="8" t="s">
        <v>672</v>
      </c>
      <c r="G138" s="8" t="s">
        <v>125</v>
      </c>
      <c r="H138" s="8" t="s">
        <v>115</v>
      </c>
      <c r="I138" s="7">
        <v>45440</v>
      </c>
      <c r="J138" s="16" t="str">
        <f>IF($G138&lt;&gt;"",CONCATENATE($G138,", ",$H138," ",$I138),"")</f>
        <v>Kettering, OH 45440</v>
      </c>
      <c r="K138" s="99">
        <v>615</v>
      </c>
      <c r="L138" s="99" t="s">
        <v>673</v>
      </c>
      <c r="M138" s="39"/>
      <c r="N138" s="39"/>
      <c r="O138" s="16">
        <f ca="1">IF($P138&lt;&gt;"", DATEDIF($P138,TODAY(),"y"), "")</f>
        <v>18</v>
      </c>
      <c r="P138" s="47">
        <v>39267</v>
      </c>
      <c r="Q138" s="58" t="s">
        <v>674</v>
      </c>
      <c r="R138" s="59" t="s">
        <v>675</v>
      </c>
      <c r="S138" s="17" t="s">
        <v>828</v>
      </c>
      <c r="T138" s="17"/>
      <c r="U138" s="17"/>
      <c r="V138" s="7"/>
      <c r="W138" s="7"/>
      <c r="X138" s="7"/>
      <c r="Y138" s="7"/>
      <c r="Z138" s="7"/>
      <c r="AA138" s="7"/>
      <c r="AB138" s="7"/>
      <c r="AC138" s="7"/>
      <c r="AD138" s="8"/>
      <c r="AE138" s="33"/>
      <c r="AF138" s="110"/>
      <c r="AG138" s="53"/>
      <c r="AH138" s="54"/>
      <c r="AI138" s="54"/>
      <c r="AJ138" s="54"/>
    </row>
    <row r="139" spans="1:36" x14ac:dyDescent="0.25">
      <c r="A139" s="40" t="s">
        <v>1496</v>
      </c>
      <c r="B139" s="40" t="s">
        <v>1497</v>
      </c>
      <c r="C139" s="42" t="s">
        <v>1499</v>
      </c>
      <c r="D139" s="42" t="s">
        <v>1497</v>
      </c>
      <c r="E139" s="27" t="str">
        <f>CONCATENATE($C139," ",$D139)</f>
        <v>Drake Marks</v>
      </c>
      <c r="F139" s="16"/>
      <c r="G139" s="16"/>
      <c r="H139" s="16"/>
      <c r="I139" s="17"/>
      <c r="J139" s="16"/>
      <c r="K139" s="17">
        <v>937</v>
      </c>
      <c r="L139" s="17" t="s">
        <v>1504</v>
      </c>
      <c r="M139" s="39"/>
      <c r="N139" s="39" t="s">
        <v>116</v>
      </c>
      <c r="O139" s="16">
        <f ca="1">IF($P139&lt;&gt;"", DATEDIF($P139,TODAY(),"y"), "")</f>
        <v>15</v>
      </c>
      <c r="P139" s="46">
        <v>40675</v>
      </c>
      <c r="Q139" s="14" t="s">
        <v>1501</v>
      </c>
      <c r="R139" s="8"/>
      <c r="S139" s="17" t="s">
        <v>817</v>
      </c>
      <c r="T139" s="17"/>
      <c r="U139" s="17"/>
      <c r="V139" s="17"/>
      <c r="W139" s="21"/>
      <c r="X139" s="21"/>
      <c r="Y139" s="17"/>
      <c r="Z139" s="17"/>
      <c r="AA139" s="17"/>
      <c r="AB139" s="23"/>
      <c r="AC139" s="22"/>
      <c r="AD139" s="19"/>
      <c r="AE139" s="32"/>
      <c r="AF139" s="110"/>
    </row>
    <row r="140" spans="1:36" x14ac:dyDescent="0.25">
      <c r="A140" s="40" t="s">
        <v>1496</v>
      </c>
      <c r="B140" s="40" t="s">
        <v>1497</v>
      </c>
      <c r="C140" s="42" t="s">
        <v>1498</v>
      </c>
      <c r="D140" s="42" t="s">
        <v>1497</v>
      </c>
      <c r="E140" s="27" t="str">
        <f>CONCATENATE($C140," ",$D140)</f>
        <v>Kaely Marks</v>
      </c>
      <c r="F140" s="16"/>
      <c r="G140" s="16"/>
      <c r="H140" s="16"/>
      <c r="I140" s="17"/>
      <c r="J140" s="16"/>
      <c r="K140" s="17">
        <v>937</v>
      </c>
      <c r="L140" s="17" t="s">
        <v>1504</v>
      </c>
      <c r="M140" s="39"/>
      <c r="N140" s="39" t="s">
        <v>121</v>
      </c>
      <c r="O140" s="16">
        <f ca="1">IF($P140&lt;&gt;"", DATEDIF($P140,TODAY(),"y"), "")</f>
        <v>10</v>
      </c>
      <c r="P140" s="46">
        <v>42489</v>
      </c>
      <c r="Q140" s="14" t="s">
        <v>1501</v>
      </c>
      <c r="R140" s="8"/>
      <c r="S140" s="17" t="s">
        <v>825</v>
      </c>
      <c r="T140" s="17"/>
      <c r="U140" s="17"/>
      <c r="V140" s="17"/>
      <c r="W140" s="17"/>
      <c r="X140" s="17"/>
      <c r="Y140" s="18"/>
      <c r="Z140" s="18"/>
      <c r="AA140" s="17"/>
      <c r="AB140" s="17"/>
      <c r="AC140" s="24"/>
      <c r="AD140" s="19"/>
      <c r="AE140" s="31"/>
      <c r="AF140" s="110"/>
      <c r="AG140" s="15"/>
    </row>
    <row r="141" spans="1:36" x14ac:dyDescent="0.25">
      <c r="A141" s="41" t="s">
        <v>810</v>
      </c>
      <c r="B141" s="41" t="s">
        <v>1250</v>
      </c>
      <c r="C141" s="39" t="s">
        <v>1251</v>
      </c>
      <c r="D141" s="39" t="s">
        <v>1252</v>
      </c>
      <c r="E141" s="27" t="str">
        <f>CONCATENATE($C141," ",$D141)</f>
        <v>Scarlett Marquette</v>
      </c>
      <c r="F141" s="8"/>
      <c r="G141" s="8"/>
      <c r="H141" s="8"/>
      <c r="I141" s="7"/>
      <c r="J141" s="16"/>
      <c r="K141" s="99">
        <v>937</v>
      </c>
      <c r="L141" s="17" t="s">
        <v>1253</v>
      </c>
      <c r="M141" s="39"/>
      <c r="N141" s="39"/>
      <c r="O141" s="16">
        <f ca="1">IF($P141&lt;&gt;"", DATEDIF($P141,TODAY(),"y"), "")</f>
        <v>8</v>
      </c>
      <c r="P141" s="46">
        <v>43212</v>
      </c>
      <c r="Q141" s="58" t="s">
        <v>1254</v>
      </c>
      <c r="R141" s="8"/>
      <c r="S141" s="17" t="s">
        <v>823</v>
      </c>
      <c r="T141" s="17"/>
      <c r="U141" s="17"/>
      <c r="V141" s="7"/>
      <c r="W141" s="7"/>
      <c r="X141" s="7"/>
      <c r="Y141" s="7"/>
      <c r="Z141" s="7"/>
      <c r="AA141" s="7"/>
      <c r="AB141" s="18"/>
      <c r="AC141" s="7"/>
      <c r="AD141" s="8"/>
      <c r="AE141" s="33"/>
      <c r="AF141" s="110"/>
      <c r="AG141" s="15"/>
    </row>
    <row r="142" spans="1:36" x14ac:dyDescent="0.25">
      <c r="A142" s="40" t="s">
        <v>537</v>
      </c>
      <c r="B142" s="40" t="s">
        <v>538</v>
      </c>
      <c r="C142" s="42" t="s">
        <v>147</v>
      </c>
      <c r="D142" s="42" t="s">
        <v>538</v>
      </c>
      <c r="E142" s="27" t="str">
        <f>CONCATENATE($C142," ",$D142)</f>
        <v>Aaron Marshall</v>
      </c>
      <c r="F142" s="16" t="s">
        <v>539</v>
      </c>
      <c r="G142" s="16" t="s">
        <v>114</v>
      </c>
      <c r="H142" s="16" t="s">
        <v>115</v>
      </c>
      <c r="I142" s="17">
        <v>45458</v>
      </c>
      <c r="J142" s="16" t="str">
        <f>IF($G142&lt;&gt;"",CONCATENATE($G142,", ",$H142," ",$I142),"")</f>
        <v>Centerville, OH 45458</v>
      </c>
      <c r="K142" s="17">
        <v>937</v>
      </c>
      <c r="L142" s="17" t="s">
        <v>540</v>
      </c>
      <c r="M142" s="38" t="s">
        <v>144</v>
      </c>
      <c r="N142" s="38" t="s">
        <v>144</v>
      </c>
      <c r="O142" s="16">
        <f ca="1">IF($P142&lt;&gt;"", DATEDIF($P142,TODAY(),"y"), "")</f>
        <v>42</v>
      </c>
      <c r="P142" s="46">
        <v>30558</v>
      </c>
      <c r="Q142" s="62" t="s">
        <v>766</v>
      </c>
      <c r="R142" s="8" t="s">
        <v>1587</v>
      </c>
      <c r="S142" s="107" t="s">
        <v>828</v>
      </c>
      <c r="T142" s="17" t="s">
        <v>828</v>
      </c>
      <c r="U142" s="17" t="s">
        <v>9</v>
      </c>
      <c r="V142" s="17"/>
      <c r="W142" s="17"/>
      <c r="X142" s="17"/>
      <c r="Y142" s="17"/>
      <c r="Z142" s="17"/>
      <c r="AA142" s="17"/>
      <c r="AB142" s="18" t="s">
        <v>1526</v>
      </c>
      <c r="AC142" s="17"/>
      <c r="AD142" s="16"/>
      <c r="AE142" s="32"/>
      <c r="AF142" s="110" t="s">
        <v>1662</v>
      </c>
    </row>
    <row r="143" spans="1:36" x14ac:dyDescent="0.25">
      <c r="A143" s="40" t="s">
        <v>1045</v>
      </c>
      <c r="B143" s="40" t="s">
        <v>1358</v>
      </c>
      <c r="C143" s="42" t="s">
        <v>193</v>
      </c>
      <c r="D143" s="42" t="s">
        <v>1358</v>
      </c>
      <c r="E143" s="27" t="str">
        <f>CONCATENATE($C143," ",$D143)</f>
        <v>Ian Mauersberg</v>
      </c>
      <c r="F143" s="16" t="s">
        <v>1046</v>
      </c>
      <c r="G143" s="16" t="s">
        <v>566</v>
      </c>
      <c r="H143" s="16" t="s">
        <v>115</v>
      </c>
      <c r="I143" s="17">
        <v>45419</v>
      </c>
      <c r="J143" s="16" t="str">
        <f>IF($G143&lt;&gt;"",CONCATENATE($G143,", ",$H143," ",$I143),"")</f>
        <v>Oakwood, OH 45419</v>
      </c>
      <c r="K143" s="17">
        <v>937</v>
      </c>
      <c r="L143" s="17" t="s">
        <v>1047</v>
      </c>
      <c r="M143" s="38" t="s">
        <v>168</v>
      </c>
      <c r="N143" s="38" t="s">
        <v>168</v>
      </c>
      <c r="O143" s="16">
        <f ca="1">IF($P143&lt;&gt;"", DATEDIF($P143,TODAY(),"y"), "")</f>
        <v>18</v>
      </c>
      <c r="P143" s="46">
        <v>39353</v>
      </c>
      <c r="Q143" s="62" t="s">
        <v>1359</v>
      </c>
      <c r="R143" s="8"/>
      <c r="S143" s="107" t="s">
        <v>828</v>
      </c>
      <c r="T143" s="17" t="s">
        <v>828</v>
      </c>
      <c r="U143" s="18" t="s">
        <v>10</v>
      </c>
      <c r="V143" s="17"/>
      <c r="W143" s="21"/>
      <c r="X143" s="21"/>
      <c r="Y143" s="17"/>
      <c r="Z143" s="17"/>
      <c r="AA143" s="17"/>
      <c r="AB143" s="18" t="s">
        <v>1526</v>
      </c>
      <c r="AC143" s="22"/>
      <c r="AD143" s="19"/>
      <c r="AE143" s="31"/>
      <c r="AF143" s="110" t="s">
        <v>1662</v>
      </c>
    </row>
    <row r="144" spans="1:36" x14ac:dyDescent="0.25">
      <c r="A144" s="40" t="s">
        <v>213</v>
      </c>
      <c r="B144" s="40" t="s">
        <v>321</v>
      </c>
      <c r="C144" s="42" t="s">
        <v>1510</v>
      </c>
      <c r="D144" s="42" t="s">
        <v>321</v>
      </c>
      <c r="E144" s="27" t="str">
        <f>CONCATENATE($C144," ",$D144)</f>
        <v>Carly McCall</v>
      </c>
      <c r="F144" s="16" t="s">
        <v>322</v>
      </c>
      <c r="G144" s="16" t="s">
        <v>125</v>
      </c>
      <c r="H144" s="16" t="s">
        <v>115</v>
      </c>
      <c r="I144" s="17">
        <v>45429</v>
      </c>
      <c r="J144" s="16" t="str">
        <f>IF($G144&lt;&gt;"",CONCATENATE($G144,", ",$H144," ",$I144),"")</f>
        <v>Kettering, OH 45429</v>
      </c>
      <c r="K144" s="17">
        <v>937</v>
      </c>
      <c r="L144" s="17" t="s">
        <v>323</v>
      </c>
      <c r="M144" s="38" t="s">
        <v>168</v>
      </c>
      <c r="N144" s="38" t="s">
        <v>168</v>
      </c>
      <c r="O144" s="16">
        <f ca="1">IF($P144&lt;&gt;"", DATEDIF($P144,TODAY(),"y"), "")</f>
        <v>19</v>
      </c>
      <c r="P144" s="46">
        <v>39162</v>
      </c>
      <c r="Q144" s="14" t="s">
        <v>62</v>
      </c>
      <c r="R144" s="8"/>
      <c r="S144" s="107" t="s">
        <v>828</v>
      </c>
      <c r="T144" s="17" t="s">
        <v>825</v>
      </c>
      <c r="U144" s="17" t="s">
        <v>9</v>
      </c>
      <c r="V144" s="17"/>
      <c r="W144" s="21"/>
      <c r="X144" s="21"/>
      <c r="Y144" s="17"/>
      <c r="Z144" s="17"/>
      <c r="AA144" s="17"/>
      <c r="AB144" s="18" t="s">
        <v>1526</v>
      </c>
      <c r="AC144" s="17"/>
      <c r="AD144" s="16"/>
      <c r="AE144" s="32"/>
      <c r="AF144" s="110" t="s">
        <v>1663</v>
      </c>
    </row>
    <row r="145" spans="1:36" x14ac:dyDescent="0.25">
      <c r="A145" s="40" t="s">
        <v>312</v>
      </c>
      <c r="B145" s="40" t="s">
        <v>324</v>
      </c>
      <c r="C145" s="42" t="s">
        <v>325</v>
      </c>
      <c r="D145" s="42" t="s">
        <v>326</v>
      </c>
      <c r="E145" s="27" t="str">
        <f>CONCATENATE($C145," ",$D145)</f>
        <v>Timothy McCleese</v>
      </c>
      <c r="F145" s="16" t="s">
        <v>327</v>
      </c>
      <c r="G145" s="16" t="s">
        <v>125</v>
      </c>
      <c r="H145" s="16" t="s">
        <v>115</v>
      </c>
      <c r="I145" s="17">
        <v>45440</v>
      </c>
      <c r="J145" s="16" t="str">
        <f>IF($G145&lt;&gt;"",CONCATENATE($G145,", ",$H145," ",$I145),"")</f>
        <v>Kettering, OH 45440</v>
      </c>
      <c r="K145" s="17">
        <v>937</v>
      </c>
      <c r="L145" s="17" t="s">
        <v>1141</v>
      </c>
      <c r="M145" s="38"/>
      <c r="N145" s="38"/>
      <c r="O145" s="16">
        <v>54</v>
      </c>
      <c r="P145" s="46">
        <v>23847</v>
      </c>
      <c r="Q145" s="14" t="s">
        <v>1140</v>
      </c>
      <c r="R145" s="8"/>
      <c r="S145" s="17" t="s">
        <v>826</v>
      </c>
      <c r="T145" s="17"/>
      <c r="U145" s="17"/>
      <c r="V145" s="17"/>
      <c r="W145" s="20"/>
      <c r="X145" s="20"/>
      <c r="Y145" s="17"/>
      <c r="Z145" s="17"/>
      <c r="AA145" s="17"/>
      <c r="AB145" s="18"/>
      <c r="AC145" s="18"/>
      <c r="AD145" s="19"/>
      <c r="AE145" s="32"/>
      <c r="AF145" s="110"/>
    </row>
    <row r="146" spans="1:36" x14ac:dyDescent="0.25">
      <c r="A146" s="40" t="s">
        <v>328</v>
      </c>
      <c r="B146" s="40" t="s">
        <v>329</v>
      </c>
      <c r="C146" s="42" t="s">
        <v>270</v>
      </c>
      <c r="D146" s="42" t="s">
        <v>329</v>
      </c>
      <c r="E146" s="27" t="str">
        <f>CONCATENATE($C146," ",$D146)</f>
        <v>Michael McDonald</v>
      </c>
      <c r="F146" s="16" t="s">
        <v>969</v>
      </c>
      <c r="G146" s="16" t="s">
        <v>137</v>
      </c>
      <c r="H146" s="16" t="s">
        <v>115</v>
      </c>
      <c r="I146" s="17">
        <v>45385</v>
      </c>
      <c r="J146" s="16" t="str">
        <f>IF($G146&lt;&gt;"",CONCATENATE($G146,", ",$H146," ",$I146),"")</f>
        <v>Xenia, OH 45385</v>
      </c>
      <c r="K146" s="17">
        <v>937</v>
      </c>
      <c r="L146" s="17" t="s">
        <v>330</v>
      </c>
      <c r="M146" s="38"/>
      <c r="N146" s="38"/>
      <c r="O146" s="16">
        <f ca="1">IF($P146&lt;&gt;"", DATEDIF($P146,TODAY(),"y"), "")</f>
        <v>26</v>
      </c>
      <c r="P146" s="46">
        <v>36598</v>
      </c>
      <c r="Q146" s="14" t="s">
        <v>63</v>
      </c>
      <c r="R146" s="8" t="s">
        <v>64</v>
      </c>
      <c r="S146" s="17" t="s">
        <v>834</v>
      </c>
      <c r="T146" s="17"/>
      <c r="U146" s="17"/>
      <c r="V146" s="17"/>
      <c r="W146" s="20"/>
      <c r="X146" s="20"/>
      <c r="Y146" s="17"/>
      <c r="Z146" s="17"/>
      <c r="AA146" s="17"/>
      <c r="AB146" s="18"/>
      <c r="AC146" s="18"/>
      <c r="AD146" s="16"/>
      <c r="AE146" s="32"/>
      <c r="AF146" s="110"/>
    </row>
    <row r="147" spans="1:36" x14ac:dyDescent="0.25">
      <c r="A147" s="40" t="s">
        <v>331</v>
      </c>
      <c r="B147" s="40" t="s">
        <v>332</v>
      </c>
      <c r="C147" s="42" t="s">
        <v>333</v>
      </c>
      <c r="D147" s="42" t="s">
        <v>332</v>
      </c>
      <c r="E147" s="27" t="str">
        <f>CONCATENATE($C147," ",$D147)</f>
        <v>Kayley McGovern</v>
      </c>
      <c r="F147" s="16" t="s">
        <v>334</v>
      </c>
      <c r="G147" s="16" t="s">
        <v>154</v>
      </c>
      <c r="H147" s="16" t="s">
        <v>115</v>
      </c>
      <c r="I147" s="17">
        <v>45431</v>
      </c>
      <c r="J147" s="16" t="str">
        <f>IF($G147&lt;&gt;"",CONCATENATE($G147,", ",$H147," ",$I147),"")</f>
        <v>Beavercreek, OH 45431</v>
      </c>
      <c r="K147" s="17">
        <v>937</v>
      </c>
      <c r="L147" s="17" t="s">
        <v>335</v>
      </c>
      <c r="M147" s="38"/>
      <c r="N147" s="38" t="s">
        <v>144</v>
      </c>
      <c r="O147" s="16">
        <f ca="1">IF($P147&lt;&gt;"", DATEDIF($P147,TODAY(),"y"), "")</f>
        <v>24</v>
      </c>
      <c r="P147" s="46">
        <v>37417</v>
      </c>
      <c r="Q147" s="14" t="s">
        <v>65</v>
      </c>
      <c r="R147" s="8" t="s">
        <v>66</v>
      </c>
      <c r="S147" s="17" t="s">
        <v>826</v>
      </c>
      <c r="T147" s="17" t="s">
        <v>826</v>
      </c>
      <c r="U147" s="17" t="s">
        <v>9</v>
      </c>
      <c r="V147" s="17"/>
      <c r="W147" s="17"/>
      <c r="X147" s="17"/>
      <c r="Y147" s="17"/>
      <c r="Z147" s="18"/>
      <c r="AA147" s="18"/>
      <c r="AB147" s="17"/>
      <c r="AC147" s="17"/>
      <c r="AD147" s="19"/>
      <c r="AE147" s="32"/>
      <c r="AF147" s="110"/>
    </row>
    <row r="148" spans="1:36" x14ac:dyDescent="0.25">
      <c r="A148" s="40" t="s">
        <v>1490</v>
      </c>
      <c r="B148" s="40" t="s">
        <v>1491</v>
      </c>
      <c r="C148" s="42" t="s">
        <v>1492</v>
      </c>
      <c r="D148" s="42" t="s">
        <v>1491</v>
      </c>
      <c r="E148" s="27" t="str">
        <f>CONCATENATE($C148," ",$D148)</f>
        <v>Charlotte McKinnson</v>
      </c>
      <c r="F148" s="16"/>
      <c r="G148" s="16"/>
      <c r="H148" s="16"/>
      <c r="I148" s="17"/>
      <c r="J148" s="16"/>
      <c r="K148" s="17">
        <v>513</v>
      </c>
      <c r="L148" s="17" t="s">
        <v>1493</v>
      </c>
      <c r="M148" s="39" t="s">
        <v>121</v>
      </c>
      <c r="N148" s="39" t="s">
        <v>122</v>
      </c>
      <c r="O148" s="16">
        <f ca="1">IF($P148&lt;&gt;"", DATEDIF($P148,TODAY(),"y"), "")</f>
        <v>9</v>
      </c>
      <c r="P148" s="46">
        <v>42881</v>
      </c>
      <c r="Q148" s="8" t="s">
        <v>1494</v>
      </c>
      <c r="R148" s="8"/>
      <c r="S148" s="107" t="s">
        <v>825</v>
      </c>
      <c r="T148" s="17"/>
      <c r="U148" s="17"/>
      <c r="V148" s="17"/>
      <c r="W148" s="17"/>
      <c r="X148" s="17"/>
      <c r="Y148" s="17"/>
      <c r="Z148" s="18"/>
      <c r="AA148" s="18"/>
      <c r="AB148" s="17" t="s">
        <v>1526</v>
      </c>
      <c r="AC148" s="17"/>
      <c r="AD148" s="19"/>
      <c r="AE148" s="32"/>
      <c r="AF148" s="110" t="s">
        <v>1662</v>
      </c>
    </row>
    <row r="149" spans="1:36" x14ac:dyDescent="0.25">
      <c r="A149" s="41" t="s">
        <v>886</v>
      </c>
      <c r="B149" s="41" t="s">
        <v>882</v>
      </c>
      <c r="C149" s="39" t="s">
        <v>881</v>
      </c>
      <c r="D149" s="39" t="s">
        <v>882</v>
      </c>
      <c r="E149" s="27" t="str">
        <f>CONCATENATE($C149," ",$D149)</f>
        <v>Roman Meyers</v>
      </c>
      <c r="F149" s="8" t="s">
        <v>883</v>
      </c>
      <c r="G149" s="8" t="s">
        <v>123</v>
      </c>
      <c r="H149" s="8" t="s">
        <v>115</v>
      </c>
      <c r="I149" s="7">
        <v>45403</v>
      </c>
      <c r="J149" s="16" t="str">
        <f>IF($G149&lt;&gt;"",CONCATENATE($G149,", ",$H149," ",$I149),"")</f>
        <v>Dayton, OH 45403</v>
      </c>
      <c r="K149" s="99">
        <v>937</v>
      </c>
      <c r="L149" s="99" t="s">
        <v>884</v>
      </c>
      <c r="M149" s="39"/>
      <c r="N149" s="39" t="s">
        <v>116</v>
      </c>
      <c r="O149" s="16">
        <f ca="1">IF($P149&lt;&gt;"", DATEDIF($P149,TODAY(),"y"), "")</f>
        <v>13</v>
      </c>
      <c r="P149" s="47">
        <v>41444</v>
      </c>
      <c r="Q149" s="108" t="s">
        <v>885</v>
      </c>
      <c r="R149" s="8"/>
      <c r="S149" s="17" t="s">
        <v>824</v>
      </c>
      <c r="T149" s="17" t="s">
        <v>824</v>
      </c>
      <c r="U149" s="17" t="s">
        <v>8</v>
      </c>
      <c r="V149" s="7"/>
      <c r="W149" s="21"/>
      <c r="X149" s="21"/>
      <c r="Y149" s="17"/>
      <c r="Z149" s="17"/>
      <c r="AA149" s="17"/>
      <c r="AB149" s="18"/>
      <c r="AC149" s="7"/>
      <c r="AD149" s="8"/>
      <c r="AE149" s="33"/>
      <c r="AF149" s="110"/>
      <c r="AG149" s="53"/>
      <c r="AH149" s="54"/>
      <c r="AI149" s="54"/>
      <c r="AJ149" s="54"/>
    </row>
    <row r="150" spans="1:36" x14ac:dyDescent="0.25">
      <c r="A150" s="40" t="s">
        <v>386</v>
      </c>
      <c r="B150" s="40" t="s">
        <v>1461</v>
      </c>
      <c r="C150" s="42" t="s">
        <v>1511</v>
      </c>
      <c r="D150" s="42" t="s">
        <v>1462</v>
      </c>
      <c r="E150" s="27" t="str">
        <f>CONCATENATE($C150," ",$D150)</f>
        <v>Benji Mezera</v>
      </c>
      <c r="F150" s="16"/>
      <c r="G150" s="16"/>
      <c r="H150" s="16"/>
      <c r="I150" s="17"/>
      <c r="J150" s="16"/>
      <c r="K150" s="17">
        <v>937</v>
      </c>
      <c r="L150" s="17" t="s">
        <v>1464</v>
      </c>
      <c r="M150" s="39" t="s">
        <v>122</v>
      </c>
      <c r="N150" s="39" t="s">
        <v>122</v>
      </c>
      <c r="O150" s="16">
        <f ca="1">IF($P150&lt;&gt;"", DATEDIF($P150,TODAY(),"y"), "")</f>
        <v>8</v>
      </c>
      <c r="P150" s="46">
        <v>42948</v>
      </c>
      <c r="Q150" s="14" t="s">
        <v>1466</v>
      </c>
      <c r="R150" s="8"/>
      <c r="S150" s="107" t="s">
        <v>817</v>
      </c>
      <c r="T150" s="17"/>
      <c r="U150" s="17"/>
      <c r="V150" s="17"/>
      <c r="W150" s="17"/>
      <c r="X150" s="17"/>
      <c r="Y150" s="17"/>
      <c r="Z150" s="17"/>
      <c r="AA150" s="17"/>
      <c r="AB150" s="17" t="s">
        <v>1526</v>
      </c>
      <c r="AC150" s="17"/>
      <c r="AD150" s="16"/>
      <c r="AE150" s="32"/>
      <c r="AF150" s="110"/>
      <c r="AG150" s="15"/>
    </row>
    <row r="151" spans="1:36" x14ac:dyDescent="0.25">
      <c r="A151" s="41" t="s">
        <v>1099</v>
      </c>
      <c r="B151" s="41" t="s">
        <v>1333</v>
      </c>
      <c r="C151" s="39" t="s">
        <v>1332</v>
      </c>
      <c r="D151" s="39" t="s">
        <v>1333</v>
      </c>
      <c r="E151" s="27" t="str">
        <f>CONCATENATE($C151," ",$D151)</f>
        <v>Hudsen Millen</v>
      </c>
      <c r="F151" s="8"/>
      <c r="G151" s="8"/>
      <c r="H151" s="8"/>
      <c r="I151" s="7"/>
      <c r="J151" s="16"/>
      <c r="K151" s="99">
        <v>614</v>
      </c>
      <c r="L151" s="99" t="s">
        <v>1335</v>
      </c>
      <c r="M151" s="39" t="s">
        <v>168</v>
      </c>
      <c r="N151" s="39" t="s">
        <v>181</v>
      </c>
      <c r="O151" s="16">
        <f ca="1">IF($P151&lt;&gt;"", DATEDIF($P151,TODAY(),"y"), "")</f>
        <v>16</v>
      </c>
      <c r="P151" s="47">
        <v>40283</v>
      </c>
      <c r="Q151" s="58" t="s">
        <v>1334</v>
      </c>
      <c r="R151" s="8"/>
      <c r="S151" s="107" t="s">
        <v>827</v>
      </c>
      <c r="T151" s="17" t="s">
        <v>834</v>
      </c>
      <c r="U151" s="17" t="s">
        <v>10</v>
      </c>
      <c r="V151" s="7"/>
      <c r="W151" s="7"/>
      <c r="X151" s="7"/>
      <c r="Y151" s="7"/>
      <c r="Z151" s="7"/>
      <c r="AA151" s="7"/>
      <c r="AB151" s="7" t="s">
        <v>1526</v>
      </c>
      <c r="AC151" s="7"/>
      <c r="AD151" s="8"/>
      <c r="AE151" s="33"/>
      <c r="AF151" s="110" t="s">
        <v>1662</v>
      </c>
    </row>
    <row r="152" spans="1:36" x14ac:dyDescent="0.25">
      <c r="A152" s="41" t="s">
        <v>1353</v>
      </c>
      <c r="B152" s="41" t="s">
        <v>1354</v>
      </c>
      <c r="C152" s="39" t="s">
        <v>1355</v>
      </c>
      <c r="D152" s="39" t="s">
        <v>1354</v>
      </c>
      <c r="E152" s="27" t="str">
        <f>CONCATENATE($C152," ",$D152)</f>
        <v>Jayla Miller</v>
      </c>
      <c r="F152" s="8"/>
      <c r="G152" s="8"/>
      <c r="H152" s="8"/>
      <c r="I152" s="7"/>
      <c r="J152" s="16"/>
      <c r="K152" s="99">
        <v>513</v>
      </c>
      <c r="L152" s="99" t="s">
        <v>1356</v>
      </c>
      <c r="M152" s="39" t="s">
        <v>102</v>
      </c>
      <c r="N152" s="39" t="s">
        <v>102</v>
      </c>
      <c r="O152" s="16">
        <f ca="1">IF($P152&lt;&gt;"", DATEDIF($P152,TODAY(),"y"), "")</f>
        <v>20</v>
      </c>
      <c r="P152" s="47">
        <v>38589</v>
      </c>
      <c r="Q152" s="58" t="s">
        <v>1357</v>
      </c>
      <c r="R152" s="8"/>
      <c r="S152" s="107" t="s">
        <v>834</v>
      </c>
      <c r="T152" s="17" t="s">
        <v>826</v>
      </c>
      <c r="U152" s="17" t="s">
        <v>9</v>
      </c>
      <c r="V152" s="7"/>
      <c r="W152" s="7"/>
      <c r="X152" s="7"/>
      <c r="Y152" s="7"/>
      <c r="Z152" s="7"/>
      <c r="AA152" s="7"/>
      <c r="AB152" s="7" t="s">
        <v>1526</v>
      </c>
      <c r="AC152" s="7"/>
      <c r="AD152" s="8"/>
      <c r="AE152" s="33"/>
      <c r="AF152" s="110"/>
    </row>
    <row r="153" spans="1:36" x14ac:dyDescent="0.25">
      <c r="A153" s="40" t="s">
        <v>336</v>
      </c>
      <c r="B153" s="40" t="s">
        <v>337</v>
      </c>
      <c r="C153" s="42" t="s">
        <v>338</v>
      </c>
      <c r="D153" s="42" t="s">
        <v>337</v>
      </c>
      <c r="E153" s="27" t="str">
        <f>CONCATENATE($C153," ",$D153)</f>
        <v>Alan Millhouse</v>
      </c>
      <c r="F153" s="16" t="s">
        <v>339</v>
      </c>
      <c r="G153" s="16" t="s">
        <v>114</v>
      </c>
      <c r="H153" s="16" t="s">
        <v>115</v>
      </c>
      <c r="I153" s="17">
        <v>45458</v>
      </c>
      <c r="J153" s="16" t="str">
        <f>IF($G153&lt;&gt;"",CONCATENATE($G153,", ",$H153," ",$I153),"")</f>
        <v>Centerville, OH 45458</v>
      </c>
      <c r="K153" s="17">
        <v>937</v>
      </c>
      <c r="L153" s="17" t="s">
        <v>340</v>
      </c>
      <c r="M153" s="38" t="s">
        <v>168</v>
      </c>
      <c r="N153" s="38" t="s">
        <v>168</v>
      </c>
      <c r="O153" s="16">
        <f ca="1">IF($P153&lt;&gt;"", DATEDIF($P153,TODAY(),"y"), "")</f>
        <v>21</v>
      </c>
      <c r="P153" s="46">
        <v>38237</v>
      </c>
      <c r="Q153" s="14" t="s">
        <v>1392</v>
      </c>
      <c r="R153" s="8"/>
      <c r="S153" s="107" t="s">
        <v>826</v>
      </c>
      <c r="T153" s="17" t="s">
        <v>826</v>
      </c>
      <c r="U153" s="17" t="s">
        <v>8</v>
      </c>
      <c r="V153" s="17"/>
      <c r="W153" s="21"/>
      <c r="X153" s="21"/>
      <c r="Y153" s="17"/>
      <c r="Z153" s="17"/>
      <c r="AA153" s="17"/>
      <c r="AB153" s="18" t="s">
        <v>1526</v>
      </c>
      <c r="AC153" s="18"/>
      <c r="AD153" s="16"/>
      <c r="AE153" s="32"/>
      <c r="AF153" s="110" t="s">
        <v>1663</v>
      </c>
    </row>
    <row r="154" spans="1:36" x14ac:dyDescent="0.25">
      <c r="A154" s="41" t="s">
        <v>777</v>
      </c>
      <c r="B154" s="41" t="s">
        <v>778</v>
      </c>
      <c r="C154" s="39" t="s">
        <v>779</v>
      </c>
      <c r="D154" s="39" t="s">
        <v>778</v>
      </c>
      <c r="E154" s="27" t="str">
        <f>CONCATENATE($C154," ",$D154)</f>
        <v>Marley Minch</v>
      </c>
      <c r="F154" s="8" t="s">
        <v>780</v>
      </c>
      <c r="G154" s="8" t="s">
        <v>125</v>
      </c>
      <c r="H154" s="8" t="s">
        <v>115</v>
      </c>
      <c r="I154" s="7">
        <v>45429</v>
      </c>
      <c r="J154" s="16" t="str">
        <f>IF($G154&lt;&gt;"",CONCATENATE($G154,", ",$H154," ",$I154),"")</f>
        <v>Kettering, OH 45429</v>
      </c>
      <c r="K154" s="99">
        <v>937</v>
      </c>
      <c r="L154" s="99" t="s">
        <v>781</v>
      </c>
      <c r="M154" s="39"/>
      <c r="N154" s="39"/>
      <c r="O154" s="16">
        <f ca="1">IF($P154&lt;&gt;"", DATEDIF($P154,TODAY(),"y"), "")</f>
        <v>18</v>
      </c>
      <c r="P154" s="47">
        <v>39568</v>
      </c>
      <c r="Q154" s="58" t="s">
        <v>782</v>
      </c>
      <c r="R154" s="8"/>
      <c r="S154" s="17"/>
      <c r="T154" s="17"/>
      <c r="U154" s="17"/>
      <c r="V154" s="7"/>
      <c r="W154" s="7"/>
      <c r="X154" s="7"/>
      <c r="Y154" s="7"/>
      <c r="Z154" s="7"/>
      <c r="AA154" s="7"/>
      <c r="AB154" s="7"/>
      <c r="AC154" s="7"/>
      <c r="AD154" s="8"/>
      <c r="AE154" s="33"/>
      <c r="AF154" s="110"/>
    </row>
    <row r="155" spans="1:36" x14ac:dyDescent="0.25">
      <c r="A155" s="40" t="s">
        <v>840</v>
      </c>
      <c r="B155" s="40" t="s">
        <v>1547</v>
      </c>
      <c r="C155" s="42" t="s">
        <v>1087</v>
      </c>
      <c r="D155" s="42" t="s">
        <v>1548</v>
      </c>
      <c r="E155" s="27" t="str">
        <f>CONCATENATE($C155," ",$D155)</f>
        <v>Dalton Mitchell</v>
      </c>
      <c r="F155" s="16"/>
      <c r="G155" s="16"/>
      <c r="H155" s="16"/>
      <c r="I155" s="17"/>
      <c r="J155" s="16"/>
      <c r="K155" s="17">
        <v>937</v>
      </c>
      <c r="L155" s="17" t="s">
        <v>1549</v>
      </c>
      <c r="M155" s="39" t="s">
        <v>122</v>
      </c>
      <c r="N155" s="39"/>
      <c r="O155" s="16">
        <f ca="1">IF($P155&lt;&gt;"", DATEDIF($P155,TODAY(),"y"), "")</f>
        <v>9</v>
      </c>
      <c r="P155" s="46">
        <v>42903</v>
      </c>
      <c r="Q155" s="14" t="s">
        <v>1550</v>
      </c>
      <c r="R155" s="8"/>
      <c r="S155" s="107" t="s">
        <v>1418</v>
      </c>
      <c r="T155" s="17"/>
      <c r="U155" s="17"/>
      <c r="V155" s="17"/>
      <c r="W155" s="17"/>
      <c r="X155" s="17"/>
      <c r="Y155" s="17"/>
      <c r="Z155" s="18"/>
      <c r="AA155" s="18"/>
      <c r="AB155" s="18"/>
      <c r="AC155" s="7" t="s">
        <v>1526</v>
      </c>
      <c r="AD155" s="19"/>
      <c r="AE155" s="31"/>
      <c r="AF155" s="110" t="s">
        <v>1662</v>
      </c>
    </row>
    <row r="156" spans="1:36" x14ac:dyDescent="0.25">
      <c r="A156" s="41" t="s">
        <v>1104</v>
      </c>
      <c r="B156" s="41" t="s">
        <v>1105</v>
      </c>
      <c r="C156" s="39" t="s">
        <v>757</v>
      </c>
      <c r="D156" s="39" t="s">
        <v>1105</v>
      </c>
      <c r="E156" s="27" t="str">
        <f>CONCATENATE($C156," ",$D156)</f>
        <v>Henry Mochocki</v>
      </c>
      <c r="F156" s="8" t="s">
        <v>1106</v>
      </c>
      <c r="G156" s="8" t="s">
        <v>118</v>
      </c>
      <c r="H156" s="8" t="s">
        <v>115</v>
      </c>
      <c r="I156" s="7">
        <v>45066</v>
      </c>
      <c r="J156" s="16" t="str">
        <f>IF($G156&lt;&gt;"",CONCATENATE($G156,", ",$H156," ",$I156),"")</f>
        <v>Springboro, OH 45066</v>
      </c>
      <c r="K156" s="99">
        <v>904</v>
      </c>
      <c r="L156" s="99" t="s">
        <v>1107</v>
      </c>
      <c r="M156" s="39"/>
      <c r="N156" s="39"/>
      <c r="O156" s="16">
        <f ca="1">IF($P156&lt;&gt;"", DATEDIF($P156,TODAY(),"y"), "")</f>
        <v>13</v>
      </c>
      <c r="P156" s="47">
        <v>41183</v>
      </c>
      <c r="Q156" s="58" t="s">
        <v>1108</v>
      </c>
      <c r="R156" s="8"/>
      <c r="S156" s="17" t="s">
        <v>824</v>
      </c>
      <c r="T156" s="7" t="s">
        <v>824</v>
      </c>
      <c r="U156" s="7" t="s">
        <v>8</v>
      </c>
      <c r="V156" s="7"/>
      <c r="W156" s="7"/>
      <c r="X156" s="7"/>
      <c r="Y156" s="7"/>
      <c r="Z156" s="7"/>
      <c r="AA156" s="7"/>
      <c r="AB156" s="7"/>
      <c r="AC156" s="7"/>
      <c r="AD156" s="8"/>
      <c r="AE156" s="33"/>
      <c r="AF156" s="110"/>
    </row>
    <row r="157" spans="1:36" x14ac:dyDescent="0.25">
      <c r="A157" s="40" t="s">
        <v>1009</v>
      </c>
      <c r="B157" s="40" t="s">
        <v>1010</v>
      </c>
      <c r="C157" s="42" t="s">
        <v>1011</v>
      </c>
      <c r="D157" s="42" t="s">
        <v>1139</v>
      </c>
      <c r="E157" s="27" t="str">
        <f>CONCATENATE($C157," ",$D157)</f>
        <v>Penelope Mogollon-Faris</v>
      </c>
      <c r="F157" s="16" t="s">
        <v>1012</v>
      </c>
      <c r="G157" s="16" t="s">
        <v>123</v>
      </c>
      <c r="H157" s="16" t="s">
        <v>115</v>
      </c>
      <c r="I157" s="17">
        <v>45410</v>
      </c>
      <c r="J157" s="16" t="str">
        <f>IF($G157&lt;&gt;"",CONCATENATE($G157,", ",$H157," ",$I157),"")</f>
        <v>Dayton, OH 45410</v>
      </c>
      <c r="K157" s="17">
        <v>937</v>
      </c>
      <c r="L157" s="17" t="s">
        <v>1013</v>
      </c>
      <c r="M157" s="38" t="s">
        <v>116</v>
      </c>
      <c r="N157" s="38" t="s">
        <v>116</v>
      </c>
      <c r="O157" s="16">
        <f ca="1">IF($P157&lt;&gt;"", DATEDIF($P157,TODAY(),"y"), "")</f>
        <v>12</v>
      </c>
      <c r="P157" s="46">
        <v>41567</v>
      </c>
      <c r="Q157" s="61" t="s">
        <v>1014</v>
      </c>
      <c r="R157" s="8"/>
      <c r="S157" s="107" t="s">
        <v>1418</v>
      </c>
      <c r="T157" s="17" t="s">
        <v>1034</v>
      </c>
      <c r="U157" s="18" t="s">
        <v>1034</v>
      </c>
      <c r="V157" s="17"/>
      <c r="W157" s="21"/>
      <c r="X157" s="21"/>
      <c r="Y157" s="17"/>
      <c r="Z157" s="17"/>
      <c r="AA157" s="17"/>
      <c r="AB157" s="18" t="s">
        <v>1526</v>
      </c>
      <c r="AC157" s="22"/>
      <c r="AD157" s="19"/>
      <c r="AE157" s="32"/>
      <c r="AF157" s="110"/>
    </row>
    <row r="158" spans="1:36" x14ac:dyDescent="0.25">
      <c r="A158" s="40" t="s">
        <v>980</v>
      </c>
      <c r="B158" s="40" t="s">
        <v>695</v>
      </c>
      <c r="C158" s="42" t="s">
        <v>1030</v>
      </c>
      <c r="D158" s="42" t="s">
        <v>695</v>
      </c>
      <c r="E158" s="27" t="str">
        <f>CONCATENATE($C158," ",$D158)</f>
        <v>Owen Moore</v>
      </c>
      <c r="F158" s="16" t="s">
        <v>1031</v>
      </c>
      <c r="G158" s="16" t="s">
        <v>118</v>
      </c>
      <c r="H158" s="16" t="s">
        <v>115</v>
      </c>
      <c r="I158" s="17">
        <v>45066</v>
      </c>
      <c r="J158" s="16" t="str">
        <f>IF($G158&lt;&gt;"",CONCATENATE($G158,", ",$H158," ",$I158),"")</f>
        <v>Springboro, OH 45066</v>
      </c>
      <c r="K158" s="17">
        <v>937</v>
      </c>
      <c r="L158" s="17" t="s">
        <v>1032</v>
      </c>
      <c r="M158" s="38" t="s">
        <v>102</v>
      </c>
      <c r="N158" s="38" t="s">
        <v>102</v>
      </c>
      <c r="O158" s="16">
        <f ca="1">IF($P158&lt;&gt;"", DATEDIF($P158,TODAY(),"y"), "")</f>
        <v>11</v>
      </c>
      <c r="P158" s="46">
        <v>42055</v>
      </c>
      <c r="Q158" s="62" t="s">
        <v>1033</v>
      </c>
      <c r="R158" s="8"/>
      <c r="S158" s="107" t="s">
        <v>824</v>
      </c>
      <c r="T158" s="17" t="s">
        <v>1034</v>
      </c>
      <c r="U158" s="17" t="s">
        <v>9</v>
      </c>
      <c r="V158" s="17"/>
      <c r="W158" s="21"/>
      <c r="X158" s="21"/>
      <c r="Y158" s="17"/>
      <c r="Z158" s="17"/>
      <c r="AA158" s="17"/>
      <c r="AB158" s="18" t="s">
        <v>1526</v>
      </c>
      <c r="AC158" s="22"/>
      <c r="AD158" s="16"/>
      <c r="AE158" s="32"/>
      <c r="AF158" s="110"/>
    </row>
    <row r="159" spans="1:36" x14ac:dyDescent="0.25">
      <c r="A159" s="41" t="s">
        <v>605</v>
      </c>
      <c r="B159" s="41" t="s">
        <v>606</v>
      </c>
      <c r="C159" s="39" t="s">
        <v>607</v>
      </c>
      <c r="D159" s="39" t="s">
        <v>608</v>
      </c>
      <c r="E159" s="27" t="str">
        <f>CONCATENATE($C159," ",$D159)</f>
        <v>Serenity Morton</v>
      </c>
      <c r="F159" s="8" t="s">
        <v>609</v>
      </c>
      <c r="G159" s="8" t="s">
        <v>123</v>
      </c>
      <c r="H159" s="8" t="s">
        <v>115</v>
      </c>
      <c r="I159" s="7">
        <v>45404</v>
      </c>
      <c r="J159" s="16" t="str">
        <f>IF($G159&lt;&gt;"",CONCATENATE($G159,", ",$H159," ",$I159),"")</f>
        <v>Dayton, OH 45404</v>
      </c>
      <c r="K159" s="99">
        <v>803</v>
      </c>
      <c r="L159" s="99" t="s">
        <v>610</v>
      </c>
      <c r="M159" s="66"/>
      <c r="N159" s="66"/>
      <c r="O159" s="16">
        <f ca="1">IF($P159&lt;&gt;"", DATEDIF($P159,TODAY(),"y"), "")</f>
        <v>18</v>
      </c>
      <c r="P159" s="48">
        <v>39410</v>
      </c>
      <c r="Q159" s="8" t="s">
        <v>611</v>
      </c>
      <c r="R159" s="8" t="s">
        <v>612</v>
      </c>
      <c r="S159" s="17"/>
      <c r="T159" s="17"/>
      <c r="U159" s="17"/>
      <c r="V159" s="7"/>
      <c r="W159" s="7"/>
      <c r="X159" s="7"/>
      <c r="Y159" s="7"/>
      <c r="Z159" s="7"/>
      <c r="AA159" s="7"/>
      <c r="AB159" s="7"/>
      <c r="AC159" s="7"/>
      <c r="AD159" s="8"/>
      <c r="AE159" s="33"/>
      <c r="AF159" s="110"/>
      <c r="AG159" s="53"/>
      <c r="AH159" s="54"/>
      <c r="AI159" s="54"/>
      <c r="AJ159" s="54"/>
    </row>
    <row r="160" spans="1:36" x14ac:dyDescent="0.25">
      <c r="A160" s="41" t="s">
        <v>1396</v>
      </c>
      <c r="B160" s="41" t="s">
        <v>1397</v>
      </c>
      <c r="C160" s="39" t="s">
        <v>1398</v>
      </c>
      <c r="D160" s="39" t="s">
        <v>1397</v>
      </c>
      <c r="E160" s="27" t="str">
        <f>CONCATENATE($C160," ",$D160)</f>
        <v>Jay LaNell Myer</v>
      </c>
      <c r="F160" s="8"/>
      <c r="G160" s="8"/>
      <c r="H160" s="8"/>
      <c r="I160" s="7"/>
      <c r="J160" s="16"/>
      <c r="K160" s="99">
        <v>317</v>
      </c>
      <c r="L160" s="99" t="s">
        <v>1399</v>
      </c>
      <c r="M160" s="39"/>
      <c r="N160" s="39" t="s">
        <v>122</v>
      </c>
      <c r="O160" s="16">
        <f ca="1">IF($P160&lt;&gt;"", DATEDIF($P160,TODAY(),"y"), "")</f>
        <v>6</v>
      </c>
      <c r="P160" s="46">
        <v>43680</v>
      </c>
      <c r="Q160" s="58" t="s">
        <v>1400</v>
      </c>
      <c r="R160" s="8"/>
      <c r="S160" s="17" t="s">
        <v>823</v>
      </c>
      <c r="T160" s="17"/>
      <c r="U160" s="17"/>
      <c r="V160" s="7"/>
      <c r="W160" s="7"/>
      <c r="X160" s="7"/>
      <c r="Y160" s="7"/>
      <c r="Z160" s="7"/>
      <c r="AA160" s="7"/>
      <c r="AB160" s="7"/>
      <c r="AC160" s="7"/>
      <c r="AD160" s="8"/>
      <c r="AE160" s="33"/>
      <c r="AF160" s="110"/>
    </row>
    <row r="161" spans="1:36" x14ac:dyDescent="0.25">
      <c r="A161" s="40" t="s">
        <v>341</v>
      </c>
      <c r="B161" s="40" t="s">
        <v>342</v>
      </c>
      <c r="C161" s="42" t="s">
        <v>343</v>
      </c>
      <c r="D161" s="42" t="s">
        <v>342</v>
      </c>
      <c r="E161" s="27" t="str">
        <f>CONCATENATE($C161," ",$D161)</f>
        <v>Joe Nartker</v>
      </c>
      <c r="F161" s="16" t="s">
        <v>344</v>
      </c>
      <c r="G161" s="16" t="s">
        <v>114</v>
      </c>
      <c r="H161" s="16" t="s">
        <v>115</v>
      </c>
      <c r="I161" s="17">
        <v>45459</v>
      </c>
      <c r="J161" s="16" t="str">
        <f>IF($G161&lt;&gt;"",CONCATENATE($G161,", ",$H161," ",$I161),"")</f>
        <v>Centerville, OH 45459</v>
      </c>
      <c r="K161" s="17">
        <v>937</v>
      </c>
      <c r="L161" s="17" t="s">
        <v>345</v>
      </c>
      <c r="M161" s="38" t="s">
        <v>144</v>
      </c>
      <c r="N161" s="38" t="s">
        <v>144</v>
      </c>
      <c r="O161" s="16">
        <f ca="1">IF($P161&lt;&gt;"", DATEDIF($P161,TODAY(),"y"), "")</f>
        <v>41</v>
      </c>
      <c r="P161" s="46">
        <v>31176</v>
      </c>
      <c r="Q161" s="14" t="s">
        <v>68</v>
      </c>
      <c r="R161" s="8"/>
      <c r="S161" s="107" t="s">
        <v>834</v>
      </c>
      <c r="T161" s="17"/>
      <c r="U161" s="17"/>
      <c r="V161" s="17"/>
      <c r="W161" s="21"/>
      <c r="X161" s="21"/>
      <c r="Y161" s="17"/>
      <c r="Z161" s="17"/>
      <c r="AA161" s="17"/>
      <c r="AB161" s="18" t="s">
        <v>1526</v>
      </c>
      <c r="AC161" s="18"/>
      <c r="AD161" s="19"/>
      <c r="AE161" s="32"/>
      <c r="AF161" s="110"/>
    </row>
    <row r="162" spans="1:36" x14ac:dyDescent="0.25">
      <c r="A162" s="41" t="s">
        <v>924</v>
      </c>
      <c r="B162" s="41" t="s">
        <v>919</v>
      </c>
      <c r="C162" s="39" t="s">
        <v>922</v>
      </c>
      <c r="D162" s="39" t="s">
        <v>919</v>
      </c>
      <c r="E162" s="27" t="str">
        <f>CONCATENATE($C162," ",$D162)</f>
        <v>Sofia Neff</v>
      </c>
      <c r="F162" s="8" t="s">
        <v>920</v>
      </c>
      <c r="G162" s="8" t="s">
        <v>123</v>
      </c>
      <c r="H162" s="8" t="s">
        <v>115</v>
      </c>
      <c r="I162" s="7">
        <v>45408</v>
      </c>
      <c r="J162" s="16" t="str">
        <f>IF($G162&lt;&gt;"",CONCATENATE($G162,", ",$H162," ",$I162),"")</f>
        <v>Dayton, OH 45408</v>
      </c>
      <c r="K162" s="99">
        <v>937</v>
      </c>
      <c r="L162" s="99" t="s">
        <v>921</v>
      </c>
      <c r="M162" s="39"/>
      <c r="N162" s="39" t="s">
        <v>971</v>
      </c>
      <c r="O162" s="16">
        <f ca="1">IF($P162&lt;&gt;"", DATEDIF($P162,TODAY(),"y"), "")</f>
        <v>24</v>
      </c>
      <c r="P162" s="47">
        <v>37361</v>
      </c>
      <c r="Q162" s="58" t="s">
        <v>923</v>
      </c>
      <c r="R162" s="8"/>
      <c r="S162" s="17" t="s">
        <v>827</v>
      </c>
      <c r="T162" s="17" t="s">
        <v>828</v>
      </c>
      <c r="U162" s="17" t="s">
        <v>10</v>
      </c>
      <c r="V162" s="7"/>
      <c r="W162" s="21"/>
      <c r="X162" s="21"/>
      <c r="Y162" s="17"/>
      <c r="Z162" s="17"/>
      <c r="AA162" s="17"/>
      <c r="AB162" s="18"/>
      <c r="AC162" s="7"/>
      <c r="AD162" s="8"/>
      <c r="AE162" s="33"/>
      <c r="AF162" s="110"/>
    </row>
    <row r="163" spans="1:36" x14ac:dyDescent="0.25">
      <c r="A163" s="40" t="s">
        <v>937</v>
      </c>
      <c r="B163" s="40" t="s">
        <v>346</v>
      </c>
      <c r="C163" s="42" t="s">
        <v>347</v>
      </c>
      <c r="D163" s="42" t="s">
        <v>346</v>
      </c>
      <c r="E163" s="27" t="str">
        <f>CONCATENATE($C163," ",$D163)</f>
        <v>Joey Neiman</v>
      </c>
      <c r="F163" s="16" t="s">
        <v>348</v>
      </c>
      <c r="G163" s="16" t="s">
        <v>125</v>
      </c>
      <c r="H163" s="16" t="s">
        <v>115</v>
      </c>
      <c r="I163" s="17">
        <v>45420</v>
      </c>
      <c r="J163" s="16" t="str">
        <f>IF($G163&lt;&gt;"",CONCATENATE($G163,", ",$H163," ",$I163),"")</f>
        <v>Kettering, OH 45420</v>
      </c>
      <c r="K163" s="17">
        <v>937</v>
      </c>
      <c r="L163" s="17" t="s">
        <v>349</v>
      </c>
      <c r="M163" s="38"/>
      <c r="N163" s="38"/>
      <c r="O163" s="16">
        <f ca="1">IF($P163&lt;&gt;"", DATEDIF($P163,TODAY(),"y"), "")</f>
        <v>30</v>
      </c>
      <c r="P163" s="46">
        <v>34977</v>
      </c>
      <c r="Q163" s="14" t="s">
        <v>69</v>
      </c>
      <c r="R163" s="8" t="s">
        <v>70</v>
      </c>
      <c r="S163" s="17" t="s">
        <v>834</v>
      </c>
      <c r="T163" s="17" t="s">
        <v>1034</v>
      </c>
      <c r="U163" s="17" t="s">
        <v>1034</v>
      </c>
      <c r="V163" s="17"/>
      <c r="W163" s="20"/>
      <c r="X163" s="20"/>
      <c r="Y163" s="17"/>
      <c r="Z163" s="17"/>
      <c r="AA163" s="17"/>
      <c r="AB163" s="18"/>
      <c r="AC163" s="18"/>
      <c r="AD163" s="16"/>
      <c r="AE163" s="31"/>
      <c r="AF163" s="110"/>
      <c r="AG163" s="15"/>
    </row>
    <row r="164" spans="1:36" x14ac:dyDescent="0.25">
      <c r="A164" s="40" t="s">
        <v>1162</v>
      </c>
      <c r="B164" s="40" t="s">
        <v>1163</v>
      </c>
      <c r="C164" s="42" t="s">
        <v>1164</v>
      </c>
      <c r="D164" s="42" t="s">
        <v>1163</v>
      </c>
      <c r="E164" s="27" t="str">
        <f>CONCATENATE($C164," ",$D164)</f>
        <v>Gemma Nessler</v>
      </c>
      <c r="F164" s="16" t="s">
        <v>1168</v>
      </c>
      <c r="G164" s="16" t="s">
        <v>143</v>
      </c>
      <c r="H164" s="16" t="s">
        <v>115</v>
      </c>
      <c r="I164" s="17">
        <v>45068</v>
      </c>
      <c r="J164" s="16" t="str">
        <f>IF($G164&lt;&gt;"",CONCATENATE($G164,", ",$H164," ",$I164),"")</f>
        <v>Waynesville, OH 45068</v>
      </c>
      <c r="K164" s="17">
        <v>513</v>
      </c>
      <c r="L164" s="17" t="s">
        <v>1169</v>
      </c>
      <c r="M164" s="38" t="s">
        <v>181</v>
      </c>
      <c r="N164" s="38" t="s">
        <v>116</v>
      </c>
      <c r="O164" s="16">
        <f ca="1">IF($P164&lt;&gt;"", DATEDIF($P164,TODAY(),"y"), "")</f>
        <v>13</v>
      </c>
      <c r="P164" s="46">
        <v>41107</v>
      </c>
      <c r="Q164" s="62" t="s">
        <v>1170</v>
      </c>
      <c r="R164" s="8"/>
      <c r="S164" s="107" t="s">
        <v>828</v>
      </c>
      <c r="T164" s="17" t="s">
        <v>825</v>
      </c>
      <c r="U164" s="17" t="s">
        <v>8</v>
      </c>
      <c r="V164" s="17"/>
      <c r="W164" s="20"/>
      <c r="X164" s="20"/>
      <c r="Y164" s="17"/>
      <c r="Z164" s="17"/>
      <c r="AA164" s="17"/>
      <c r="AB164" s="18" t="s">
        <v>1526</v>
      </c>
      <c r="AC164" s="18"/>
      <c r="AD164" s="19"/>
      <c r="AE164" s="32"/>
      <c r="AF164" s="110" t="s">
        <v>1662</v>
      </c>
      <c r="AG164" s="53"/>
      <c r="AH164" s="54"/>
      <c r="AI164" s="54"/>
      <c r="AJ164" s="54"/>
    </row>
    <row r="165" spans="1:36" x14ac:dyDescent="0.25">
      <c r="A165" s="40" t="s">
        <v>1179</v>
      </c>
      <c r="B165" s="40" t="s">
        <v>1467</v>
      </c>
      <c r="C165" s="42" t="s">
        <v>542</v>
      </c>
      <c r="D165" s="42" t="s">
        <v>541</v>
      </c>
      <c r="E165" s="27" t="str">
        <f>CONCATENATE($C165," ",$D165)</f>
        <v>Shanae Nicholes</v>
      </c>
      <c r="F165" s="16" t="s">
        <v>762</v>
      </c>
      <c r="G165" s="16" t="s">
        <v>123</v>
      </c>
      <c r="H165" s="16" t="s">
        <v>115</v>
      </c>
      <c r="I165" s="17">
        <v>45431</v>
      </c>
      <c r="J165" s="16" t="str">
        <f>IF($G165&lt;&gt;"",CONCATENATE($G165,", ",$H165," ",$I165),"")</f>
        <v>Dayton, OH 45431</v>
      </c>
      <c r="K165" s="17">
        <v>937</v>
      </c>
      <c r="L165" s="17" t="s">
        <v>763</v>
      </c>
      <c r="M165" s="38" t="s">
        <v>144</v>
      </c>
      <c r="N165" s="38" t="s">
        <v>144</v>
      </c>
      <c r="O165" s="16">
        <f ca="1">IF($P165&lt;&gt;"", DATEDIF($P165,TODAY(),"y"), "")</f>
        <v>30</v>
      </c>
      <c r="P165" s="46">
        <v>35024</v>
      </c>
      <c r="Q165" s="61" t="s">
        <v>1468</v>
      </c>
      <c r="R165" s="8"/>
      <c r="S165" s="107" t="s">
        <v>826</v>
      </c>
      <c r="T165" s="17" t="s">
        <v>826</v>
      </c>
      <c r="U165" s="17" t="s">
        <v>8</v>
      </c>
      <c r="V165" s="17"/>
      <c r="W165" s="17"/>
      <c r="X165" s="17"/>
      <c r="Y165" s="17"/>
      <c r="Z165" s="17"/>
      <c r="AA165" s="17"/>
      <c r="AB165" s="18" t="s">
        <v>1526</v>
      </c>
      <c r="AC165" s="17"/>
      <c r="AD165" s="16"/>
      <c r="AE165" s="32"/>
      <c r="AF165" s="110"/>
    </row>
    <row r="166" spans="1:36" x14ac:dyDescent="0.25">
      <c r="A166" s="40" t="s">
        <v>350</v>
      </c>
      <c r="B166" s="40" t="s">
        <v>710</v>
      </c>
      <c r="C166" s="42" t="s">
        <v>351</v>
      </c>
      <c r="D166" s="42" t="s">
        <v>352</v>
      </c>
      <c r="E166" s="27" t="str">
        <f>CONCATENATE($C166," ",$D166)</f>
        <v>Patrick O'Brien</v>
      </c>
      <c r="F166" s="16" t="s">
        <v>353</v>
      </c>
      <c r="G166" s="16" t="s">
        <v>114</v>
      </c>
      <c r="H166" s="16" t="s">
        <v>115</v>
      </c>
      <c r="I166" s="17">
        <v>45459</v>
      </c>
      <c r="J166" s="16" t="str">
        <f>IF($G166&lt;&gt;"",CONCATENATE($G166,", ",$H166," ",$I166),"")</f>
        <v>Centerville, OH 45459</v>
      </c>
      <c r="K166" s="17">
        <v>937</v>
      </c>
      <c r="L166" s="17" t="s">
        <v>354</v>
      </c>
      <c r="M166" s="38" t="s">
        <v>181</v>
      </c>
      <c r="N166" s="38" t="s">
        <v>181</v>
      </c>
      <c r="O166" s="16">
        <f ca="1">IF($P166&lt;&gt;"", DATEDIF($P166,TODAY(),"y"), "")</f>
        <v>16</v>
      </c>
      <c r="P166" s="46">
        <v>40336</v>
      </c>
      <c r="Q166" s="14" t="s">
        <v>71</v>
      </c>
      <c r="R166" s="8" t="s">
        <v>72</v>
      </c>
      <c r="S166" s="107" t="s">
        <v>817</v>
      </c>
      <c r="T166" s="17" t="s">
        <v>824</v>
      </c>
      <c r="U166" s="17" t="s">
        <v>8</v>
      </c>
      <c r="V166" s="17"/>
      <c r="W166" s="21"/>
      <c r="X166" s="21"/>
      <c r="Y166" s="17"/>
      <c r="Z166" s="17"/>
      <c r="AA166" s="17"/>
      <c r="AB166" s="18" t="s">
        <v>1526</v>
      </c>
      <c r="AC166" s="22"/>
      <c r="AD166" s="19"/>
      <c r="AE166" s="32"/>
      <c r="AF166" s="110"/>
    </row>
    <row r="167" spans="1:36" x14ac:dyDescent="0.25">
      <c r="A167" s="40" t="s">
        <v>930</v>
      </c>
      <c r="B167" s="40" t="s">
        <v>619</v>
      </c>
      <c r="C167" s="42" t="s">
        <v>1505</v>
      </c>
      <c r="D167" s="42" t="s">
        <v>1506</v>
      </c>
      <c r="E167" s="27" t="str">
        <f>CONCATENATE($C167," ",$D167)</f>
        <v>Raphael Ojezua</v>
      </c>
      <c r="F167" s="16"/>
      <c r="G167" s="16"/>
      <c r="H167" s="16"/>
      <c r="I167" s="17"/>
      <c r="J167" s="16"/>
      <c r="K167" s="17">
        <v>937</v>
      </c>
      <c r="L167" s="17" t="s">
        <v>1507</v>
      </c>
      <c r="M167" s="39"/>
      <c r="N167" s="39" t="s">
        <v>116</v>
      </c>
      <c r="O167" s="16">
        <f ca="1">IF($P167&lt;&gt;"", DATEDIF($P167,TODAY(),"y"), "")</f>
        <v>14</v>
      </c>
      <c r="P167" s="46">
        <v>41024</v>
      </c>
      <c r="Q167" s="8" t="s">
        <v>1508</v>
      </c>
      <c r="R167" s="8"/>
      <c r="S167" s="17" t="s">
        <v>817</v>
      </c>
      <c r="T167" s="17"/>
      <c r="U167" s="17"/>
      <c r="V167" s="17"/>
      <c r="W167" s="20"/>
      <c r="X167" s="20"/>
      <c r="Y167" s="17"/>
      <c r="Z167" s="17"/>
      <c r="AA167" s="17"/>
      <c r="AB167" s="17"/>
      <c r="AC167" s="18"/>
      <c r="AD167" s="19"/>
      <c r="AE167" s="32"/>
      <c r="AF167" s="110"/>
    </row>
    <row r="168" spans="1:36" x14ac:dyDescent="0.25">
      <c r="A168" s="41" t="s">
        <v>887</v>
      </c>
      <c r="B168" s="41" t="s">
        <v>888</v>
      </c>
      <c r="C168" s="39" t="s">
        <v>889</v>
      </c>
      <c r="D168" s="39" t="s">
        <v>888</v>
      </c>
      <c r="E168" s="27" t="str">
        <f>CONCATENATE($C168," ",$D168)</f>
        <v>Everett O'Meara</v>
      </c>
      <c r="F168" s="8" t="s">
        <v>890</v>
      </c>
      <c r="G168" s="8" t="s">
        <v>393</v>
      </c>
      <c r="H168" s="8" t="s">
        <v>115</v>
      </c>
      <c r="I168" s="7">
        <v>45305</v>
      </c>
      <c r="J168" s="16" t="str">
        <f>IF($G168&lt;&gt;"",CONCATENATE($G168,", ",$H168," ",$I168),"")</f>
        <v>Bellbrook, OH 45305</v>
      </c>
      <c r="K168" s="99">
        <v>419</v>
      </c>
      <c r="L168" s="99" t="s">
        <v>891</v>
      </c>
      <c r="M168" s="39"/>
      <c r="N168" s="39"/>
      <c r="O168" s="16">
        <f ca="1">IF($P168&lt;&gt;"", DATEDIF($P168,TODAY(),"y"), "")</f>
        <v>10</v>
      </c>
      <c r="P168" s="47">
        <v>42240</v>
      </c>
      <c r="Q168" s="58" t="s">
        <v>892</v>
      </c>
      <c r="R168" s="8"/>
      <c r="S168" s="17"/>
      <c r="T168" s="17"/>
      <c r="U168" s="17"/>
      <c r="V168" s="7"/>
      <c r="W168" s="7"/>
      <c r="X168" s="7"/>
      <c r="Y168" s="7"/>
      <c r="Z168" s="7"/>
      <c r="AA168" s="7"/>
      <c r="AB168" s="7"/>
      <c r="AC168" s="7"/>
      <c r="AD168" s="8"/>
      <c r="AE168" s="33"/>
      <c r="AF168" s="110"/>
      <c r="AG168" s="53"/>
      <c r="AH168" s="54"/>
      <c r="AI168" s="54"/>
      <c r="AJ168" s="54"/>
    </row>
    <row r="169" spans="1:36" x14ac:dyDescent="0.25">
      <c r="A169" s="40" t="s">
        <v>355</v>
      </c>
      <c r="B169" s="40" t="s">
        <v>356</v>
      </c>
      <c r="C169" s="42" t="s">
        <v>162</v>
      </c>
      <c r="D169" s="42" t="s">
        <v>356</v>
      </c>
      <c r="E169" s="27" t="str">
        <f>CONCATENATE($C169," ",$D169)</f>
        <v>Lindsay O'Neill</v>
      </c>
      <c r="F169" s="16" t="s">
        <v>357</v>
      </c>
      <c r="G169" s="16" t="s">
        <v>358</v>
      </c>
      <c r="H169" s="16" t="s">
        <v>115</v>
      </c>
      <c r="I169" s="17">
        <v>45005</v>
      </c>
      <c r="J169" s="16" t="str">
        <f>IF($G169&lt;&gt;"",CONCATENATE($G169,", ",$H169," ",$I169),"")</f>
        <v>Franklin, OH 45005</v>
      </c>
      <c r="K169" s="17">
        <v>513</v>
      </c>
      <c r="L169" s="17" t="s">
        <v>359</v>
      </c>
      <c r="M169" s="38"/>
      <c r="N169" s="38" t="s">
        <v>168</v>
      </c>
      <c r="O169" s="16">
        <f ca="1">IF($P169&lt;&gt;"", DATEDIF($P169,TODAY(),"y"), "")</f>
        <v>22</v>
      </c>
      <c r="P169" s="46">
        <v>38160</v>
      </c>
      <c r="Q169" s="14" t="s">
        <v>73</v>
      </c>
      <c r="R169" s="8" t="s">
        <v>74</v>
      </c>
      <c r="S169" s="17" t="s">
        <v>834</v>
      </c>
      <c r="T169" s="17" t="s">
        <v>834</v>
      </c>
      <c r="U169" s="17" t="s">
        <v>10</v>
      </c>
      <c r="V169" s="17"/>
      <c r="W169" s="21"/>
      <c r="X169" s="21"/>
      <c r="Y169" s="17"/>
      <c r="Z169" s="17"/>
      <c r="AA169" s="17"/>
      <c r="AB169" s="18"/>
      <c r="AC169" s="22"/>
      <c r="AD169" s="19"/>
      <c r="AE169" s="32"/>
      <c r="AF169" s="110"/>
    </row>
    <row r="170" spans="1:36" x14ac:dyDescent="0.25">
      <c r="A170" s="41" t="s">
        <v>855</v>
      </c>
      <c r="B170" s="41" t="s">
        <v>356</v>
      </c>
      <c r="C170" s="39" t="s">
        <v>853</v>
      </c>
      <c r="D170" s="39" t="s">
        <v>356</v>
      </c>
      <c r="E170" s="27" t="str">
        <f>CONCATENATE($C170," ",$D170)</f>
        <v>Mallory O'Neill</v>
      </c>
      <c r="F170" s="8" t="s">
        <v>854</v>
      </c>
      <c r="G170" s="8" t="s">
        <v>304</v>
      </c>
      <c r="H170" s="8" t="s">
        <v>115</v>
      </c>
      <c r="I170" s="7">
        <v>45458</v>
      </c>
      <c r="J170" s="16" t="str">
        <f>IF($G170&lt;&gt;"",CONCATENATE($G170,", ",$H170," ",$I170),"")</f>
        <v>Washington Twp, OH 45458</v>
      </c>
      <c r="K170" s="99">
        <v>937</v>
      </c>
      <c r="L170" s="99" t="s">
        <v>856</v>
      </c>
      <c r="M170" s="39" t="s">
        <v>116</v>
      </c>
      <c r="N170" s="39"/>
      <c r="O170" s="16">
        <f ca="1">IF($P170&lt;&gt;"", DATEDIF($P170,TODAY(),"y"), "")</f>
        <v>13</v>
      </c>
      <c r="P170" s="47">
        <v>41432</v>
      </c>
      <c r="Q170" s="14" t="s">
        <v>857</v>
      </c>
      <c r="R170" s="59" t="s">
        <v>857</v>
      </c>
      <c r="S170" s="107" t="s">
        <v>828</v>
      </c>
      <c r="T170" s="17" t="s">
        <v>817</v>
      </c>
      <c r="U170" s="17" t="s">
        <v>8</v>
      </c>
      <c r="V170" s="7"/>
      <c r="W170" s="21"/>
      <c r="X170" s="21"/>
      <c r="Y170" s="17"/>
      <c r="Z170" s="17"/>
      <c r="AA170" s="17"/>
      <c r="AB170" s="18"/>
      <c r="AC170" s="7" t="s">
        <v>1526</v>
      </c>
      <c r="AD170" s="8"/>
      <c r="AE170" s="33"/>
      <c r="AF170" s="110"/>
    </row>
    <row r="171" spans="1:36" x14ac:dyDescent="0.25">
      <c r="A171" s="41" t="s">
        <v>783</v>
      </c>
      <c r="B171" s="41" t="s">
        <v>784</v>
      </c>
      <c r="C171" s="39" t="s">
        <v>319</v>
      </c>
      <c r="D171" s="39" t="s">
        <v>785</v>
      </c>
      <c r="E171" s="27" t="str">
        <f>CONCATENATE($C171," ",$D171)</f>
        <v>Sean O'Reilly</v>
      </c>
      <c r="F171" s="8" t="s">
        <v>786</v>
      </c>
      <c r="G171" s="8" t="s">
        <v>114</v>
      </c>
      <c r="H171" s="8" t="s">
        <v>115</v>
      </c>
      <c r="I171" s="7">
        <v>45458</v>
      </c>
      <c r="J171" s="16" t="str">
        <f>IF($G171&lt;&gt;"",CONCATENATE($G171,", ",$H171," ",$I171),"")</f>
        <v>Centerville, OH 45458</v>
      </c>
      <c r="K171" s="99">
        <v>937</v>
      </c>
      <c r="L171" s="99" t="s">
        <v>787</v>
      </c>
      <c r="M171" s="39"/>
      <c r="N171" s="39"/>
      <c r="O171" s="16">
        <f ca="1">IF($P171&lt;&gt;"", DATEDIF($P171,TODAY(),"y"), "")</f>
        <v>21</v>
      </c>
      <c r="P171" s="47">
        <v>38522</v>
      </c>
      <c r="Q171" s="58" t="s">
        <v>788</v>
      </c>
      <c r="R171" s="8"/>
      <c r="S171" s="17" t="s">
        <v>827</v>
      </c>
      <c r="T171" s="17" t="s">
        <v>834</v>
      </c>
      <c r="U171" s="17" t="s">
        <v>10</v>
      </c>
      <c r="V171" s="7"/>
      <c r="W171" s="21"/>
      <c r="X171" s="21"/>
      <c r="Y171" s="17"/>
      <c r="Z171" s="17"/>
      <c r="AA171" s="17"/>
      <c r="AB171" s="18"/>
      <c r="AC171" s="7"/>
      <c r="AD171" s="8"/>
      <c r="AE171" s="33"/>
      <c r="AF171" s="110"/>
    </row>
    <row r="172" spans="1:36" x14ac:dyDescent="0.25">
      <c r="A172" s="41" t="s">
        <v>1588</v>
      </c>
      <c r="B172" s="41" t="s">
        <v>1589</v>
      </c>
      <c r="C172" s="39" t="s">
        <v>171</v>
      </c>
      <c r="D172" s="39" t="s">
        <v>1590</v>
      </c>
      <c r="E172" s="27" t="str">
        <f>CONCATENATE($C172," ",$D172)</f>
        <v>Benny Pate</v>
      </c>
      <c r="F172" s="8"/>
      <c r="G172" s="8"/>
      <c r="H172" s="8"/>
      <c r="I172" s="7"/>
      <c r="J172" s="16"/>
      <c r="K172" s="99">
        <v>937</v>
      </c>
      <c r="L172" s="99" t="s">
        <v>1591</v>
      </c>
      <c r="M172" s="39" t="s">
        <v>122</v>
      </c>
      <c r="N172" s="39"/>
      <c r="O172" s="16">
        <f ca="1">IF($P172&lt;&gt;"", DATEDIF($P172,TODAY(),"y"), "")</f>
        <v>9</v>
      </c>
      <c r="P172" s="48">
        <v>42730</v>
      </c>
      <c r="Q172" s="8" t="s">
        <v>1592</v>
      </c>
      <c r="R172" s="8"/>
      <c r="S172" s="111" t="s">
        <v>1418</v>
      </c>
      <c r="T172" s="7"/>
      <c r="U172" s="7"/>
      <c r="V172" s="7"/>
      <c r="W172" s="7"/>
      <c r="X172" s="7"/>
      <c r="Y172" s="7"/>
      <c r="Z172" s="7"/>
      <c r="AA172" s="7"/>
      <c r="AB172" s="7" t="s">
        <v>1526</v>
      </c>
      <c r="AC172" s="7"/>
      <c r="AD172" s="8"/>
      <c r="AE172" s="56"/>
      <c r="AF172" s="110" t="s">
        <v>1662</v>
      </c>
    </row>
    <row r="173" spans="1:36" x14ac:dyDescent="0.25">
      <c r="A173" s="41" t="s">
        <v>1156</v>
      </c>
      <c r="B173" s="41" t="s">
        <v>1157</v>
      </c>
      <c r="C173" s="39" t="s">
        <v>1158</v>
      </c>
      <c r="D173" s="39" t="s">
        <v>1157</v>
      </c>
      <c r="E173" s="27" t="str">
        <f>CONCATENATE($C173," ",$D173)</f>
        <v>Giuliana Patterson</v>
      </c>
      <c r="F173" s="16" t="s">
        <v>1159</v>
      </c>
      <c r="G173" s="8" t="s">
        <v>123</v>
      </c>
      <c r="H173" s="8" t="s">
        <v>115</v>
      </c>
      <c r="I173" s="7">
        <v>45431</v>
      </c>
      <c r="J173" s="16" t="str">
        <f>IF($G173&lt;&gt;"",CONCATENATE($G173,", ",$H173," ",$I173),"")</f>
        <v>Dayton, OH 45431</v>
      </c>
      <c r="K173" s="17">
        <v>725</v>
      </c>
      <c r="L173" s="17" t="s">
        <v>1160</v>
      </c>
      <c r="M173" s="39"/>
      <c r="N173" s="39"/>
      <c r="O173" s="16">
        <f ca="1">IF($P173&lt;&gt;"", DATEDIF($P173,TODAY(),"y"), "")</f>
        <v>13</v>
      </c>
      <c r="P173" s="46">
        <v>41115</v>
      </c>
      <c r="Q173" s="58" t="s">
        <v>1161</v>
      </c>
      <c r="R173" s="59"/>
      <c r="S173" s="17" t="s">
        <v>825</v>
      </c>
      <c r="T173" s="7" t="s">
        <v>825</v>
      </c>
      <c r="U173" s="7" t="s">
        <v>10</v>
      </c>
      <c r="V173" s="7"/>
      <c r="W173" s="7"/>
      <c r="X173" s="7"/>
      <c r="Y173" s="7"/>
      <c r="Z173" s="7"/>
      <c r="AA173" s="7"/>
      <c r="AB173" s="7"/>
      <c r="AC173" s="7"/>
      <c r="AD173" s="8"/>
      <c r="AE173" s="33"/>
      <c r="AF173" s="110"/>
    </row>
    <row r="174" spans="1:36" x14ac:dyDescent="0.25">
      <c r="A174" s="40" t="s">
        <v>1551</v>
      </c>
      <c r="B174" s="40" t="s">
        <v>1552</v>
      </c>
      <c r="C174" s="42" t="s">
        <v>1553</v>
      </c>
      <c r="D174" s="42" t="s">
        <v>1554</v>
      </c>
      <c r="E174" s="27" t="str">
        <f>CONCATENATE($C174," ",$D174)</f>
        <v>Jaiven Pattson</v>
      </c>
      <c r="F174" s="16"/>
      <c r="G174" s="16"/>
      <c r="H174" s="16"/>
      <c r="I174" s="17"/>
      <c r="J174" s="16"/>
      <c r="K174" s="17">
        <v>937</v>
      </c>
      <c r="L174" s="17" t="s">
        <v>1555</v>
      </c>
      <c r="M174" s="39" t="s">
        <v>102</v>
      </c>
      <c r="N174" s="39"/>
      <c r="O174" s="16">
        <f ca="1">IF($P174&lt;&gt;"", DATEDIF($P174,TODAY(),"y"), "")</f>
        <v>15</v>
      </c>
      <c r="P174" s="46">
        <v>40508</v>
      </c>
      <c r="Q174" s="14" t="s">
        <v>1556</v>
      </c>
      <c r="R174" s="8"/>
      <c r="S174" s="107" t="s">
        <v>825</v>
      </c>
      <c r="T174" s="17"/>
      <c r="U174" s="17"/>
      <c r="V174" s="17"/>
      <c r="W174" s="21"/>
      <c r="X174" s="21"/>
      <c r="Y174" s="17"/>
      <c r="Z174" s="17"/>
      <c r="AA174" s="17"/>
      <c r="AB174" s="17" t="s">
        <v>1526</v>
      </c>
      <c r="AC174" s="17"/>
      <c r="AD174" s="16"/>
      <c r="AE174" s="32"/>
      <c r="AF174" s="110" t="s">
        <v>1662</v>
      </c>
    </row>
    <row r="175" spans="1:36" x14ac:dyDescent="0.25">
      <c r="A175" s="41" t="s">
        <v>517</v>
      </c>
      <c r="B175" s="41" t="s">
        <v>589</v>
      </c>
      <c r="C175" s="39" t="s">
        <v>119</v>
      </c>
      <c r="D175" s="39" t="s">
        <v>589</v>
      </c>
      <c r="E175" s="27" t="str">
        <f>CONCATENATE($C175," ",$D175)</f>
        <v>Christian Peffley</v>
      </c>
      <c r="F175" s="8" t="s">
        <v>590</v>
      </c>
      <c r="G175" s="8" t="s">
        <v>123</v>
      </c>
      <c r="H175" s="8" t="s">
        <v>115</v>
      </c>
      <c r="I175" s="7">
        <v>45419</v>
      </c>
      <c r="J175" s="16" t="str">
        <f>IF($G175&lt;&gt;"",CONCATENATE($G175,", ",$H175," ",$I175),"")</f>
        <v>Dayton, OH 45419</v>
      </c>
      <c r="K175" s="99">
        <v>937</v>
      </c>
      <c r="L175" s="99" t="s">
        <v>591</v>
      </c>
      <c r="M175" s="72"/>
      <c r="N175" s="72"/>
      <c r="O175" s="16">
        <f ca="1">IF($P175&lt;&gt;"", DATEDIF($P175,TODAY(),"y"), "")</f>
        <v>16</v>
      </c>
      <c r="P175" s="48">
        <v>40214</v>
      </c>
      <c r="Q175" s="8" t="s">
        <v>592</v>
      </c>
      <c r="R175" s="8" t="s">
        <v>593</v>
      </c>
      <c r="S175" s="17" t="s">
        <v>825</v>
      </c>
      <c r="T175" s="17" t="s">
        <v>825</v>
      </c>
      <c r="U175" s="17" t="s">
        <v>10</v>
      </c>
      <c r="V175" s="7"/>
      <c r="W175" s="21"/>
      <c r="X175" s="21"/>
      <c r="Y175" s="17"/>
      <c r="Z175" s="17"/>
      <c r="AA175" s="17"/>
      <c r="AB175" s="18"/>
      <c r="AC175" s="7"/>
      <c r="AD175" s="8"/>
      <c r="AE175" s="33"/>
      <c r="AF175" s="110"/>
    </row>
    <row r="176" spans="1:36" x14ac:dyDescent="0.25">
      <c r="A176" s="40" t="s">
        <v>360</v>
      </c>
      <c r="B176" s="40" t="s">
        <v>361</v>
      </c>
      <c r="C176" s="42" t="s">
        <v>362</v>
      </c>
      <c r="D176" s="42" t="s">
        <v>361</v>
      </c>
      <c r="E176" s="27" t="str">
        <f>CONCATENATE($C176," ",$D176)</f>
        <v>Kylie Peters</v>
      </c>
      <c r="F176" s="16" t="s">
        <v>363</v>
      </c>
      <c r="G176" s="16" t="s">
        <v>114</v>
      </c>
      <c r="H176" s="16" t="s">
        <v>115</v>
      </c>
      <c r="I176" s="17">
        <v>45458</v>
      </c>
      <c r="J176" s="16" t="str">
        <f>IF($G176&lt;&gt;"",CONCATENATE($G176,", ",$H176," ",$I176),"")</f>
        <v>Centerville, OH 45458</v>
      </c>
      <c r="K176" s="17">
        <v>937</v>
      </c>
      <c r="L176" s="17" t="s">
        <v>364</v>
      </c>
      <c r="M176" s="38" t="s">
        <v>181</v>
      </c>
      <c r="N176" s="38" t="s">
        <v>181</v>
      </c>
      <c r="O176" s="16">
        <f ca="1">IF($P176&lt;&gt;"", DATEDIF($P176,TODAY(),"y"), "")</f>
        <v>17</v>
      </c>
      <c r="P176" s="46">
        <v>39785</v>
      </c>
      <c r="Q176" s="14" t="s">
        <v>75</v>
      </c>
      <c r="R176" s="8"/>
      <c r="S176" s="107" t="s">
        <v>828</v>
      </c>
      <c r="T176" s="17"/>
      <c r="U176" s="17"/>
      <c r="V176" s="17"/>
      <c r="W176" s="21"/>
      <c r="X176" s="21"/>
      <c r="Y176" s="17"/>
      <c r="Z176" s="17"/>
      <c r="AA176" s="17"/>
      <c r="AB176" s="18" t="s">
        <v>1526</v>
      </c>
      <c r="AC176" s="18"/>
      <c r="AD176" s="19"/>
      <c r="AE176" s="32"/>
      <c r="AF176" s="110" t="s">
        <v>1662</v>
      </c>
    </row>
    <row r="177" spans="1:36" x14ac:dyDescent="0.25">
      <c r="A177" s="40" t="s">
        <v>365</v>
      </c>
      <c r="B177" s="40" t="s">
        <v>366</v>
      </c>
      <c r="C177" s="42" t="s">
        <v>367</v>
      </c>
      <c r="D177" s="42" t="s">
        <v>366</v>
      </c>
      <c r="E177" s="27" t="str">
        <f>CONCATENATE($C177," ",$D177)</f>
        <v>Callie Phillips</v>
      </c>
      <c r="F177" s="16" t="s">
        <v>368</v>
      </c>
      <c r="G177" s="16" t="s">
        <v>118</v>
      </c>
      <c r="H177" s="16" t="s">
        <v>115</v>
      </c>
      <c r="I177" s="17">
        <v>45066</v>
      </c>
      <c r="J177" s="16" t="str">
        <f>IF($G177&lt;&gt;"",CONCATENATE($G177,", ",$H177," ",$I177),"")</f>
        <v>Springboro, OH 45066</v>
      </c>
      <c r="K177" s="17">
        <v>937</v>
      </c>
      <c r="L177" s="17" t="s">
        <v>369</v>
      </c>
      <c r="M177" s="38"/>
      <c r="N177" s="38"/>
      <c r="O177" s="16">
        <f ca="1">IF($P177&lt;&gt;"", DATEDIF($P177,TODAY(),"y"), "")</f>
        <v>15</v>
      </c>
      <c r="P177" s="46">
        <v>40647</v>
      </c>
      <c r="Q177" s="14" t="s">
        <v>76</v>
      </c>
      <c r="R177" s="8"/>
      <c r="S177" s="17"/>
      <c r="T177" s="17"/>
      <c r="U177" s="17"/>
      <c r="V177" s="17"/>
      <c r="W177" s="17"/>
      <c r="X177" s="17"/>
      <c r="Y177" s="17"/>
      <c r="Z177" s="17"/>
      <c r="AA177" s="17"/>
      <c r="AB177" s="17"/>
      <c r="AC177" s="17"/>
      <c r="AD177" s="16"/>
      <c r="AE177" s="32"/>
      <c r="AF177" s="110"/>
      <c r="AG177" s="53"/>
      <c r="AH177" s="54"/>
      <c r="AI177" s="54"/>
      <c r="AJ177" s="54"/>
    </row>
    <row r="178" spans="1:36" x14ac:dyDescent="0.25">
      <c r="A178" s="40" t="s">
        <v>840</v>
      </c>
      <c r="B178" s="40" t="s">
        <v>1109</v>
      </c>
      <c r="C178" s="42" t="s">
        <v>1110</v>
      </c>
      <c r="D178" s="42" t="s">
        <v>1109</v>
      </c>
      <c r="E178" s="27" t="str">
        <f>CONCATENATE($C178," ",$D178)</f>
        <v>Lukas Pickett</v>
      </c>
      <c r="F178" s="16" t="s">
        <v>1111</v>
      </c>
      <c r="G178" s="16" t="s">
        <v>120</v>
      </c>
      <c r="H178" s="16" t="s">
        <v>115</v>
      </c>
      <c r="I178" s="17">
        <v>45342</v>
      </c>
      <c r="J178" s="16" t="str">
        <f>IF($G178&lt;&gt;"",CONCATENATE($G178,", ",$H178," ",$I178),"")</f>
        <v>Miamisburg, OH 45342</v>
      </c>
      <c r="K178" s="17">
        <v>937</v>
      </c>
      <c r="L178" s="17" t="s">
        <v>1112</v>
      </c>
      <c r="M178" s="38" t="s">
        <v>116</v>
      </c>
      <c r="N178" s="38" t="s">
        <v>121</v>
      </c>
      <c r="O178" s="16">
        <f ca="1">IF($P178&lt;&gt;"", DATEDIF($P178,TODAY(),"y"), "")</f>
        <v>11</v>
      </c>
      <c r="P178" s="46">
        <v>42175</v>
      </c>
      <c r="Q178" s="62" t="s">
        <v>1113</v>
      </c>
      <c r="R178" s="8"/>
      <c r="S178" s="107" t="s">
        <v>826</v>
      </c>
      <c r="T178" s="17" t="s">
        <v>825</v>
      </c>
      <c r="U178" s="17" t="s">
        <v>10</v>
      </c>
      <c r="V178" s="17"/>
      <c r="W178" s="17"/>
      <c r="X178" s="17"/>
      <c r="Y178" s="17"/>
      <c r="Z178" s="17"/>
      <c r="AA178" s="17"/>
      <c r="AB178" s="18" t="s">
        <v>1526</v>
      </c>
      <c r="AC178" s="18"/>
      <c r="AD178" s="16"/>
      <c r="AE178" s="32"/>
      <c r="AF178" s="110"/>
    </row>
    <row r="179" spans="1:36" x14ac:dyDescent="0.25">
      <c r="A179" s="41" t="s">
        <v>893</v>
      </c>
      <c r="B179" s="41" t="s">
        <v>894</v>
      </c>
      <c r="C179" s="39" t="s">
        <v>895</v>
      </c>
      <c r="D179" s="39" t="s">
        <v>894</v>
      </c>
      <c r="E179" s="27" t="str">
        <f>CONCATENATE($C179," ",$D179)</f>
        <v>Priya Pinkerton</v>
      </c>
      <c r="F179" s="8" t="s">
        <v>896</v>
      </c>
      <c r="G179" s="8" t="s">
        <v>154</v>
      </c>
      <c r="H179" s="8" t="s">
        <v>115</v>
      </c>
      <c r="I179" s="7">
        <v>45434</v>
      </c>
      <c r="J179" s="16" t="str">
        <f>IF($G179&lt;&gt;"",CONCATENATE($G179,", ",$H179," ",$I179),"")</f>
        <v>Beavercreek, OH 45434</v>
      </c>
      <c r="K179" s="99">
        <v>937</v>
      </c>
      <c r="L179" s="99" t="s">
        <v>897</v>
      </c>
      <c r="M179" s="39"/>
      <c r="N179" s="39"/>
      <c r="O179" s="16">
        <f ca="1">IF($P179&lt;&gt;"", DATEDIF($P179,TODAY(),"y"), "")</f>
        <v>12</v>
      </c>
      <c r="P179" s="47">
        <v>41716</v>
      </c>
      <c r="Q179" s="58" t="s">
        <v>898</v>
      </c>
      <c r="R179" s="8"/>
      <c r="S179" s="17" t="s">
        <v>824</v>
      </c>
      <c r="T179" s="17" t="s">
        <v>824</v>
      </c>
      <c r="U179" s="17" t="s">
        <v>8</v>
      </c>
      <c r="V179" s="7"/>
      <c r="W179" s="7"/>
      <c r="X179" s="7"/>
      <c r="Y179" s="7"/>
      <c r="Z179" s="7"/>
      <c r="AA179" s="7"/>
      <c r="AB179" s="7"/>
      <c r="AC179" s="7"/>
      <c r="AD179" s="8"/>
      <c r="AE179" s="33"/>
      <c r="AF179" s="110"/>
    </row>
    <row r="180" spans="1:36" x14ac:dyDescent="0.25">
      <c r="A180" s="41" t="s">
        <v>893</v>
      </c>
      <c r="B180" s="41" t="s">
        <v>894</v>
      </c>
      <c r="C180" s="39" t="s">
        <v>895</v>
      </c>
      <c r="D180" s="39" t="s">
        <v>894</v>
      </c>
      <c r="E180" s="27" t="str">
        <f>CONCATENATE($C180," ",$D180)</f>
        <v>Priya Pinkerton</v>
      </c>
      <c r="F180" s="8"/>
      <c r="G180" s="8"/>
      <c r="H180" s="8"/>
      <c r="I180" s="7"/>
      <c r="J180" s="16"/>
      <c r="K180" s="99">
        <v>937</v>
      </c>
      <c r="L180" s="99" t="s">
        <v>1503</v>
      </c>
      <c r="M180" s="39"/>
      <c r="N180" s="39" t="s">
        <v>116</v>
      </c>
      <c r="O180" s="16">
        <f ca="1">IF($P180&lt;&gt;"", DATEDIF($P180,TODAY(),"y"), "")</f>
        <v>12</v>
      </c>
      <c r="P180" s="46">
        <v>41716</v>
      </c>
      <c r="Q180" s="14" t="s">
        <v>898</v>
      </c>
      <c r="R180" s="8"/>
      <c r="S180" s="7" t="s">
        <v>817</v>
      </c>
      <c r="T180" s="7"/>
      <c r="U180" s="7"/>
      <c r="V180" s="7"/>
      <c r="W180" s="7"/>
      <c r="X180" s="7"/>
      <c r="Y180" s="7"/>
      <c r="Z180" s="7"/>
      <c r="AA180" s="7"/>
      <c r="AB180" s="7"/>
      <c r="AC180" s="7"/>
      <c r="AD180" s="8"/>
      <c r="AE180" s="33"/>
      <c r="AF180" s="110"/>
      <c r="AG180" s="53"/>
      <c r="AH180" s="54"/>
      <c r="AI180" s="54"/>
      <c r="AJ180" s="54"/>
    </row>
    <row r="181" spans="1:36" x14ac:dyDescent="0.25">
      <c r="A181" s="40" t="s">
        <v>1435</v>
      </c>
      <c r="B181" s="40" t="s">
        <v>1436</v>
      </c>
      <c r="C181" s="42" t="s">
        <v>1437</v>
      </c>
      <c r="D181" s="42" t="s">
        <v>1438</v>
      </c>
      <c r="E181" s="27" t="str">
        <f>CONCATENATE($C181," ",$D181)</f>
        <v>Fallon Poellnitz</v>
      </c>
      <c r="F181" s="16"/>
      <c r="G181" s="16"/>
      <c r="H181" s="16"/>
      <c r="I181" s="17"/>
      <c r="J181" s="16"/>
      <c r="K181" s="17">
        <v>513</v>
      </c>
      <c r="L181" s="17" t="s">
        <v>1439</v>
      </c>
      <c r="M181" s="39"/>
      <c r="N181" s="39" t="s">
        <v>122</v>
      </c>
      <c r="O181" s="16">
        <f ca="1">IF($P181&lt;&gt;"", DATEDIF($P181,TODAY(),"y"), "")</f>
        <v>7</v>
      </c>
      <c r="P181" s="46">
        <v>43440</v>
      </c>
      <c r="Q181" s="14" t="s">
        <v>1440</v>
      </c>
      <c r="R181" s="8"/>
      <c r="S181" s="17" t="s">
        <v>824</v>
      </c>
      <c r="T181" s="17"/>
      <c r="U181" s="17"/>
      <c r="V181" s="17"/>
      <c r="W181" s="17"/>
      <c r="X181" s="20"/>
      <c r="Y181" s="17"/>
      <c r="Z181" s="17"/>
      <c r="AA181" s="17"/>
      <c r="AB181" s="17"/>
      <c r="AC181" s="18"/>
      <c r="AD181" s="16"/>
      <c r="AE181" s="32"/>
      <c r="AF181" s="110"/>
    </row>
    <row r="182" spans="1:36" x14ac:dyDescent="0.25">
      <c r="A182" s="41" t="s">
        <v>621</v>
      </c>
      <c r="B182" s="41" t="s">
        <v>904</v>
      </c>
      <c r="C182" s="39" t="s">
        <v>905</v>
      </c>
      <c r="D182" s="39" t="s">
        <v>904</v>
      </c>
      <c r="E182" s="27" t="str">
        <f>CONCATENATE($C182," ",$D182)</f>
        <v>Brayden Poulsen</v>
      </c>
      <c r="F182" s="8" t="s">
        <v>906</v>
      </c>
      <c r="G182" s="8" t="s">
        <v>432</v>
      </c>
      <c r="H182" s="8" t="s">
        <v>115</v>
      </c>
      <c r="I182" s="7">
        <v>45449</v>
      </c>
      <c r="J182" s="16" t="str">
        <f>IF($G182&lt;&gt;"",CONCATENATE($G182,", ",$H182," ",$I182),"")</f>
        <v>West Carrollton, OH 45449</v>
      </c>
      <c r="K182" s="99">
        <v>937</v>
      </c>
      <c r="L182" s="99" t="s">
        <v>907</v>
      </c>
      <c r="M182" s="39"/>
      <c r="N182" s="39"/>
      <c r="O182" s="16">
        <f ca="1">IF($P182&lt;&gt;"", DATEDIF($P182,TODAY(),"y"), "")</f>
        <v>11</v>
      </c>
      <c r="P182" s="47">
        <v>41961</v>
      </c>
      <c r="Q182" s="58" t="s">
        <v>908</v>
      </c>
      <c r="R182" s="8"/>
      <c r="S182" s="17" t="s">
        <v>823</v>
      </c>
      <c r="T182" s="17" t="s">
        <v>823</v>
      </c>
      <c r="U182" s="17" t="s">
        <v>9</v>
      </c>
      <c r="V182" s="7"/>
      <c r="W182" s="7"/>
      <c r="X182" s="7"/>
      <c r="Y182" s="7"/>
      <c r="Z182" s="7"/>
      <c r="AA182" s="7"/>
      <c r="AB182" s="7"/>
      <c r="AC182" s="7"/>
      <c r="AD182" s="8"/>
      <c r="AE182" s="33"/>
      <c r="AF182" s="110"/>
      <c r="AG182" s="15"/>
    </row>
    <row r="183" spans="1:36" x14ac:dyDescent="0.25">
      <c r="A183" s="41" t="s">
        <v>621</v>
      </c>
      <c r="B183" s="41" t="s">
        <v>904</v>
      </c>
      <c r="C183" s="39" t="s">
        <v>1142</v>
      </c>
      <c r="D183" s="39" t="s">
        <v>904</v>
      </c>
      <c r="E183" s="27" t="str">
        <f>CONCATENATE($C183," ",$D183)</f>
        <v>Evangeline Poulsen</v>
      </c>
      <c r="F183" s="8" t="s">
        <v>906</v>
      </c>
      <c r="G183" s="8" t="s">
        <v>432</v>
      </c>
      <c r="H183" s="8" t="s">
        <v>115</v>
      </c>
      <c r="I183" s="7">
        <v>45449</v>
      </c>
      <c r="J183" s="16" t="str">
        <f>IF($G183&lt;&gt;"",CONCATENATE($G183,", ",$H183," ",$I183),"")</f>
        <v>West Carrollton, OH 45449</v>
      </c>
      <c r="K183" s="99">
        <v>937</v>
      </c>
      <c r="L183" s="99" t="s">
        <v>907</v>
      </c>
      <c r="M183" s="82"/>
      <c r="N183" s="82"/>
      <c r="O183" s="16">
        <f ca="1">IF($P183&lt;&gt;"", DATEDIF($P183,TODAY(),"y"), "")</f>
        <v>8</v>
      </c>
      <c r="P183" s="48">
        <v>42955</v>
      </c>
      <c r="Q183" s="8" t="s">
        <v>908</v>
      </c>
      <c r="R183" s="8"/>
      <c r="S183" s="17" t="s">
        <v>824</v>
      </c>
      <c r="T183" s="7" t="s">
        <v>824</v>
      </c>
      <c r="U183" s="7" t="s">
        <v>8</v>
      </c>
      <c r="V183" s="7"/>
      <c r="W183" s="7"/>
      <c r="X183" s="7"/>
      <c r="Y183" s="7"/>
      <c r="Z183" s="7"/>
      <c r="AA183" s="7"/>
      <c r="AB183" s="7"/>
      <c r="AC183" s="7"/>
      <c r="AD183" s="8"/>
      <c r="AE183" s="33"/>
      <c r="AF183" s="110"/>
    </row>
    <row r="184" spans="1:36" x14ac:dyDescent="0.25">
      <c r="A184" s="40" t="s">
        <v>840</v>
      </c>
      <c r="B184" s="40" t="s">
        <v>1299</v>
      </c>
      <c r="C184" s="42" t="s">
        <v>351</v>
      </c>
      <c r="D184" s="42" t="s">
        <v>1299</v>
      </c>
      <c r="E184" s="27" t="str">
        <f>CONCATENATE($C184," ",$D184)</f>
        <v>Patrick Powell</v>
      </c>
      <c r="F184" s="16"/>
      <c r="G184" s="16"/>
      <c r="H184" s="16"/>
      <c r="I184" s="17"/>
      <c r="J184" s="16"/>
      <c r="K184" s="17">
        <v>937</v>
      </c>
      <c r="L184" s="17" t="s">
        <v>1300</v>
      </c>
      <c r="M184" s="38"/>
      <c r="N184" s="38" t="s">
        <v>144</v>
      </c>
      <c r="O184" s="16">
        <f ca="1">IF($P184&lt;&gt;"", DATEDIF($P184,TODAY(),"y"), "")</f>
        <v>29</v>
      </c>
      <c r="P184" s="46">
        <v>35275</v>
      </c>
      <c r="Q184" s="61" t="s">
        <v>1301</v>
      </c>
      <c r="R184" s="8"/>
      <c r="S184" s="17" t="s">
        <v>827</v>
      </c>
      <c r="T184" s="17" t="s">
        <v>834</v>
      </c>
      <c r="U184" s="17" t="s">
        <v>10</v>
      </c>
      <c r="V184" s="17"/>
      <c r="W184" s="21"/>
      <c r="X184" s="21"/>
      <c r="Y184" s="17"/>
      <c r="Z184" s="17"/>
      <c r="AA184" s="17"/>
      <c r="AB184" s="18"/>
      <c r="AC184" s="18"/>
      <c r="AD184" s="19"/>
      <c r="AE184" s="31"/>
      <c r="AF184" s="110"/>
      <c r="AG184" s="53"/>
      <c r="AH184" s="54"/>
      <c r="AI184" s="54"/>
      <c r="AJ184" s="54"/>
    </row>
    <row r="185" spans="1:36" x14ac:dyDescent="0.25">
      <c r="A185" s="40" t="s">
        <v>1514</v>
      </c>
      <c r="B185" s="40" t="s">
        <v>1515</v>
      </c>
      <c r="C185" s="42" t="s">
        <v>1660</v>
      </c>
      <c r="D185" s="42" t="s">
        <v>1661</v>
      </c>
      <c r="E185" s="27" t="str">
        <f>CONCATENATE($C185," ",$D185)</f>
        <v>Breyshun Price</v>
      </c>
      <c r="F185" s="16"/>
      <c r="G185" s="16"/>
      <c r="H185" s="16"/>
      <c r="I185" s="17"/>
      <c r="J185" s="16"/>
      <c r="K185" s="99">
        <v>326</v>
      </c>
      <c r="L185" s="99" t="s">
        <v>1516</v>
      </c>
      <c r="M185" s="38" t="s">
        <v>181</v>
      </c>
      <c r="N185" s="38"/>
      <c r="O185" s="16">
        <f ca="1">IF($P185&lt;&gt;"", DATEDIF($P185,TODAY(),"y"), "")</f>
        <v>16</v>
      </c>
      <c r="P185" s="46">
        <v>40075</v>
      </c>
      <c r="Q185" s="58" t="s">
        <v>1517</v>
      </c>
      <c r="R185" s="8"/>
      <c r="S185" s="111" t="s">
        <v>834</v>
      </c>
      <c r="T185" s="17"/>
      <c r="U185" s="17"/>
      <c r="V185" s="17"/>
      <c r="W185" s="21"/>
      <c r="X185" s="21"/>
      <c r="Y185" s="17"/>
      <c r="Z185" s="17"/>
      <c r="AA185" s="17"/>
      <c r="AB185" s="18" t="s">
        <v>1526</v>
      </c>
      <c r="AC185" s="18"/>
      <c r="AD185" s="19"/>
      <c r="AE185" s="31"/>
      <c r="AF185" s="110"/>
      <c r="AG185" s="53"/>
      <c r="AH185" s="54"/>
      <c r="AI185" s="54"/>
      <c r="AJ185" s="54"/>
    </row>
    <row r="186" spans="1:36" x14ac:dyDescent="0.25">
      <c r="A186" s="40" t="s">
        <v>350</v>
      </c>
      <c r="B186" s="40" t="s">
        <v>1255</v>
      </c>
      <c r="C186" s="42" t="s">
        <v>1256</v>
      </c>
      <c r="D186" s="42" t="s">
        <v>1255</v>
      </c>
      <c r="E186" s="27" t="str">
        <f>CONCATENATE($C186," ",$D186)</f>
        <v>Levi Pullins</v>
      </c>
      <c r="F186" s="16"/>
      <c r="G186" s="16"/>
      <c r="H186" s="16"/>
      <c r="I186" s="17"/>
      <c r="J186" s="16"/>
      <c r="K186" s="17">
        <v>937</v>
      </c>
      <c r="L186" s="17" t="s">
        <v>1257</v>
      </c>
      <c r="M186" s="38" t="s">
        <v>121</v>
      </c>
      <c r="N186" s="38" t="s">
        <v>121</v>
      </c>
      <c r="O186" s="16">
        <f ca="1">IF($P186&lt;&gt;"", DATEDIF($P186,TODAY(),"y"), "")</f>
        <v>9</v>
      </c>
      <c r="P186" s="46">
        <v>42721</v>
      </c>
      <c r="Q186" s="62" t="s">
        <v>1258</v>
      </c>
      <c r="R186" s="8"/>
      <c r="S186" s="107" t="s">
        <v>824</v>
      </c>
      <c r="T186" s="17"/>
      <c r="U186" s="17"/>
      <c r="V186" s="17"/>
      <c r="W186" s="17"/>
      <c r="X186" s="17"/>
      <c r="Y186" s="17"/>
      <c r="Z186" s="17"/>
      <c r="AA186" s="17"/>
      <c r="AB186" s="18" t="s">
        <v>1526</v>
      </c>
      <c r="AC186" s="17"/>
      <c r="AD186" s="16"/>
      <c r="AE186" s="32"/>
      <c r="AF186" s="110" t="s">
        <v>1662</v>
      </c>
      <c r="AG186" s="53"/>
      <c r="AH186" s="54"/>
      <c r="AI186" s="54"/>
      <c r="AJ186" s="54"/>
    </row>
    <row r="187" spans="1:36" x14ac:dyDescent="0.25">
      <c r="A187" s="40" t="s">
        <v>1016</v>
      </c>
      <c r="B187" s="40" t="s">
        <v>1017</v>
      </c>
      <c r="C187" s="42" t="s">
        <v>1599</v>
      </c>
      <c r="D187" s="42" t="s">
        <v>1017</v>
      </c>
      <c r="E187" s="27" t="str">
        <f>CONCATENATE($C187," ",$D187)</f>
        <v>Isa Rasheed</v>
      </c>
      <c r="F187" s="16"/>
      <c r="G187" s="16"/>
      <c r="H187" s="16"/>
      <c r="I187" s="17"/>
      <c r="J187" s="16"/>
      <c r="K187" s="17">
        <v>937</v>
      </c>
      <c r="L187" s="17" t="s">
        <v>1597</v>
      </c>
      <c r="M187" s="39" t="s">
        <v>122</v>
      </c>
      <c r="N187" s="38"/>
      <c r="O187" s="16">
        <f ca="1">IF($P187&lt;&gt;"", DATEDIF($P187,TODAY(),"y"), "")</f>
        <v>6</v>
      </c>
      <c r="P187" s="46">
        <v>43949</v>
      </c>
      <c r="Q187" s="14" t="s">
        <v>1598</v>
      </c>
      <c r="S187" s="107" t="s">
        <v>823</v>
      </c>
      <c r="T187" s="17"/>
      <c r="U187" s="17"/>
      <c r="V187" s="17"/>
      <c r="W187" s="20"/>
      <c r="X187" s="20"/>
      <c r="Y187" s="17"/>
      <c r="Z187" s="17"/>
      <c r="AA187" s="17"/>
      <c r="AB187" s="18" t="s">
        <v>1526</v>
      </c>
      <c r="AC187" s="18"/>
      <c r="AD187" s="16"/>
      <c r="AE187" s="31"/>
      <c r="AF187" s="110" t="s">
        <v>1662</v>
      </c>
      <c r="AG187" s="15"/>
    </row>
    <row r="188" spans="1:36" x14ac:dyDescent="0.25">
      <c r="A188" s="40" t="s">
        <v>1531</v>
      </c>
      <c r="B188" s="40" t="s">
        <v>1532</v>
      </c>
      <c r="C188" s="42" t="s">
        <v>1194</v>
      </c>
      <c r="D188" s="42" t="s">
        <v>1532</v>
      </c>
      <c r="E188" s="27" t="str">
        <f>CONCATENATE($C188," ",$D188)</f>
        <v>Mason Reed</v>
      </c>
      <c r="F188" s="16"/>
      <c r="G188" s="16"/>
      <c r="H188" s="16"/>
      <c r="I188" s="17"/>
      <c r="J188" s="16"/>
      <c r="K188" s="17">
        <v>513</v>
      </c>
      <c r="L188" s="17" t="s">
        <v>1533</v>
      </c>
      <c r="M188" s="39" t="s">
        <v>122</v>
      </c>
      <c r="N188" s="38"/>
      <c r="O188" s="16">
        <f ca="1">IF($P188&lt;&gt;"", DATEDIF($P188,TODAY(),"y"), "")</f>
        <v>6</v>
      </c>
      <c r="P188" s="46">
        <v>43986</v>
      </c>
      <c r="Q188" s="62" t="s">
        <v>1534</v>
      </c>
      <c r="R188" s="8"/>
      <c r="S188" s="107" t="s">
        <v>825</v>
      </c>
      <c r="T188" s="17"/>
      <c r="U188" s="17"/>
      <c r="V188" s="17"/>
      <c r="W188" s="17"/>
      <c r="X188" s="17"/>
      <c r="Y188" s="17"/>
      <c r="Z188" s="18"/>
      <c r="AA188" s="18"/>
      <c r="AB188" s="17" t="s">
        <v>1526</v>
      </c>
      <c r="AC188" s="24"/>
      <c r="AD188" s="19"/>
      <c r="AE188" s="32"/>
      <c r="AF188" s="110"/>
      <c r="AG188" s="15"/>
    </row>
    <row r="189" spans="1:36" x14ac:dyDescent="0.25">
      <c r="A189" s="40" t="s">
        <v>1288</v>
      </c>
      <c r="B189" s="40" t="s">
        <v>1284</v>
      </c>
      <c r="C189" s="42" t="s">
        <v>1285</v>
      </c>
      <c r="D189" s="42" t="s">
        <v>1284</v>
      </c>
      <c r="E189" s="27" t="str">
        <f>CONCATENATE($C189," ",$D189)</f>
        <v>Grabriel Renk</v>
      </c>
      <c r="F189" s="16"/>
      <c r="G189" s="16"/>
      <c r="H189" s="16"/>
      <c r="I189" s="17"/>
      <c r="J189" s="16"/>
      <c r="K189" s="17">
        <v>937</v>
      </c>
      <c r="L189" s="17" t="s">
        <v>1286</v>
      </c>
      <c r="M189" s="38"/>
      <c r="N189" s="38"/>
      <c r="O189" s="16">
        <f ca="1">IF($P189&lt;&gt;"", DATEDIF($P189,TODAY(),"y"), "")</f>
        <v>13</v>
      </c>
      <c r="P189" s="46">
        <v>41355</v>
      </c>
      <c r="Q189" s="62" t="s">
        <v>1287</v>
      </c>
      <c r="R189" s="8"/>
      <c r="S189" s="17" t="s">
        <v>825</v>
      </c>
      <c r="T189" s="17" t="s">
        <v>825</v>
      </c>
      <c r="U189" s="17" t="s">
        <v>10</v>
      </c>
      <c r="V189" s="17"/>
      <c r="W189" s="20"/>
      <c r="X189" s="20"/>
      <c r="Y189" s="17"/>
      <c r="Z189" s="17"/>
      <c r="AA189" s="17"/>
      <c r="AB189" s="18"/>
      <c r="AC189" s="18"/>
      <c r="AD189" s="19"/>
      <c r="AE189" s="31"/>
      <c r="AF189" s="110"/>
    </row>
    <row r="190" spans="1:36" x14ac:dyDescent="0.25">
      <c r="A190" s="41" t="s">
        <v>1449</v>
      </c>
      <c r="B190" s="41" t="s">
        <v>1474</v>
      </c>
      <c r="C190" s="39" t="s">
        <v>656</v>
      </c>
      <c r="D190" s="39" t="s">
        <v>1475</v>
      </c>
      <c r="E190" s="27" t="str">
        <f>CONCATENATE($C190," ",$D190)</f>
        <v>Nathan Richardson</v>
      </c>
      <c r="F190" s="8"/>
      <c r="G190" s="8"/>
      <c r="H190" s="8"/>
      <c r="I190" s="7"/>
      <c r="J190" s="16"/>
      <c r="K190" s="99">
        <v>937</v>
      </c>
      <c r="L190" s="99" t="s">
        <v>1477</v>
      </c>
      <c r="M190" s="39" t="s">
        <v>971</v>
      </c>
      <c r="N190" s="39" t="s">
        <v>168</v>
      </c>
      <c r="O190" s="16">
        <f ca="1">IF($P190&lt;&gt;"", DATEDIF($P190,TODAY(),"y"), "")</f>
        <v>24</v>
      </c>
      <c r="P190" s="48">
        <v>37214</v>
      </c>
      <c r="Q190" s="61" t="s">
        <v>1476</v>
      </c>
      <c r="R190" s="8"/>
      <c r="S190" s="111" t="s">
        <v>834</v>
      </c>
      <c r="T190" s="7"/>
      <c r="U190" s="7"/>
      <c r="V190" s="7"/>
      <c r="W190" s="7"/>
      <c r="X190" s="7"/>
      <c r="Y190" s="7"/>
      <c r="Z190" s="7"/>
      <c r="AA190" s="7"/>
      <c r="AB190" s="7" t="s">
        <v>1526</v>
      </c>
      <c r="AC190" s="7"/>
      <c r="AD190" s="8"/>
      <c r="AE190" s="33"/>
      <c r="AF190" s="110" t="s">
        <v>1662</v>
      </c>
    </row>
    <row r="191" spans="1:36" x14ac:dyDescent="0.25">
      <c r="A191" s="41" t="s">
        <v>676</v>
      </c>
      <c r="B191" s="41" t="s">
        <v>677</v>
      </c>
      <c r="C191" s="39" t="s">
        <v>815</v>
      </c>
      <c r="D191" s="39" t="s">
        <v>677</v>
      </c>
      <c r="E191" s="27" t="str">
        <f>CONCATENATE($C191," ",$D191)</f>
        <v>Keira Richison</v>
      </c>
      <c r="F191" s="8" t="s">
        <v>798</v>
      </c>
      <c r="G191" s="8" t="s">
        <v>123</v>
      </c>
      <c r="H191" s="8" t="s">
        <v>115</v>
      </c>
      <c r="I191" s="7">
        <v>45432</v>
      </c>
      <c r="J191" s="16" t="str">
        <f>IF($G191&lt;&gt;"",CONCATENATE($G191,", ",$H191," ",$I191),"")</f>
        <v>Dayton, OH 45432</v>
      </c>
      <c r="K191" s="99">
        <v>937</v>
      </c>
      <c r="L191" s="99" t="s">
        <v>678</v>
      </c>
      <c r="M191" s="39" t="s">
        <v>116</v>
      </c>
      <c r="N191" s="39" t="s">
        <v>116</v>
      </c>
      <c r="O191" s="16">
        <f ca="1">IF($P191&lt;&gt;"", DATEDIF($P191,TODAY(),"y"), "")</f>
        <v>13</v>
      </c>
      <c r="P191" s="47">
        <v>41228</v>
      </c>
      <c r="Q191" s="58" t="s">
        <v>679</v>
      </c>
      <c r="R191" s="8"/>
      <c r="S191" s="107" t="s">
        <v>827</v>
      </c>
      <c r="T191" s="17" t="s">
        <v>826</v>
      </c>
      <c r="U191" s="17" t="s">
        <v>10</v>
      </c>
      <c r="V191" s="7"/>
      <c r="W191" s="21"/>
      <c r="X191" s="21"/>
      <c r="Y191" s="17"/>
      <c r="Z191" s="17"/>
      <c r="AA191" s="17"/>
      <c r="AB191" s="18" t="s">
        <v>1526</v>
      </c>
      <c r="AC191" s="7"/>
      <c r="AD191" s="8"/>
      <c r="AE191" s="33"/>
      <c r="AF191" s="110"/>
      <c r="AG191" s="15"/>
    </row>
    <row r="192" spans="1:36" x14ac:dyDescent="0.25">
      <c r="A192" s="40" t="s">
        <v>370</v>
      </c>
      <c r="B192" s="40" t="s">
        <v>371</v>
      </c>
      <c r="C192" s="42" t="s">
        <v>372</v>
      </c>
      <c r="D192" s="42" t="s">
        <v>371</v>
      </c>
      <c r="E192" s="27" t="str">
        <f>CONCATENATE($C192," ",$D192)</f>
        <v>Daniel Richmond</v>
      </c>
      <c r="F192" s="16" t="s">
        <v>373</v>
      </c>
      <c r="G192" s="16" t="s">
        <v>154</v>
      </c>
      <c r="H192" s="16" t="s">
        <v>115</v>
      </c>
      <c r="I192" s="17">
        <v>45432</v>
      </c>
      <c r="J192" s="16" t="str">
        <f>IF($G192&lt;&gt;"",CONCATENATE($G192,", ",$H192," ",$I192),"")</f>
        <v>Beavercreek, OH 45432</v>
      </c>
      <c r="K192" s="17">
        <v>937</v>
      </c>
      <c r="L192" s="17" t="s">
        <v>374</v>
      </c>
      <c r="M192" s="39"/>
      <c r="N192" s="39"/>
      <c r="O192" s="16">
        <f ca="1">IF($P192&lt;&gt;"", DATEDIF($P192,TODAY(),"y"), "")</f>
        <v>35</v>
      </c>
      <c r="P192" s="46">
        <v>33142</v>
      </c>
      <c r="Q192" s="14" t="s">
        <v>77</v>
      </c>
      <c r="R192" s="8"/>
      <c r="S192" s="17" t="s">
        <v>834</v>
      </c>
      <c r="T192" s="17"/>
      <c r="U192" s="17" t="s">
        <v>10</v>
      </c>
      <c r="V192" s="17"/>
      <c r="W192" s="21"/>
      <c r="X192" s="21"/>
      <c r="Y192" s="17"/>
      <c r="Z192" s="17"/>
      <c r="AA192" s="17"/>
      <c r="AB192" s="18"/>
      <c r="AC192" s="18"/>
      <c r="AD192" s="19"/>
      <c r="AE192" s="32"/>
      <c r="AF192" s="110"/>
    </row>
    <row r="193" spans="1:36" x14ac:dyDescent="0.25">
      <c r="A193" s="40" t="s">
        <v>1023</v>
      </c>
      <c r="B193" s="40" t="s">
        <v>1024</v>
      </c>
      <c r="C193" s="42" t="s">
        <v>1025</v>
      </c>
      <c r="D193" s="42" t="s">
        <v>1026</v>
      </c>
      <c r="E193" s="27" t="str">
        <f>CONCATENATE($C193," ",$D193)</f>
        <v>Kingston Ringold</v>
      </c>
      <c r="F193" s="16" t="s">
        <v>1027</v>
      </c>
      <c r="G193" s="16" t="s">
        <v>120</v>
      </c>
      <c r="H193" s="16" t="s">
        <v>115</v>
      </c>
      <c r="I193" s="17">
        <v>45342</v>
      </c>
      <c r="J193" s="16" t="str">
        <f>IF($G193&lt;&gt;"",CONCATENATE($G193,", ",$H193," ",$I193),"")</f>
        <v>Miamisburg, OH 45342</v>
      </c>
      <c r="K193" s="17">
        <v>937</v>
      </c>
      <c r="L193" s="17" t="s">
        <v>1028</v>
      </c>
      <c r="M193" s="38"/>
      <c r="N193" s="38"/>
      <c r="O193" s="16">
        <f ca="1">IF($P193&lt;&gt;"", DATEDIF($P193,TODAY(),"y"), "")</f>
        <v>11</v>
      </c>
      <c r="P193" s="46">
        <v>42170</v>
      </c>
      <c r="Q193" s="62" t="s">
        <v>1029</v>
      </c>
      <c r="R193" s="8"/>
      <c r="S193" s="17" t="s">
        <v>823</v>
      </c>
      <c r="T193" s="17" t="s">
        <v>823</v>
      </c>
      <c r="U193" s="17" t="s">
        <v>9</v>
      </c>
      <c r="V193" s="17"/>
      <c r="W193" s="17"/>
      <c r="X193" s="17"/>
      <c r="Y193" s="17"/>
      <c r="Z193" s="18"/>
      <c r="AA193" s="18"/>
      <c r="AB193" s="17"/>
      <c r="AC193" s="17"/>
      <c r="AD193" s="19"/>
      <c r="AE193" s="32"/>
      <c r="AF193" s="110"/>
    </row>
    <row r="194" spans="1:36" x14ac:dyDescent="0.25">
      <c r="A194" s="40" t="s">
        <v>1514</v>
      </c>
      <c r="B194" s="40" t="s">
        <v>1581</v>
      </c>
      <c r="C194" s="42" t="s">
        <v>1582</v>
      </c>
      <c r="D194" s="42" t="s">
        <v>1581</v>
      </c>
      <c r="E194" s="27" t="str">
        <f>CONCATENATE($C194," ",$D194)</f>
        <v>Isaac Robertson</v>
      </c>
      <c r="F194" s="16"/>
      <c r="G194" s="16"/>
      <c r="H194" s="16"/>
      <c r="I194" s="17"/>
      <c r="J194" s="16"/>
      <c r="K194" s="17">
        <v>731</v>
      </c>
      <c r="L194" s="17" t="s">
        <v>1584</v>
      </c>
      <c r="M194" s="39" t="s">
        <v>121</v>
      </c>
      <c r="N194" s="38"/>
      <c r="O194" s="16">
        <f ca="1">IF($P194&lt;&gt;"", DATEDIF($P194,TODAY(),"y"), "")</f>
        <v>10</v>
      </c>
      <c r="P194" s="46">
        <v>42351</v>
      </c>
      <c r="Q194" s="14" t="s">
        <v>1585</v>
      </c>
      <c r="R194" s="8"/>
      <c r="S194" s="107" t="s">
        <v>824</v>
      </c>
      <c r="T194" s="17"/>
      <c r="U194" s="17"/>
      <c r="V194" s="17"/>
      <c r="W194" s="20"/>
      <c r="X194" s="20"/>
      <c r="Y194" s="17"/>
      <c r="Z194" s="17"/>
      <c r="AA194" s="17"/>
      <c r="AB194" s="18" t="s">
        <v>1526</v>
      </c>
      <c r="AC194" s="18"/>
      <c r="AD194" s="19"/>
      <c r="AE194" s="31"/>
      <c r="AF194" s="110" t="s">
        <v>1662</v>
      </c>
      <c r="AG194" s="53"/>
      <c r="AH194" s="54"/>
      <c r="AI194" s="54"/>
      <c r="AJ194" s="54"/>
    </row>
    <row r="195" spans="1:36" x14ac:dyDescent="0.25">
      <c r="A195" s="40" t="s">
        <v>1452</v>
      </c>
      <c r="B195" s="40" t="s">
        <v>1453</v>
      </c>
      <c r="C195" s="42" t="s">
        <v>1454</v>
      </c>
      <c r="D195" s="42" t="s">
        <v>1455</v>
      </c>
      <c r="E195" s="27" t="str">
        <f>CONCATENATE($C195," ",$D195)</f>
        <v>Kemper Robinson</v>
      </c>
      <c r="F195" s="16"/>
      <c r="G195" s="16"/>
      <c r="H195" s="16"/>
      <c r="I195" s="17"/>
      <c r="J195" s="16"/>
      <c r="K195" s="17">
        <v>937</v>
      </c>
      <c r="L195" s="17" t="s">
        <v>1456</v>
      </c>
      <c r="M195" s="39"/>
      <c r="N195" s="39" t="s">
        <v>121</v>
      </c>
      <c r="O195" s="16">
        <f ca="1">IF($P195&lt;&gt;"", DATEDIF($P195,TODAY(),"y"), "")</f>
        <v>11</v>
      </c>
      <c r="P195" s="46">
        <v>42014</v>
      </c>
      <c r="Q195" s="14" t="s">
        <v>1457</v>
      </c>
      <c r="R195" s="8"/>
      <c r="S195" s="17" t="s">
        <v>824</v>
      </c>
      <c r="T195" s="17"/>
      <c r="U195" s="17"/>
      <c r="V195" s="17"/>
      <c r="W195" s="20"/>
      <c r="X195" s="20"/>
      <c r="Y195" s="17"/>
      <c r="Z195" s="17"/>
      <c r="AA195" s="17"/>
      <c r="AB195" s="18"/>
      <c r="AC195" s="18"/>
      <c r="AD195" s="16"/>
      <c r="AE195" s="32"/>
      <c r="AF195" s="110"/>
      <c r="AG195" s="15"/>
    </row>
    <row r="196" spans="1:36" x14ac:dyDescent="0.25">
      <c r="A196" s="40" t="s">
        <v>375</v>
      </c>
      <c r="B196" s="40" t="s">
        <v>376</v>
      </c>
      <c r="C196" s="42" t="s">
        <v>377</v>
      </c>
      <c r="D196" s="42" t="s">
        <v>376</v>
      </c>
      <c r="E196" s="27" t="str">
        <f>CONCATENATE($C196," ",$D196)</f>
        <v>Tessa Roll</v>
      </c>
      <c r="F196" s="16" t="s">
        <v>378</v>
      </c>
      <c r="G196" s="16" t="s">
        <v>123</v>
      </c>
      <c r="H196" s="16" t="s">
        <v>115</v>
      </c>
      <c r="I196" s="17">
        <v>45409</v>
      </c>
      <c r="J196" s="16" t="str">
        <f>IF($G196&lt;&gt;"",CONCATENATE($G196,", ",$H196," ",$I196),"")</f>
        <v>Dayton, OH 45409</v>
      </c>
      <c r="K196" s="17">
        <v>937</v>
      </c>
      <c r="L196" s="17" t="s">
        <v>379</v>
      </c>
      <c r="M196" s="38"/>
      <c r="N196" s="38"/>
      <c r="O196" s="16">
        <f ca="1">IF($P196&lt;&gt;"", DATEDIF($P196,TODAY(),"y"), "")</f>
        <v>34</v>
      </c>
      <c r="P196" s="46">
        <v>33624</v>
      </c>
      <c r="Q196" s="14" t="s">
        <v>78</v>
      </c>
      <c r="R196" s="8" t="s">
        <v>79</v>
      </c>
      <c r="S196" s="17" t="s">
        <v>826</v>
      </c>
      <c r="T196" s="17" t="s">
        <v>826</v>
      </c>
      <c r="U196" s="17" t="s">
        <v>8</v>
      </c>
      <c r="V196" s="17"/>
      <c r="W196" s="21"/>
      <c r="X196" s="21"/>
      <c r="Y196" s="17"/>
      <c r="Z196" s="17"/>
      <c r="AA196" s="17"/>
      <c r="AB196" s="18"/>
      <c r="AC196" s="18"/>
      <c r="AD196" s="19"/>
      <c r="AE196" s="32"/>
      <c r="AF196" s="110"/>
      <c r="AG196" s="15"/>
    </row>
    <row r="197" spans="1:36" x14ac:dyDescent="0.25">
      <c r="A197" s="40" t="s">
        <v>1385</v>
      </c>
      <c r="B197" s="40" t="s">
        <v>939</v>
      </c>
      <c r="C197" s="42" t="s">
        <v>415</v>
      </c>
      <c r="D197" s="42" t="s">
        <v>939</v>
      </c>
      <c r="E197" s="27" t="str">
        <f>CONCATENATE($C197," ",$D197)</f>
        <v>Noah Rose</v>
      </c>
      <c r="F197" s="16"/>
      <c r="G197" s="16"/>
      <c r="H197" s="16"/>
      <c r="I197" s="17"/>
      <c r="J197" s="16"/>
      <c r="K197" s="17">
        <v>410</v>
      </c>
      <c r="L197" s="17" t="s">
        <v>1387</v>
      </c>
      <c r="M197" s="39" t="s">
        <v>122</v>
      </c>
      <c r="N197" s="39" t="s">
        <v>122</v>
      </c>
      <c r="O197" s="16">
        <f ca="1">IF($P197&lt;&gt;"", DATEDIF($P197,TODAY(),"y"), "")</f>
        <v>7</v>
      </c>
      <c r="P197" s="46">
        <v>43491</v>
      </c>
      <c r="Q197" s="14" t="s">
        <v>1386</v>
      </c>
      <c r="R197" s="8"/>
      <c r="S197" s="107" t="s">
        <v>823</v>
      </c>
      <c r="T197" s="17"/>
      <c r="U197" s="17"/>
      <c r="V197" s="17"/>
      <c r="W197" s="20"/>
      <c r="X197" s="20"/>
      <c r="Y197" s="17"/>
      <c r="Z197" s="17"/>
      <c r="AA197" s="17"/>
      <c r="AB197" s="17" t="s">
        <v>1526</v>
      </c>
      <c r="AC197" s="18"/>
      <c r="AD197" s="19"/>
      <c r="AE197" s="32"/>
      <c r="AF197" s="110"/>
    </row>
    <row r="198" spans="1:36" x14ac:dyDescent="0.25">
      <c r="A198" s="40" t="s">
        <v>380</v>
      </c>
      <c r="B198" s="40" t="s">
        <v>381</v>
      </c>
      <c r="C198" s="42" t="s">
        <v>382</v>
      </c>
      <c r="D198" s="42" t="s">
        <v>381</v>
      </c>
      <c r="E198" s="27" t="str">
        <f>CONCATENATE($C198," ",$D198)</f>
        <v>Melissa Roselius</v>
      </c>
      <c r="F198" s="16" t="s">
        <v>684</v>
      </c>
      <c r="G198" s="16" t="s">
        <v>123</v>
      </c>
      <c r="H198" s="16" t="s">
        <v>115</v>
      </c>
      <c r="I198" s="17">
        <v>45459</v>
      </c>
      <c r="J198" s="16" t="str">
        <f>IF($G198&lt;&gt;"",CONCATENATE($G198,", ",$H198," ",$I198),"")</f>
        <v>Dayton, OH 45459</v>
      </c>
      <c r="K198" s="17">
        <v>937</v>
      </c>
      <c r="L198" s="17" t="s">
        <v>383</v>
      </c>
      <c r="M198" s="38"/>
      <c r="N198" s="38"/>
      <c r="O198" s="16">
        <f ca="1">IF($P198&lt;&gt;"", DATEDIF($P198,TODAY(),"y"), "")</f>
        <v>28</v>
      </c>
      <c r="P198" s="46">
        <v>35755</v>
      </c>
      <c r="Q198" s="14" t="s">
        <v>80</v>
      </c>
      <c r="R198" s="8" t="s">
        <v>81</v>
      </c>
      <c r="S198" s="17"/>
      <c r="T198" s="17"/>
      <c r="U198" s="17"/>
      <c r="V198" s="17"/>
      <c r="W198" s="20"/>
      <c r="X198" s="20"/>
      <c r="Y198" s="17"/>
      <c r="Z198" s="17"/>
      <c r="AA198" s="17"/>
      <c r="AB198" s="18"/>
      <c r="AC198" s="18"/>
      <c r="AD198" s="19"/>
      <c r="AE198" s="32"/>
      <c r="AF198" s="110"/>
      <c r="AG198" s="15"/>
    </row>
    <row r="199" spans="1:36" x14ac:dyDescent="0.25">
      <c r="A199" s="41" t="s">
        <v>437</v>
      </c>
      <c r="B199" s="41" t="s">
        <v>764</v>
      </c>
      <c r="C199" s="39" t="s">
        <v>437</v>
      </c>
      <c r="D199" s="39" t="s">
        <v>764</v>
      </c>
      <c r="E199" s="27" t="str">
        <f>CONCATENATE($C199," ",$D199)</f>
        <v>John Rush</v>
      </c>
      <c r="F199" s="8" t="s">
        <v>762</v>
      </c>
      <c r="G199" s="8" t="s">
        <v>123</v>
      </c>
      <c r="H199" s="8" t="s">
        <v>115</v>
      </c>
      <c r="I199" s="7">
        <v>45431</v>
      </c>
      <c r="J199" s="16" t="str">
        <f>IF($G199&lt;&gt;"",CONCATENATE($G199,", ",$H199," ",$I199),"")</f>
        <v>Dayton, OH 45431</v>
      </c>
      <c r="K199" s="99">
        <v>937</v>
      </c>
      <c r="L199" s="99" t="s">
        <v>763</v>
      </c>
      <c r="M199" s="39"/>
      <c r="N199" s="39"/>
      <c r="O199" s="16">
        <f ca="1">IF($P199&lt;&gt;"", DATEDIF($P199,TODAY(),"y"), "")</f>
        <v>29</v>
      </c>
      <c r="P199" s="47">
        <v>35259</v>
      </c>
      <c r="Q199" s="58" t="s">
        <v>765</v>
      </c>
      <c r="R199" s="8"/>
      <c r="S199" s="17" t="s">
        <v>826</v>
      </c>
      <c r="T199" s="17" t="s">
        <v>826</v>
      </c>
      <c r="U199" s="17" t="s">
        <v>8</v>
      </c>
      <c r="V199" s="7"/>
      <c r="W199" s="7"/>
      <c r="X199" s="7"/>
      <c r="Y199" s="7"/>
      <c r="Z199" s="7"/>
      <c r="AA199" s="7"/>
      <c r="AB199" s="18"/>
      <c r="AC199" s="7"/>
      <c r="AD199" s="8"/>
      <c r="AE199" s="33"/>
      <c r="AF199" s="110"/>
    </row>
    <row r="200" spans="1:36" x14ac:dyDescent="0.25">
      <c r="A200" s="41" t="s">
        <v>270</v>
      </c>
      <c r="B200" s="41" t="s">
        <v>870</v>
      </c>
      <c r="C200" s="39" t="s">
        <v>943</v>
      </c>
      <c r="D200" s="39" t="s">
        <v>870</v>
      </c>
      <c r="E200" s="27" t="str">
        <f>CONCATENATE($C200," ",$D200)</f>
        <v>Kacie Ryan</v>
      </c>
      <c r="F200" s="8" t="s">
        <v>945</v>
      </c>
      <c r="G200" s="8" t="s">
        <v>946</v>
      </c>
      <c r="H200" s="8" t="s">
        <v>115</v>
      </c>
      <c r="I200" s="7">
        <v>45036</v>
      </c>
      <c r="J200" s="16" t="str">
        <f>IF($G200&lt;&gt;"",CONCATENATE($G200,", ",$H200," ",$I200),"")</f>
        <v>Lebanon, OH 45036</v>
      </c>
      <c r="K200" s="99">
        <v>513</v>
      </c>
      <c r="L200" s="99" t="s">
        <v>947</v>
      </c>
      <c r="M200" s="39"/>
      <c r="N200" s="39"/>
      <c r="O200" s="16">
        <f ca="1">IF($P200&lt;&gt;"", DATEDIF($P200,TODAY(),"y"), "")</f>
        <v>23</v>
      </c>
      <c r="P200" s="47">
        <v>37522</v>
      </c>
      <c r="Q200" s="58" t="s">
        <v>944</v>
      </c>
      <c r="R200" s="8"/>
      <c r="S200" s="17"/>
      <c r="T200" s="17"/>
      <c r="U200" s="17"/>
      <c r="V200" s="7"/>
      <c r="W200" s="7"/>
      <c r="X200" s="7"/>
      <c r="Y200" s="7"/>
      <c r="Z200" s="7"/>
      <c r="AA200" s="7"/>
      <c r="AB200" s="7"/>
      <c r="AC200" s="7"/>
      <c r="AD200" s="8"/>
      <c r="AE200" s="33"/>
      <c r="AF200" s="110"/>
    </row>
    <row r="201" spans="1:36" x14ac:dyDescent="0.25">
      <c r="A201" s="40" t="s">
        <v>1289</v>
      </c>
      <c r="B201" s="40" t="s">
        <v>1290</v>
      </c>
      <c r="C201" s="42" t="s">
        <v>1291</v>
      </c>
      <c r="D201" s="42" t="s">
        <v>1292</v>
      </c>
      <c r="E201" s="27" t="str">
        <f>CONCATENATE($C201," ",$D201)</f>
        <v>Aaryan Sagvekar</v>
      </c>
      <c r="F201" s="16"/>
      <c r="G201" s="16"/>
      <c r="H201" s="16"/>
      <c r="I201" s="17"/>
      <c r="J201" s="16"/>
      <c r="K201" s="17">
        <v>937</v>
      </c>
      <c r="L201" s="17" t="s">
        <v>1293</v>
      </c>
      <c r="M201" s="38" t="s">
        <v>121</v>
      </c>
      <c r="N201" s="38" t="s">
        <v>121</v>
      </c>
      <c r="O201" s="16">
        <f ca="1">IF($P201&lt;&gt;"", DATEDIF($P201,TODAY(),"y"), "")</f>
        <v>9</v>
      </c>
      <c r="P201" s="46">
        <v>42854</v>
      </c>
      <c r="Q201" s="62" t="s">
        <v>1294</v>
      </c>
      <c r="R201" s="8"/>
      <c r="S201" s="107" t="s">
        <v>824</v>
      </c>
      <c r="T201" s="17" t="s">
        <v>823</v>
      </c>
      <c r="U201" s="17" t="s">
        <v>9</v>
      </c>
      <c r="V201" s="17"/>
      <c r="W201" s="17"/>
      <c r="X201" s="17"/>
      <c r="Y201" s="17"/>
      <c r="Z201" s="17"/>
      <c r="AA201" s="17"/>
      <c r="AB201" s="17" t="s">
        <v>1526</v>
      </c>
      <c r="AC201" s="17"/>
      <c r="AD201" s="16"/>
      <c r="AE201" s="32"/>
      <c r="AF201" s="110" t="s">
        <v>1662</v>
      </c>
      <c r="AG201" s="53"/>
      <c r="AH201" s="54"/>
      <c r="AI201" s="54"/>
      <c r="AJ201" s="54"/>
    </row>
    <row r="202" spans="1:36" x14ac:dyDescent="0.25">
      <c r="A202" s="41" t="s">
        <v>1215</v>
      </c>
      <c r="B202" s="41" t="s">
        <v>1216</v>
      </c>
      <c r="C202" s="39" t="s">
        <v>1217</v>
      </c>
      <c r="D202" s="39" t="s">
        <v>1218</v>
      </c>
      <c r="E202" s="27" t="str">
        <f>CONCATENATE($C202," ",$D202)</f>
        <v>Vedansh Sahay</v>
      </c>
      <c r="F202" s="8"/>
      <c r="G202" s="8"/>
      <c r="H202" s="8"/>
      <c r="I202" s="7"/>
      <c r="J202" s="16"/>
      <c r="K202" s="99">
        <v>973</v>
      </c>
      <c r="L202" s="99" t="s">
        <v>1219</v>
      </c>
      <c r="M202" s="39"/>
      <c r="N202" s="39"/>
      <c r="O202" s="16">
        <f ca="1">IF($P202&lt;&gt;"", DATEDIF($P202,TODAY(),"y"), "")</f>
        <v>8</v>
      </c>
      <c r="P202" s="47">
        <v>43070</v>
      </c>
      <c r="Q202" s="58" t="s">
        <v>1265</v>
      </c>
      <c r="R202" s="59"/>
      <c r="S202" s="17" t="s">
        <v>823</v>
      </c>
      <c r="T202" s="7" t="s">
        <v>823</v>
      </c>
      <c r="U202" s="7" t="s">
        <v>9</v>
      </c>
      <c r="V202" s="7"/>
      <c r="W202" s="7"/>
      <c r="X202" s="7"/>
      <c r="Y202" s="7"/>
      <c r="Z202" s="7"/>
      <c r="AA202" s="7"/>
      <c r="AB202" s="18"/>
      <c r="AC202" s="7"/>
      <c r="AD202" s="8"/>
      <c r="AE202" s="33"/>
      <c r="AF202" s="110"/>
      <c r="AG202" s="53"/>
      <c r="AH202" s="54"/>
      <c r="AI202" s="54"/>
      <c r="AJ202" s="54"/>
    </row>
    <row r="203" spans="1:36" x14ac:dyDescent="0.25">
      <c r="A203" s="40" t="s">
        <v>1238</v>
      </c>
      <c r="B203" s="40" t="s">
        <v>1239</v>
      </c>
      <c r="C203" s="42" t="s">
        <v>1240</v>
      </c>
      <c r="D203" s="42" t="s">
        <v>1239</v>
      </c>
      <c r="E203" s="27" t="str">
        <f>CONCATENATE($C203," ",$D203)</f>
        <v>Evan Santiago</v>
      </c>
      <c r="F203" s="16"/>
      <c r="G203" s="16"/>
      <c r="H203" s="16"/>
      <c r="I203" s="17"/>
      <c r="J203" s="16"/>
      <c r="K203" s="17">
        <v>209</v>
      </c>
      <c r="L203" s="17" t="s">
        <v>1242</v>
      </c>
      <c r="M203" s="38"/>
      <c r="N203" s="38"/>
      <c r="O203" s="16">
        <f ca="1">IF($P203&lt;&gt;"", DATEDIF($P203,TODAY(),"y"), "")</f>
        <v>16</v>
      </c>
      <c r="P203" s="46">
        <v>40252</v>
      </c>
      <c r="Q203" s="62" t="s">
        <v>1241</v>
      </c>
      <c r="R203" s="8"/>
      <c r="S203" s="17" t="s">
        <v>826</v>
      </c>
      <c r="T203" s="17" t="s">
        <v>817</v>
      </c>
      <c r="U203" s="17" t="s">
        <v>10</v>
      </c>
      <c r="V203" s="17"/>
      <c r="W203" s="21"/>
      <c r="X203" s="21"/>
      <c r="Y203" s="17"/>
      <c r="Z203" s="17"/>
      <c r="AA203" s="17"/>
      <c r="AB203" s="18"/>
      <c r="AC203" s="17"/>
      <c r="AD203" s="16"/>
      <c r="AE203" s="32"/>
      <c r="AF203" s="110"/>
    </row>
    <row r="204" spans="1:36" x14ac:dyDescent="0.25">
      <c r="A204" s="40" t="s">
        <v>1518</v>
      </c>
      <c r="B204" s="40" t="s">
        <v>1519</v>
      </c>
      <c r="C204" s="42" t="s">
        <v>1291</v>
      </c>
      <c r="D204" s="42" t="s">
        <v>1518</v>
      </c>
      <c r="E204" s="27" t="str">
        <f>CONCATENATE($C204," ",$D204)</f>
        <v>Aaryan Satish</v>
      </c>
      <c r="F204" s="16"/>
      <c r="G204" s="16"/>
      <c r="H204" s="16"/>
      <c r="I204" s="17"/>
      <c r="J204" s="16"/>
      <c r="K204" s="17">
        <v>937</v>
      </c>
      <c r="L204" s="17" t="s">
        <v>1520</v>
      </c>
      <c r="M204" s="39" t="s">
        <v>121</v>
      </c>
      <c r="N204" s="39" t="s">
        <v>121</v>
      </c>
      <c r="O204" s="16">
        <f ca="1">IF($P204&lt;&gt;"", DATEDIF($P204,TODAY(),"y"), "")</f>
        <v>11</v>
      </c>
      <c r="P204" s="46">
        <v>42067</v>
      </c>
      <c r="Q204" s="14" t="s">
        <v>1521</v>
      </c>
      <c r="R204" s="8"/>
      <c r="S204" s="107" t="s">
        <v>824</v>
      </c>
      <c r="T204" s="17"/>
      <c r="U204" s="17"/>
      <c r="V204" s="17"/>
      <c r="W204" s="20"/>
      <c r="X204" s="20"/>
      <c r="Y204" s="17"/>
      <c r="Z204" s="17"/>
      <c r="AA204" s="17"/>
      <c r="AB204" s="18"/>
      <c r="AC204" s="7" t="s">
        <v>1526</v>
      </c>
      <c r="AD204" s="19"/>
      <c r="AE204" s="32"/>
      <c r="AF204" s="110" t="s">
        <v>1662</v>
      </c>
    </row>
    <row r="205" spans="1:36" x14ac:dyDescent="0.25">
      <c r="A205" s="40" t="s">
        <v>384</v>
      </c>
      <c r="B205" s="40" t="s">
        <v>385</v>
      </c>
      <c r="C205" s="42" t="s">
        <v>386</v>
      </c>
      <c r="D205" s="42" t="s">
        <v>385</v>
      </c>
      <c r="E205" s="27" t="str">
        <f>CONCATENATE($C205," ",$D205)</f>
        <v>David Sauer</v>
      </c>
      <c r="F205" s="16" t="s">
        <v>387</v>
      </c>
      <c r="G205" s="16" t="s">
        <v>125</v>
      </c>
      <c r="H205" s="16" t="s">
        <v>115</v>
      </c>
      <c r="I205" s="17">
        <v>45429</v>
      </c>
      <c r="J205" s="16" t="str">
        <f>IF($G205&lt;&gt;"",CONCATENATE($G205,", ",$H205," ",$I205),"")</f>
        <v>Kettering, OH 45429</v>
      </c>
      <c r="K205" s="17">
        <v>937</v>
      </c>
      <c r="L205" s="17" t="s">
        <v>388</v>
      </c>
      <c r="M205" s="38" t="s">
        <v>102</v>
      </c>
      <c r="N205" s="38"/>
      <c r="O205" s="16">
        <f ca="1">IF($P205&lt;&gt;"", DATEDIF($P205,TODAY(),"y"), "")</f>
        <v>19</v>
      </c>
      <c r="P205" s="46">
        <v>38999</v>
      </c>
      <c r="Q205" s="62" t="s">
        <v>1666</v>
      </c>
      <c r="R205" s="8"/>
      <c r="S205" s="107" t="s">
        <v>817</v>
      </c>
      <c r="T205" s="17"/>
      <c r="U205" s="17"/>
      <c r="V205" s="17"/>
      <c r="W205" s="21"/>
      <c r="X205" s="21"/>
      <c r="Y205" s="17"/>
      <c r="Z205" s="17"/>
      <c r="AA205" s="17"/>
      <c r="AB205" s="18" t="s">
        <v>1526</v>
      </c>
      <c r="AC205" s="18"/>
      <c r="AD205" s="16"/>
      <c r="AE205" s="32"/>
      <c r="AF205" s="110" t="s">
        <v>1662</v>
      </c>
    </row>
    <row r="206" spans="1:36" x14ac:dyDescent="0.25">
      <c r="A206" s="41" t="s">
        <v>429</v>
      </c>
      <c r="B206" s="41" t="s">
        <v>1344</v>
      </c>
      <c r="C206" s="39" t="s">
        <v>474</v>
      </c>
      <c r="D206" s="39" t="s">
        <v>1344</v>
      </c>
      <c r="E206" s="27" t="str">
        <f>CONCATENATE($C206," ",$D206)</f>
        <v>Jessica Savage</v>
      </c>
      <c r="F206" s="8"/>
      <c r="G206" s="8"/>
      <c r="H206" s="8"/>
      <c r="I206" s="7"/>
      <c r="J206" s="16"/>
      <c r="K206" s="99">
        <v>937</v>
      </c>
      <c r="L206" s="99" t="s">
        <v>1345</v>
      </c>
      <c r="M206" s="97" t="s">
        <v>102</v>
      </c>
      <c r="N206" s="97" t="s">
        <v>102</v>
      </c>
      <c r="O206" s="16">
        <f ca="1">IF($P206&lt;&gt;"", DATEDIF($P206,TODAY(),"y"), "")</f>
        <v>34</v>
      </c>
      <c r="P206" s="48">
        <v>33766</v>
      </c>
      <c r="Q206" s="61" t="s">
        <v>1346</v>
      </c>
      <c r="R206" s="8"/>
      <c r="S206" s="107" t="s">
        <v>1418</v>
      </c>
      <c r="T206" s="17" t="s">
        <v>825</v>
      </c>
      <c r="U206" s="17" t="s">
        <v>9</v>
      </c>
      <c r="V206" s="7"/>
      <c r="W206" s="7"/>
      <c r="X206" s="7"/>
      <c r="Y206" s="7"/>
      <c r="Z206" s="7"/>
      <c r="AA206" s="7"/>
      <c r="AB206" s="7" t="s">
        <v>1526</v>
      </c>
      <c r="AC206" s="7"/>
      <c r="AD206" s="8"/>
      <c r="AE206" s="33"/>
      <c r="AF206" s="110"/>
      <c r="AG206" s="15"/>
    </row>
    <row r="207" spans="1:36" x14ac:dyDescent="0.25">
      <c r="A207" s="40" t="s">
        <v>389</v>
      </c>
      <c r="B207" s="40" t="s">
        <v>390</v>
      </c>
      <c r="C207" s="42" t="s">
        <v>391</v>
      </c>
      <c r="D207" s="42" t="s">
        <v>390</v>
      </c>
      <c r="E207" s="27" t="str">
        <f>CONCATENATE($C207," ",$D207)</f>
        <v>Crislyn Sayger</v>
      </c>
      <c r="F207" s="16" t="s">
        <v>392</v>
      </c>
      <c r="G207" s="16" t="s">
        <v>393</v>
      </c>
      <c r="H207" s="16" t="s">
        <v>115</v>
      </c>
      <c r="I207" s="17">
        <v>45305</v>
      </c>
      <c r="J207" s="16" t="str">
        <f>IF($G207&lt;&gt;"",CONCATENATE($G207,", ",$H207," ",$I207),"")</f>
        <v>Bellbrook, OH 45305</v>
      </c>
      <c r="K207" s="17">
        <v>937</v>
      </c>
      <c r="L207" s="17" t="s">
        <v>394</v>
      </c>
      <c r="M207" s="38" t="s">
        <v>144</v>
      </c>
      <c r="N207" s="38" t="s">
        <v>144</v>
      </c>
      <c r="O207" s="16">
        <f ca="1">IF($P207&lt;&gt;"", DATEDIF($P207,TODAY(),"y"), "")</f>
        <v>35</v>
      </c>
      <c r="P207" s="46">
        <v>33275</v>
      </c>
      <c r="Q207" s="62" t="s">
        <v>1173</v>
      </c>
      <c r="R207" s="8"/>
      <c r="S207" s="107" t="s">
        <v>1321</v>
      </c>
      <c r="T207" s="17"/>
      <c r="U207" s="17"/>
      <c r="V207" s="17"/>
      <c r="W207" s="20"/>
      <c r="X207" s="20"/>
      <c r="Y207" s="17"/>
      <c r="Z207" s="17"/>
      <c r="AA207" s="17"/>
      <c r="AB207" s="18" t="s">
        <v>1526</v>
      </c>
      <c r="AC207" s="18"/>
      <c r="AD207" s="16"/>
      <c r="AE207" s="32"/>
      <c r="AF207" s="110"/>
      <c r="AG207" s="15"/>
    </row>
    <row r="208" spans="1:36" x14ac:dyDescent="0.25">
      <c r="A208" s="40" t="s">
        <v>1645</v>
      </c>
      <c r="B208" s="40" t="s">
        <v>1646</v>
      </c>
      <c r="C208" s="42" t="s">
        <v>1647</v>
      </c>
      <c r="D208" s="42" t="s">
        <v>1646</v>
      </c>
      <c r="E208" s="27" t="str">
        <f>CONCATENATE($C208," ",$D208)</f>
        <v>Hoyt Schaaf</v>
      </c>
      <c r="F208" s="16"/>
      <c r="G208" s="16"/>
      <c r="H208" s="16"/>
      <c r="I208" s="17"/>
      <c r="J208" s="16"/>
      <c r="K208" s="17">
        <v>937</v>
      </c>
      <c r="L208" s="17" t="s">
        <v>1648</v>
      </c>
      <c r="M208" s="39" t="s">
        <v>121</v>
      </c>
      <c r="N208" s="70"/>
      <c r="O208" s="16">
        <f ca="1">IF($P208&lt;&gt;"", DATEDIF($P208,TODAY(),"y"), "")</f>
        <v>10</v>
      </c>
      <c r="P208" s="46">
        <v>42437</v>
      </c>
      <c r="Q208" s="14" t="s">
        <v>1649</v>
      </c>
      <c r="R208" s="8"/>
      <c r="S208" s="107" t="s">
        <v>824</v>
      </c>
      <c r="T208" s="17"/>
      <c r="U208" s="17"/>
      <c r="V208" s="17"/>
      <c r="W208" s="20"/>
      <c r="X208" s="20"/>
      <c r="Y208" s="17"/>
      <c r="Z208" s="17"/>
      <c r="AA208" s="17"/>
      <c r="AB208" s="17" t="s">
        <v>1526</v>
      </c>
      <c r="AC208" s="18"/>
      <c r="AD208" s="19"/>
      <c r="AE208" s="32"/>
      <c r="AF208" s="110" t="s">
        <v>1662</v>
      </c>
    </row>
    <row r="209" spans="1:32" x14ac:dyDescent="0.25">
      <c r="A209" s="43" t="s">
        <v>395</v>
      </c>
      <c r="B209" s="40" t="s">
        <v>396</v>
      </c>
      <c r="C209" s="42" t="s">
        <v>397</v>
      </c>
      <c r="D209" s="42" t="s">
        <v>396</v>
      </c>
      <c r="E209" s="27" t="str">
        <f>CONCATENATE($C209," ",$D209)</f>
        <v>Calvin Schneider</v>
      </c>
      <c r="F209" s="16" t="s">
        <v>398</v>
      </c>
      <c r="G209" s="16" t="s">
        <v>114</v>
      </c>
      <c r="H209" s="16" t="s">
        <v>115</v>
      </c>
      <c r="I209" s="17">
        <v>45459</v>
      </c>
      <c r="J209" s="16" t="str">
        <f>IF($G209&lt;&gt;"",CONCATENATE($G209,", ",$H209," ",$I209),"")</f>
        <v>Centerville, OH 45459</v>
      </c>
      <c r="K209" s="17">
        <v>937</v>
      </c>
      <c r="L209" s="17" t="s">
        <v>399</v>
      </c>
      <c r="M209" s="38" t="s">
        <v>168</v>
      </c>
      <c r="N209" s="38" t="s">
        <v>168</v>
      </c>
      <c r="O209" s="16">
        <f ca="1">IF($P209&lt;&gt;"", DATEDIF($P209,TODAY(),"y"), "")</f>
        <v>24</v>
      </c>
      <c r="P209" s="46">
        <v>37350</v>
      </c>
      <c r="Q209" s="14" t="s">
        <v>82</v>
      </c>
      <c r="R209" s="8" t="s">
        <v>83</v>
      </c>
      <c r="S209" s="107" t="s">
        <v>828</v>
      </c>
      <c r="T209" s="17" t="s">
        <v>826</v>
      </c>
      <c r="U209" s="17" t="s">
        <v>10</v>
      </c>
      <c r="V209" s="17"/>
      <c r="W209" s="21"/>
      <c r="X209" s="21"/>
      <c r="Y209" s="17"/>
      <c r="Z209" s="17"/>
      <c r="AA209" s="17"/>
      <c r="AB209" s="18" t="s">
        <v>1526</v>
      </c>
      <c r="AC209" s="22"/>
      <c r="AD209" s="16"/>
      <c r="AE209" s="31"/>
      <c r="AF209" s="110"/>
    </row>
    <row r="210" spans="1:32" x14ac:dyDescent="0.25">
      <c r="A210" s="41" t="s">
        <v>924</v>
      </c>
      <c r="B210" s="41" t="s">
        <v>1297</v>
      </c>
      <c r="C210" s="39" t="s">
        <v>1509</v>
      </c>
      <c r="D210" s="39" t="s">
        <v>1297</v>
      </c>
      <c r="E210" s="27" t="str">
        <f>CONCATENATE($C210," ",$D210)</f>
        <v>Nate Schreck</v>
      </c>
      <c r="F210" s="8"/>
      <c r="G210" s="8"/>
      <c r="H210" s="8"/>
      <c r="I210" s="7"/>
      <c r="J210" s="16"/>
      <c r="K210" s="99">
        <v>937</v>
      </c>
      <c r="L210" s="17" t="s">
        <v>1295</v>
      </c>
      <c r="M210" s="97" t="s">
        <v>168</v>
      </c>
      <c r="N210" s="97" t="s">
        <v>168</v>
      </c>
      <c r="O210" s="16">
        <f ca="1">IF($P210&lt;&gt;"", DATEDIF($P210,TODAY(),"y"), "")</f>
        <v>20</v>
      </c>
      <c r="P210" s="48">
        <v>38839</v>
      </c>
      <c r="Q210" s="61" t="s">
        <v>1296</v>
      </c>
      <c r="R210" s="8"/>
      <c r="S210" s="107" t="s">
        <v>827</v>
      </c>
      <c r="T210" s="17" t="s">
        <v>834</v>
      </c>
      <c r="U210" s="17" t="s">
        <v>10</v>
      </c>
      <c r="V210" s="7"/>
      <c r="W210" s="7"/>
      <c r="X210" s="7"/>
      <c r="Y210" s="7"/>
      <c r="Z210" s="7"/>
      <c r="AA210" s="7"/>
      <c r="AB210" s="18" t="s">
        <v>1526</v>
      </c>
      <c r="AC210" s="7"/>
      <c r="AD210" s="8"/>
      <c r="AE210" s="33"/>
      <c r="AF210" s="110" t="s">
        <v>1662</v>
      </c>
    </row>
    <row r="211" spans="1:32" x14ac:dyDescent="0.25">
      <c r="A211" s="41" t="s">
        <v>689</v>
      </c>
      <c r="B211" s="41" t="s">
        <v>690</v>
      </c>
      <c r="C211" s="39" t="s">
        <v>270</v>
      </c>
      <c r="D211" s="39" t="s">
        <v>690</v>
      </c>
      <c r="E211" s="27" t="str">
        <f>CONCATENATE($C211," ",$D211)</f>
        <v>Michael Schutt</v>
      </c>
      <c r="F211" s="8" t="s">
        <v>691</v>
      </c>
      <c r="G211" s="8" t="s">
        <v>114</v>
      </c>
      <c r="H211" s="8" t="s">
        <v>115</v>
      </c>
      <c r="I211" s="7">
        <v>45458</v>
      </c>
      <c r="J211" s="16" t="str">
        <f>IF($G211&lt;&gt;"",CONCATENATE($G211,", ",$H211," ",$I211),"")</f>
        <v>Centerville, OH 45458</v>
      </c>
      <c r="K211" s="99">
        <v>937</v>
      </c>
      <c r="L211" s="99" t="s">
        <v>692</v>
      </c>
      <c r="M211" s="39"/>
      <c r="N211" s="39"/>
      <c r="O211" s="16">
        <f ca="1">IF($P211&lt;&gt;"", DATEDIF($P211,TODAY(),"y"), "")</f>
        <v>17</v>
      </c>
      <c r="P211" s="47">
        <v>39849</v>
      </c>
      <c r="Q211" s="58" t="s">
        <v>693</v>
      </c>
      <c r="R211" s="59" t="s">
        <v>694</v>
      </c>
      <c r="S211" s="17"/>
      <c r="T211" s="17"/>
      <c r="U211" s="17"/>
      <c r="V211" s="7"/>
      <c r="W211" s="7"/>
      <c r="X211" s="7"/>
      <c r="Y211" s="7"/>
      <c r="Z211" s="7"/>
      <c r="AA211" s="7"/>
      <c r="AB211" s="7"/>
      <c r="AC211" s="7"/>
      <c r="AD211" s="8"/>
      <c r="AE211" s="33"/>
      <c r="AF211" s="110"/>
    </row>
    <row r="212" spans="1:32" x14ac:dyDescent="0.25">
      <c r="A212" s="41" t="s">
        <v>777</v>
      </c>
      <c r="B212" s="41" t="s">
        <v>953</v>
      </c>
      <c r="C212" s="39" t="s">
        <v>949</v>
      </c>
      <c r="D212" s="39" t="s">
        <v>953</v>
      </c>
      <c r="E212" s="27" t="str">
        <f>CONCATENATE($C212," ",$D212)</f>
        <v>Elijah Seguin</v>
      </c>
      <c r="F212" s="8" t="s">
        <v>950</v>
      </c>
      <c r="G212" s="8" t="s">
        <v>393</v>
      </c>
      <c r="H212" s="8" t="s">
        <v>115</v>
      </c>
      <c r="I212" s="7">
        <v>45305</v>
      </c>
      <c r="J212" s="16" t="str">
        <f>IF($G212&lt;&gt;"",CONCATENATE($G212,", ",$H212," ",$I212),"")</f>
        <v>Bellbrook, OH 45305</v>
      </c>
      <c r="K212" s="99">
        <v>614</v>
      </c>
      <c r="L212" s="99" t="s">
        <v>951</v>
      </c>
      <c r="M212" s="39"/>
      <c r="N212" s="39"/>
      <c r="O212" s="16">
        <f ca="1">IF($P212&lt;&gt;"", DATEDIF($P212,TODAY(),"y"), "")</f>
        <v>15</v>
      </c>
      <c r="P212" s="47">
        <v>40705</v>
      </c>
      <c r="Q212" s="58" t="s">
        <v>952</v>
      </c>
      <c r="R212" s="8"/>
      <c r="S212" s="17" t="s">
        <v>824</v>
      </c>
      <c r="T212" s="17" t="s">
        <v>823</v>
      </c>
      <c r="U212" s="17" t="s">
        <v>8</v>
      </c>
      <c r="V212" s="7"/>
      <c r="W212" s="7"/>
      <c r="X212" s="7"/>
      <c r="Y212" s="7"/>
      <c r="Z212" s="7"/>
      <c r="AA212" s="7"/>
      <c r="AB212" s="18"/>
      <c r="AC212" s="7"/>
      <c r="AD212" s="8"/>
      <c r="AE212" s="33"/>
      <c r="AF212" s="110"/>
    </row>
    <row r="213" spans="1:32" x14ac:dyDescent="0.25">
      <c r="A213" s="41" t="s">
        <v>1115</v>
      </c>
      <c r="B213" s="41" t="s">
        <v>685</v>
      </c>
      <c r="C213" s="39" t="s">
        <v>686</v>
      </c>
      <c r="D213" s="39" t="s">
        <v>685</v>
      </c>
      <c r="E213" s="27" t="str">
        <f>CONCATENATE($C213," ",$D213)</f>
        <v>Yusuf Shah</v>
      </c>
      <c r="F213" s="8" t="s">
        <v>687</v>
      </c>
      <c r="G213" s="8" t="s">
        <v>114</v>
      </c>
      <c r="H213" s="8" t="s">
        <v>115</v>
      </c>
      <c r="I213" s="7">
        <v>45458</v>
      </c>
      <c r="J213" s="16" t="str">
        <f>IF($G213&lt;&gt;"",CONCATENATE($G213,", ",$H213," ",$I213),"")</f>
        <v>Centerville, OH 45458</v>
      </c>
      <c r="K213" s="99">
        <v>216</v>
      </c>
      <c r="L213" s="99" t="s">
        <v>1114</v>
      </c>
      <c r="M213" s="39"/>
      <c r="N213" s="39" t="s">
        <v>168</v>
      </c>
      <c r="O213" s="16">
        <f ca="1">IF($P213&lt;&gt;"", DATEDIF($P213,TODAY(),"y"), "")</f>
        <v>19</v>
      </c>
      <c r="P213" s="47">
        <v>39148</v>
      </c>
      <c r="Q213" s="58" t="s">
        <v>688</v>
      </c>
      <c r="R213" s="8"/>
      <c r="S213" s="17" t="s">
        <v>834</v>
      </c>
      <c r="T213" s="17" t="s">
        <v>828</v>
      </c>
      <c r="U213" s="17" t="s">
        <v>10</v>
      </c>
      <c r="V213" s="7"/>
      <c r="W213" s="21"/>
      <c r="X213" s="21"/>
      <c r="Y213" s="17"/>
      <c r="Z213" s="17"/>
      <c r="AA213" s="17"/>
      <c r="AB213" s="18"/>
      <c r="AC213" s="7"/>
      <c r="AD213" s="8"/>
      <c r="AE213" s="33"/>
      <c r="AF213" s="110"/>
    </row>
    <row r="214" spans="1:32" x14ac:dyDescent="0.25">
      <c r="A214" s="40" t="s">
        <v>400</v>
      </c>
      <c r="B214" s="40" t="s">
        <v>401</v>
      </c>
      <c r="C214" s="42" t="s">
        <v>402</v>
      </c>
      <c r="D214" s="42" t="s">
        <v>401</v>
      </c>
      <c r="E214" s="27" t="str">
        <f>CONCATENATE($C214," ",$D214)</f>
        <v>Jin Sherman</v>
      </c>
      <c r="F214" s="16" t="s">
        <v>403</v>
      </c>
      <c r="G214" s="16" t="s">
        <v>120</v>
      </c>
      <c r="H214" s="16" t="s">
        <v>115</v>
      </c>
      <c r="I214" s="17">
        <v>45342</v>
      </c>
      <c r="J214" s="16" t="str">
        <f>IF($G214&lt;&gt;"",CONCATENATE($G214,", ",$H214," ",$I214),"")</f>
        <v>Miamisburg, OH 45342</v>
      </c>
      <c r="K214" s="17">
        <v>937</v>
      </c>
      <c r="L214" s="17" t="s">
        <v>404</v>
      </c>
      <c r="M214" s="38"/>
      <c r="N214" s="38"/>
      <c r="O214" s="16">
        <f ca="1">IF($P214&lt;&gt;"", DATEDIF($P214,TODAY(),"y"), "")</f>
        <v>29</v>
      </c>
      <c r="P214" s="46">
        <v>35346</v>
      </c>
      <c r="Q214" s="14" t="s">
        <v>84</v>
      </c>
      <c r="R214" s="8"/>
      <c r="S214" s="17" t="s">
        <v>817</v>
      </c>
      <c r="T214" s="17" t="s">
        <v>817</v>
      </c>
      <c r="U214" s="17" t="s">
        <v>9</v>
      </c>
      <c r="V214" s="17"/>
      <c r="W214" s="21"/>
      <c r="X214" s="21"/>
      <c r="Y214" s="73"/>
      <c r="Z214" s="17"/>
      <c r="AA214" s="17"/>
      <c r="AB214" s="23"/>
      <c r="AC214" s="22"/>
      <c r="AD214" s="19"/>
      <c r="AE214" s="32"/>
      <c r="AF214" s="110"/>
    </row>
    <row r="215" spans="1:32" x14ac:dyDescent="0.25">
      <c r="A215" s="40" t="s">
        <v>405</v>
      </c>
      <c r="B215" s="40" t="s">
        <v>406</v>
      </c>
      <c r="C215" s="42" t="s">
        <v>203</v>
      </c>
      <c r="D215" s="42" t="s">
        <v>406</v>
      </c>
      <c r="E215" s="27" t="str">
        <f>CONCATENATE($C215," ",$D215)</f>
        <v>Ryan  Shockley</v>
      </c>
      <c r="F215" s="16" t="s">
        <v>407</v>
      </c>
      <c r="G215" s="16" t="s">
        <v>123</v>
      </c>
      <c r="H215" s="16" t="s">
        <v>115</v>
      </c>
      <c r="I215" s="17">
        <v>45459</v>
      </c>
      <c r="J215" s="16" t="str">
        <f>IF($G215&lt;&gt;"",CONCATENATE($G215,", ",$H215," ",$I215),"")</f>
        <v>Dayton, OH 45459</v>
      </c>
      <c r="K215" s="17">
        <v>937</v>
      </c>
      <c r="L215" s="17" t="s">
        <v>408</v>
      </c>
      <c r="M215" s="38" t="s">
        <v>102</v>
      </c>
      <c r="N215" s="38" t="s">
        <v>102</v>
      </c>
      <c r="O215" s="16">
        <f ca="1">IF($P215&lt;&gt;"", DATEDIF($P215,TODAY(),"y"), "")</f>
        <v>28</v>
      </c>
      <c r="P215" s="46">
        <v>35663</v>
      </c>
      <c r="Q215" s="15" t="s">
        <v>85</v>
      </c>
      <c r="R215" s="8" t="s">
        <v>86</v>
      </c>
      <c r="S215" s="107" t="s">
        <v>828</v>
      </c>
      <c r="T215" s="17"/>
      <c r="U215" s="17"/>
      <c r="V215" s="17"/>
      <c r="W215" s="17"/>
      <c r="X215" s="17"/>
      <c r="Y215" s="17"/>
      <c r="Z215" s="18"/>
      <c r="AA215" s="18"/>
      <c r="AB215" s="18" t="s">
        <v>1526</v>
      </c>
      <c r="AC215" s="17"/>
      <c r="AD215" s="19"/>
      <c r="AE215" s="31"/>
      <c r="AF215" s="110"/>
    </row>
    <row r="216" spans="1:32" x14ac:dyDescent="0.25">
      <c r="A216" s="40" t="s">
        <v>1099</v>
      </c>
      <c r="B216" s="40" t="s">
        <v>1667</v>
      </c>
      <c r="C216" s="42" t="s">
        <v>1593</v>
      </c>
      <c r="D216" s="42" t="s">
        <v>1594</v>
      </c>
      <c r="E216" s="27" t="str">
        <f>CONCATENATE($C216," ",$D216)</f>
        <v>Anna Shonle</v>
      </c>
      <c r="F216" s="16"/>
      <c r="G216" s="16"/>
      <c r="H216" s="16"/>
      <c r="I216" s="17"/>
      <c r="J216" s="16"/>
      <c r="K216" s="17">
        <v>937</v>
      </c>
      <c r="L216" s="17" t="s">
        <v>1595</v>
      </c>
      <c r="M216" s="39" t="s">
        <v>971</v>
      </c>
      <c r="N216" s="38"/>
      <c r="O216" s="16">
        <f ca="1">IF($P216&lt;&gt;"", DATEDIF($P216,TODAY(),"y"), "")</f>
        <v>26</v>
      </c>
      <c r="P216" s="46">
        <v>36465</v>
      </c>
      <c r="Q216" s="14" t="s">
        <v>1596</v>
      </c>
      <c r="R216" s="8"/>
      <c r="S216" s="107" t="s">
        <v>834</v>
      </c>
      <c r="T216" s="17"/>
      <c r="U216" s="17"/>
      <c r="V216" s="17"/>
      <c r="W216" s="20"/>
      <c r="X216" s="20"/>
      <c r="Y216" s="17"/>
      <c r="Z216" s="17"/>
      <c r="AA216" s="17"/>
      <c r="AB216" s="18" t="s">
        <v>1526</v>
      </c>
      <c r="AC216" s="18"/>
      <c r="AD216" s="16"/>
      <c r="AE216" s="32"/>
      <c r="AF216" s="110" t="s">
        <v>1662</v>
      </c>
    </row>
    <row r="217" spans="1:32" x14ac:dyDescent="0.25">
      <c r="A217" s="41" t="s">
        <v>777</v>
      </c>
      <c r="B217" s="41" t="s">
        <v>1220</v>
      </c>
      <c r="C217" s="39" t="s">
        <v>1221</v>
      </c>
      <c r="D217" s="39" t="s">
        <v>1220</v>
      </c>
      <c r="E217" s="27" t="str">
        <f>CONCATENATE($C217," ",$D217)</f>
        <v>Jonathan Sibole</v>
      </c>
      <c r="F217" s="8"/>
      <c r="G217" s="8"/>
      <c r="H217" s="8"/>
      <c r="I217" s="7"/>
      <c r="J217" s="16"/>
      <c r="K217" s="99">
        <v>937</v>
      </c>
      <c r="L217" s="99" t="s">
        <v>1222</v>
      </c>
      <c r="M217" s="39" t="s">
        <v>122</v>
      </c>
      <c r="N217" s="39" t="s">
        <v>122</v>
      </c>
      <c r="O217" s="16">
        <f ca="1">IF($P217&lt;&gt;"", DATEDIF($P217,TODAY(),"y"), "")</f>
        <v>8</v>
      </c>
      <c r="P217" s="47">
        <v>43138</v>
      </c>
      <c r="Q217" s="58" t="s">
        <v>1223</v>
      </c>
      <c r="R217" s="59"/>
      <c r="S217" s="107" t="s">
        <v>825</v>
      </c>
      <c r="T217" s="7" t="s">
        <v>824</v>
      </c>
      <c r="U217" s="7" t="s">
        <v>8</v>
      </c>
      <c r="V217" s="7"/>
      <c r="W217" s="7"/>
      <c r="X217" s="7"/>
      <c r="Y217" s="7"/>
      <c r="Z217" s="7"/>
      <c r="AA217" s="7"/>
      <c r="AB217" s="18"/>
      <c r="AC217" s="7" t="s">
        <v>1526</v>
      </c>
      <c r="AD217" s="8"/>
      <c r="AE217" s="33"/>
      <c r="AF217" s="110" t="s">
        <v>1662</v>
      </c>
    </row>
    <row r="218" spans="1:32" x14ac:dyDescent="0.25">
      <c r="A218" s="40" t="s">
        <v>409</v>
      </c>
      <c r="B218" s="40" t="s">
        <v>410</v>
      </c>
      <c r="C218" s="42" t="s">
        <v>411</v>
      </c>
      <c r="D218" s="42" t="s">
        <v>410</v>
      </c>
      <c r="E218" s="27" t="str">
        <f>CONCATENATE($C218," ",$D218)</f>
        <v>Erik Sink</v>
      </c>
      <c r="F218" s="16" t="s">
        <v>412</v>
      </c>
      <c r="G218" s="16" t="s">
        <v>125</v>
      </c>
      <c r="H218" s="16" t="s">
        <v>115</v>
      </c>
      <c r="I218" s="17">
        <v>45419</v>
      </c>
      <c r="J218" s="16" t="str">
        <f>IF($G218&lt;&gt;"",CONCATENATE($G218,", ",$H218," ",$I218),"")</f>
        <v>Kettering, OH 45419</v>
      </c>
      <c r="K218" s="17">
        <v>937</v>
      </c>
      <c r="L218" s="17" t="s">
        <v>413</v>
      </c>
      <c r="M218" s="38" t="s">
        <v>144</v>
      </c>
      <c r="N218" s="38" t="s">
        <v>144</v>
      </c>
      <c r="O218" s="16">
        <f ca="1">IF($P218&lt;&gt;"", DATEDIF($P218,TODAY(),"y"), "")</f>
        <v>45</v>
      </c>
      <c r="P218" s="46">
        <v>29616</v>
      </c>
      <c r="Q218" s="14" t="s">
        <v>88</v>
      </c>
      <c r="R218" s="8"/>
      <c r="S218" s="107" t="s">
        <v>828</v>
      </c>
      <c r="T218" s="17"/>
      <c r="U218" s="17"/>
      <c r="V218" s="17"/>
      <c r="W218" s="20"/>
      <c r="X218" s="20"/>
      <c r="Y218" s="17"/>
      <c r="Z218" s="17"/>
      <c r="AA218" s="17"/>
      <c r="AB218" s="18" t="s">
        <v>1526</v>
      </c>
      <c r="AC218" s="18"/>
      <c r="AD218" s="16"/>
      <c r="AE218" s="32"/>
      <c r="AF218" s="110"/>
    </row>
    <row r="219" spans="1:32" x14ac:dyDescent="0.25">
      <c r="A219" s="41" t="s">
        <v>744</v>
      </c>
      <c r="B219" s="41" t="s">
        <v>858</v>
      </c>
      <c r="C219" s="39" t="s">
        <v>779</v>
      </c>
      <c r="D219" s="39" t="s">
        <v>858</v>
      </c>
      <c r="E219" s="27" t="str">
        <f>CONCATENATE($C219," ",$D219)</f>
        <v>Marley Slone</v>
      </c>
      <c r="F219" s="8" t="s">
        <v>860</v>
      </c>
      <c r="G219" s="8" t="s">
        <v>114</v>
      </c>
      <c r="H219" s="8" t="s">
        <v>115</v>
      </c>
      <c r="I219" s="7">
        <v>45458</v>
      </c>
      <c r="J219" s="16" t="str">
        <f>IF($G219&lt;&gt;"",CONCATENATE($G219,", ",$H219," ",$I219),"")</f>
        <v>Centerville, OH 45458</v>
      </c>
      <c r="K219" s="99">
        <v>513</v>
      </c>
      <c r="L219" s="99" t="s">
        <v>861</v>
      </c>
      <c r="M219" s="39"/>
      <c r="N219" s="39"/>
      <c r="O219" s="16">
        <f ca="1">IF($P219&lt;&gt;"", DATEDIF($P219,TODAY(),"y"), "")</f>
        <v>13</v>
      </c>
      <c r="P219" s="47">
        <v>41242</v>
      </c>
      <c r="Q219" s="58" t="s">
        <v>859</v>
      </c>
      <c r="R219" s="8"/>
      <c r="S219" s="17"/>
      <c r="T219" s="17"/>
      <c r="U219" s="17"/>
      <c r="V219" s="7"/>
      <c r="W219" s="7"/>
      <c r="X219" s="7"/>
      <c r="Y219" s="7"/>
      <c r="Z219" s="7"/>
      <c r="AA219" s="7"/>
      <c r="AB219" s="7"/>
      <c r="AC219" s="7"/>
      <c r="AD219" s="8"/>
      <c r="AE219" s="33"/>
      <c r="AF219" s="110"/>
    </row>
    <row r="220" spans="1:32" x14ac:dyDescent="0.25">
      <c r="A220" s="40" t="s">
        <v>1243</v>
      </c>
      <c r="B220" s="40" t="s">
        <v>1244</v>
      </c>
      <c r="C220" s="42" t="s">
        <v>1245</v>
      </c>
      <c r="D220" s="42" t="s">
        <v>1244</v>
      </c>
      <c r="E220" s="27" t="str">
        <f>CONCATENATE($C220," ",$D220)</f>
        <v>Brianne Slusher</v>
      </c>
      <c r="F220" s="16"/>
      <c r="G220" s="16"/>
      <c r="H220" s="16"/>
      <c r="I220" s="17"/>
      <c r="J220" s="16"/>
      <c r="K220" s="17">
        <v>937</v>
      </c>
      <c r="L220" s="17" t="s">
        <v>1246</v>
      </c>
      <c r="M220" s="38" t="s">
        <v>144</v>
      </c>
      <c r="N220" s="38" t="s">
        <v>144</v>
      </c>
      <c r="O220" s="16">
        <f ca="1">IF($P220&lt;&gt;"", DATEDIF($P220,TODAY(),"y"), "")</f>
        <v>36</v>
      </c>
      <c r="P220" s="46">
        <v>32741</v>
      </c>
      <c r="Q220" s="62" t="s">
        <v>1247</v>
      </c>
      <c r="R220" s="8"/>
      <c r="S220" s="107" t="s">
        <v>834</v>
      </c>
      <c r="T220" s="17"/>
      <c r="U220" s="17"/>
      <c r="V220" s="17"/>
      <c r="W220" s="17"/>
      <c r="X220" s="17"/>
      <c r="Y220" s="17"/>
      <c r="Z220" s="17"/>
      <c r="AA220" s="17"/>
      <c r="AB220" s="18" t="s">
        <v>1526</v>
      </c>
      <c r="AC220" s="7"/>
      <c r="AD220" s="16"/>
      <c r="AE220" s="32"/>
      <c r="AF220" s="110"/>
    </row>
    <row r="221" spans="1:32" x14ac:dyDescent="0.25">
      <c r="A221" s="41" t="s">
        <v>657</v>
      </c>
      <c r="B221" s="41" t="s">
        <v>414</v>
      </c>
      <c r="C221" s="39" t="s">
        <v>658</v>
      </c>
      <c r="D221" s="39" t="s">
        <v>414</v>
      </c>
      <c r="E221" s="27" t="str">
        <f>CONCATENATE($C221," ",$D221)</f>
        <v>Ava Smith</v>
      </c>
      <c r="F221" s="8" t="s">
        <v>659</v>
      </c>
      <c r="G221" s="8" t="s">
        <v>123</v>
      </c>
      <c r="H221" s="8" t="s">
        <v>115</v>
      </c>
      <c r="I221" s="7">
        <v>45429</v>
      </c>
      <c r="J221" s="16" t="str">
        <f>IF($G221&lt;&gt;"",CONCATENATE($G221,", ",$H221," ",$I221),"")</f>
        <v>Dayton, OH 45429</v>
      </c>
      <c r="K221" s="99">
        <v>937</v>
      </c>
      <c r="L221" s="99" t="s">
        <v>660</v>
      </c>
      <c r="M221" s="39" t="s">
        <v>116</v>
      </c>
      <c r="N221" s="39" t="s">
        <v>116</v>
      </c>
      <c r="O221" s="16">
        <f ca="1">IF($P221&lt;&gt;"", DATEDIF($P221,TODAY(),"y"), "")</f>
        <v>13</v>
      </c>
      <c r="P221" s="47">
        <v>41271</v>
      </c>
      <c r="Q221" s="108" t="s">
        <v>661</v>
      </c>
      <c r="R221" s="59" t="s">
        <v>662</v>
      </c>
      <c r="S221" s="107" t="s">
        <v>828</v>
      </c>
      <c r="T221" s="17" t="s">
        <v>824</v>
      </c>
      <c r="U221" s="17" t="s">
        <v>8</v>
      </c>
      <c r="V221" s="7"/>
      <c r="W221" s="21"/>
      <c r="X221" s="21"/>
      <c r="Y221" s="17"/>
      <c r="Z221" s="17"/>
      <c r="AA221" s="17"/>
      <c r="AB221" s="18" t="s">
        <v>1526</v>
      </c>
      <c r="AC221" s="7"/>
      <c r="AD221" s="8"/>
      <c r="AE221" s="33"/>
      <c r="AF221" s="110"/>
    </row>
    <row r="222" spans="1:32" x14ac:dyDescent="0.25">
      <c r="A222" s="41" t="s">
        <v>1130</v>
      </c>
      <c r="B222" s="41" t="s">
        <v>1131</v>
      </c>
      <c r="C222" s="39" t="s">
        <v>1175</v>
      </c>
      <c r="D222" s="39" t="s">
        <v>414</v>
      </c>
      <c r="E222" s="27" t="str">
        <f>CONCATENATE($C222," ",$D222)</f>
        <v>Aylissa Smith</v>
      </c>
      <c r="F222" s="8" t="s">
        <v>1176</v>
      </c>
      <c r="G222" s="8" t="s">
        <v>120</v>
      </c>
      <c r="H222" s="8" t="s">
        <v>115</v>
      </c>
      <c r="I222" s="7">
        <v>45342</v>
      </c>
      <c r="J222" s="16" t="str">
        <f>IF($G222&lt;&gt;"",CONCATENATE($G222,", ",$H222," ",$I222),"")</f>
        <v>Miamisburg, OH 45342</v>
      </c>
      <c r="K222" s="99">
        <v>937</v>
      </c>
      <c r="L222" s="99" t="s">
        <v>1177</v>
      </c>
      <c r="M222" s="39"/>
      <c r="N222" s="39"/>
      <c r="O222" s="16">
        <f ca="1">IF($P222&lt;&gt;"", DATEDIF($P222,TODAY(),"y"), "")</f>
        <v>24</v>
      </c>
      <c r="P222" s="47">
        <v>37157</v>
      </c>
      <c r="Q222" s="58" t="s">
        <v>1178</v>
      </c>
      <c r="R222" s="8"/>
      <c r="S222" s="17"/>
      <c r="T222" s="7"/>
      <c r="U222" s="7"/>
      <c r="V222" s="7"/>
      <c r="W222" s="7"/>
      <c r="X222" s="7"/>
      <c r="Y222" s="7"/>
      <c r="Z222" s="7"/>
      <c r="AA222" s="7"/>
      <c r="AB222" s="7"/>
      <c r="AC222" s="7"/>
      <c r="AD222" s="8"/>
      <c r="AE222" s="33"/>
      <c r="AF222" s="110"/>
    </row>
    <row r="223" spans="1:32" x14ac:dyDescent="0.25">
      <c r="A223" s="41" t="s">
        <v>680</v>
      </c>
      <c r="B223" s="41" t="s">
        <v>1015</v>
      </c>
      <c r="C223" s="39" t="s">
        <v>437</v>
      </c>
      <c r="D223" s="39" t="s">
        <v>414</v>
      </c>
      <c r="E223" s="27" t="str">
        <f>CONCATENATE($C223," ",$D223)</f>
        <v>John Smith</v>
      </c>
      <c r="F223" s="8" t="s">
        <v>681</v>
      </c>
      <c r="G223" s="8" t="s">
        <v>120</v>
      </c>
      <c r="H223" s="8" t="s">
        <v>115</v>
      </c>
      <c r="I223" s="7">
        <v>45342</v>
      </c>
      <c r="J223" s="16" t="str">
        <f>IF($G223&lt;&gt;"",CONCATENATE($G223,", ",$H223," ",$I223),"")</f>
        <v>Miamisburg, OH 45342</v>
      </c>
      <c r="K223" s="99">
        <v>937</v>
      </c>
      <c r="L223" s="99" t="s">
        <v>682</v>
      </c>
      <c r="M223" s="39" t="s">
        <v>971</v>
      </c>
      <c r="N223" s="39" t="s">
        <v>971</v>
      </c>
      <c r="O223" s="16">
        <f ca="1">IF($P223&lt;&gt;"", DATEDIF($P223,TODAY(),"y"), "")</f>
        <v>29</v>
      </c>
      <c r="P223" s="47">
        <v>35269</v>
      </c>
      <c r="Q223" s="58" t="s">
        <v>683</v>
      </c>
      <c r="R223" s="8"/>
      <c r="S223" s="107" t="s">
        <v>834</v>
      </c>
      <c r="T223" s="17" t="s">
        <v>834</v>
      </c>
      <c r="U223" s="17" t="s">
        <v>10</v>
      </c>
      <c r="V223" s="7"/>
      <c r="W223" s="21"/>
      <c r="X223" s="21"/>
      <c r="Y223" s="17"/>
      <c r="Z223" s="17"/>
      <c r="AA223" s="17"/>
      <c r="AB223" s="18" t="s">
        <v>1526</v>
      </c>
      <c r="AC223" s="7"/>
      <c r="AD223" s="8"/>
      <c r="AE223" s="33"/>
      <c r="AF223" s="110" t="s">
        <v>1662</v>
      </c>
    </row>
    <row r="224" spans="1:32" x14ac:dyDescent="0.25">
      <c r="A224" s="41" t="s">
        <v>1514</v>
      </c>
      <c r="B224" s="41" t="s">
        <v>1515</v>
      </c>
      <c r="C224" s="39" t="s">
        <v>1513</v>
      </c>
      <c r="D224" s="39" t="s">
        <v>414</v>
      </c>
      <c r="E224" s="27" t="str">
        <f>CONCATENATE($C224," ",$D224)</f>
        <v>Stormie Smith</v>
      </c>
      <c r="F224" s="8"/>
      <c r="G224" s="8"/>
      <c r="H224" s="8"/>
      <c r="I224" s="7"/>
      <c r="J224" s="16"/>
      <c r="K224" s="99">
        <v>326</v>
      </c>
      <c r="L224" s="99" t="s">
        <v>1516</v>
      </c>
      <c r="M224" s="39" t="s">
        <v>102</v>
      </c>
      <c r="N224" s="39" t="s">
        <v>102</v>
      </c>
      <c r="O224" s="16">
        <f ca="1">IF($P224&lt;&gt;"", DATEDIF($P224,TODAY(),"y"), "")</f>
        <v>50</v>
      </c>
      <c r="P224" s="47">
        <v>27627</v>
      </c>
      <c r="Q224" s="58" t="s">
        <v>1517</v>
      </c>
      <c r="R224" s="8"/>
      <c r="S224" s="107" t="s">
        <v>828</v>
      </c>
      <c r="T224" s="17"/>
      <c r="U224" s="17"/>
      <c r="V224" s="7"/>
      <c r="W224" s="21"/>
      <c r="X224" s="21"/>
      <c r="Y224" s="17"/>
      <c r="Z224" s="17"/>
      <c r="AA224" s="17"/>
      <c r="AB224" s="18" t="s">
        <v>1526</v>
      </c>
      <c r="AC224" s="7"/>
      <c r="AD224" s="8"/>
      <c r="AE224" s="33"/>
      <c r="AF224" s="110"/>
    </row>
    <row r="225" spans="1:32" x14ac:dyDescent="0.25">
      <c r="A225" s="40" t="s">
        <v>416</v>
      </c>
      <c r="B225" s="40" t="s">
        <v>417</v>
      </c>
      <c r="C225" s="42" t="s">
        <v>418</v>
      </c>
      <c r="D225" s="42" t="s">
        <v>417</v>
      </c>
      <c r="E225" s="27" t="str">
        <f>CONCATENATE($C225," ",$D225)</f>
        <v>Zac Sparks</v>
      </c>
      <c r="F225" s="16" t="s">
        <v>419</v>
      </c>
      <c r="G225" s="16" t="s">
        <v>114</v>
      </c>
      <c r="H225" s="16" t="s">
        <v>115</v>
      </c>
      <c r="I225" s="17">
        <v>45459</v>
      </c>
      <c r="J225" s="16" t="str">
        <f>IF($G225&lt;&gt;"",CONCATENATE($G225,", ",$H225," ",$I225),"")</f>
        <v>Centerville, OH 45459</v>
      </c>
      <c r="K225" s="17">
        <v>937</v>
      </c>
      <c r="L225" s="17" t="s">
        <v>420</v>
      </c>
      <c r="M225" s="38" t="s">
        <v>181</v>
      </c>
      <c r="N225" s="38" t="s">
        <v>181</v>
      </c>
      <c r="O225" s="16">
        <f ca="1">IF($P225&lt;&gt;"", DATEDIF($P225,TODAY(),"y"), "")</f>
        <v>17</v>
      </c>
      <c r="P225" s="46">
        <v>39955</v>
      </c>
      <c r="Q225" s="14" t="s">
        <v>89</v>
      </c>
      <c r="R225" s="8"/>
      <c r="S225" s="107" t="s">
        <v>828</v>
      </c>
      <c r="T225" s="17" t="s">
        <v>826</v>
      </c>
      <c r="U225" s="17" t="s">
        <v>8</v>
      </c>
      <c r="V225" s="17"/>
      <c r="W225" s="21"/>
      <c r="X225" s="21"/>
      <c r="Y225" s="17"/>
      <c r="Z225" s="17"/>
      <c r="AA225" s="17"/>
      <c r="AB225" s="18" t="s">
        <v>1526</v>
      </c>
      <c r="AC225" s="18"/>
      <c r="AD225" s="19"/>
      <c r="AE225" s="32"/>
      <c r="AF225" s="110" t="s">
        <v>1662</v>
      </c>
    </row>
    <row r="226" spans="1:32" x14ac:dyDescent="0.25">
      <c r="A226" s="40" t="s">
        <v>421</v>
      </c>
      <c r="B226" s="40" t="s">
        <v>422</v>
      </c>
      <c r="C226" s="42" t="s">
        <v>423</v>
      </c>
      <c r="D226" s="42" t="s">
        <v>422</v>
      </c>
      <c r="E226" s="27" t="str">
        <f>CONCATENATE($C226," ",$D226)</f>
        <v>Leondo Stanziano</v>
      </c>
      <c r="F226" s="16" t="s">
        <v>424</v>
      </c>
      <c r="G226" s="16" t="s">
        <v>125</v>
      </c>
      <c r="H226" s="16" t="s">
        <v>115</v>
      </c>
      <c r="I226" s="17">
        <v>45419</v>
      </c>
      <c r="J226" s="16" t="str">
        <f>IF($G226&lt;&gt;"",CONCATENATE($G226,", ",$H226," ",$I226),"")</f>
        <v>Kettering, OH 45419</v>
      </c>
      <c r="K226" s="17">
        <v>937</v>
      </c>
      <c r="L226" s="17" t="s">
        <v>425</v>
      </c>
      <c r="M226" s="39" t="s">
        <v>102</v>
      </c>
      <c r="N226" s="39" t="s">
        <v>102</v>
      </c>
      <c r="O226" s="16">
        <f ca="1">IF($P226&lt;&gt;"", DATEDIF($P226,TODAY(),"y"), "")</f>
        <v>25</v>
      </c>
      <c r="P226" s="46">
        <v>36832</v>
      </c>
      <c r="Q226" s="14" t="s">
        <v>90</v>
      </c>
      <c r="R226" s="8"/>
      <c r="S226" s="107" t="s">
        <v>826</v>
      </c>
      <c r="T226" s="17" t="s">
        <v>826</v>
      </c>
      <c r="U226" s="17" t="s">
        <v>9</v>
      </c>
      <c r="V226" s="17"/>
      <c r="W226" s="21"/>
      <c r="X226" s="21"/>
      <c r="Y226" s="17"/>
      <c r="Z226" s="17"/>
      <c r="AA226" s="17"/>
      <c r="AB226" s="18" t="s">
        <v>1526</v>
      </c>
      <c r="AC226" s="18"/>
      <c r="AD226" s="19"/>
      <c r="AE226" s="32"/>
      <c r="AF226" s="110"/>
    </row>
    <row r="227" spans="1:32" x14ac:dyDescent="0.25">
      <c r="A227" s="41" t="s">
        <v>270</v>
      </c>
      <c r="B227" s="41" t="s">
        <v>733</v>
      </c>
      <c r="C227" s="39" t="s">
        <v>320</v>
      </c>
      <c r="D227" s="39" t="s">
        <v>733</v>
      </c>
      <c r="E227" s="27" t="str">
        <f>CONCATENATE($C227," ",$D227)</f>
        <v>Jacob Steffee</v>
      </c>
      <c r="F227" s="8" t="s">
        <v>734</v>
      </c>
      <c r="G227" s="8" t="s">
        <v>118</v>
      </c>
      <c r="H227" s="8" t="s">
        <v>115</v>
      </c>
      <c r="I227" s="7">
        <v>45066</v>
      </c>
      <c r="J227" s="16" t="str">
        <f>IF($G227&lt;&gt;"",CONCATENATE($G227,", ",$H227," ",$I227),"")</f>
        <v>Springboro, OH 45066</v>
      </c>
      <c r="K227" s="99">
        <v>937</v>
      </c>
      <c r="L227" s="99" t="s">
        <v>773</v>
      </c>
      <c r="M227" s="39"/>
      <c r="N227" s="39"/>
      <c r="O227" s="16">
        <f ca="1">IF($P227&lt;&gt;"", DATEDIF($P227,TODAY(),"y"), "")</f>
        <v>12</v>
      </c>
      <c r="P227" s="47">
        <v>41518</v>
      </c>
      <c r="Q227" s="58" t="s">
        <v>735</v>
      </c>
      <c r="R227" s="8"/>
      <c r="S227" s="17"/>
      <c r="T227" s="17"/>
      <c r="U227" s="17"/>
      <c r="V227" s="7"/>
      <c r="W227" s="7"/>
      <c r="X227" s="7"/>
      <c r="Y227" s="7"/>
      <c r="Z227" s="7"/>
      <c r="AA227" s="7"/>
      <c r="AB227" s="7"/>
      <c r="AC227" s="7"/>
      <c r="AD227" s="8"/>
      <c r="AE227" s="33"/>
      <c r="AF227" s="110"/>
    </row>
    <row r="228" spans="1:32" x14ac:dyDescent="0.25">
      <c r="A228" s="40" t="s">
        <v>1603</v>
      </c>
      <c r="B228" s="40" t="s">
        <v>1600</v>
      </c>
      <c r="C228" s="42" t="s">
        <v>1602</v>
      </c>
      <c r="D228" s="42" t="s">
        <v>1601</v>
      </c>
      <c r="E228" s="27" t="str">
        <f>CONCATENATE($C228," ",$D228)</f>
        <v>Otto Stieger</v>
      </c>
      <c r="F228" s="16"/>
      <c r="G228" s="16"/>
      <c r="H228" s="16"/>
      <c r="I228" s="17"/>
      <c r="J228" s="16"/>
      <c r="K228" s="17">
        <v>937</v>
      </c>
      <c r="L228" s="17" t="s">
        <v>1605</v>
      </c>
      <c r="M228" s="39" t="s">
        <v>121</v>
      </c>
      <c r="N228" s="39"/>
      <c r="O228" s="16">
        <f ca="1">IF($P228&lt;&gt;"", DATEDIF($P228,TODAY(),"y"), "")</f>
        <v>10</v>
      </c>
      <c r="P228" s="46">
        <v>42344</v>
      </c>
      <c r="Q228" s="14" t="s">
        <v>1604</v>
      </c>
      <c r="R228" s="8"/>
      <c r="S228" s="107" t="s">
        <v>826</v>
      </c>
      <c r="T228" s="17"/>
      <c r="U228" s="17"/>
      <c r="V228" s="17"/>
      <c r="W228" s="20"/>
      <c r="X228" s="20"/>
      <c r="Y228" s="17"/>
      <c r="Z228" s="17"/>
      <c r="AA228" s="17"/>
      <c r="AB228" s="17" t="s">
        <v>1526</v>
      </c>
      <c r="AC228" s="18"/>
      <c r="AD228" s="19"/>
      <c r="AE228" s="32"/>
      <c r="AF228" s="110" t="s">
        <v>1662</v>
      </c>
    </row>
    <row r="229" spans="1:32" x14ac:dyDescent="0.25">
      <c r="A229" s="41" t="s">
        <v>1040</v>
      </c>
      <c r="B229" s="41" t="s">
        <v>1041</v>
      </c>
      <c r="C229" s="39" t="s">
        <v>863</v>
      </c>
      <c r="D229" s="39" t="s">
        <v>1041</v>
      </c>
      <c r="E229" s="27" t="str">
        <f>CONCATENATE($C229," ",$D229)</f>
        <v>Luke Stingley</v>
      </c>
      <c r="F229" s="8" t="s">
        <v>1042</v>
      </c>
      <c r="G229" s="8" t="s">
        <v>143</v>
      </c>
      <c r="H229" s="8" t="s">
        <v>115</v>
      </c>
      <c r="I229" s="7">
        <v>45068</v>
      </c>
      <c r="J229" s="16" t="str">
        <f>IF($G229&lt;&gt;"",CONCATENATE($G229,", ",$H229," ",$I229),"")</f>
        <v>Waynesville, OH 45068</v>
      </c>
      <c r="K229" s="99">
        <v>937</v>
      </c>
      <c r="L229" s="99" t="s">
        <v>1043</v>
      </c>
      <c r="M229" s="39" t="s">
        <v>121</v>
      </c>
      <c r="N229" s="39" t="s">
        <v>121</v>
      </c>
      <c r="O229" s="16">
        <f ca="1">IF($P229&lt;&gt;"", DATEDIF($P229,TODAY(),"y"), "")</f>
        <v>11</v>
      </c>
      <c r="P229" s="47">
        <v>42031</v>
      </c>
      <c r="Q229" s="58" t="s">
        <v>1044</v>
      </c>
      <c r="R229" s="8"/>
      <c r="S229" s="107" t="s">
        <v>825</v>
      </c>
      <c r="T229" s="7" t="s">
        <v>1034</v>
      </c>
      <c r="U229" s="7" t="s">
        <v>1034</v>
      </c>
      <c r="V229" s="7"/>
      <c r="W229" s="21"/>
      <c r="X229" s="21"/>
      <c r="Y229" s="17"/>
      <c r="Z229" s="17"/>
      <c r="AA229" s="17"/>
      <c r="AB229" s="18" t="s">
        <v>1526</v>
      </c>
      <c r="AC229" s="7"/>
      <c r="AD229" s="8"/>
      <c r="AE229" s="33"/>
      <c r="AF229" s="110" t="s">
        <v>1662</v>
      </c>
    </row>
    <row r="230" spans="1:32" x14ac:dyDescent="0.25">
      <c r="A230" s="41" t="s">
        <v>864</v>
      </c>
      <c r="B230" s="41" t="s">
        <v>862</v>
      </c>
      <c r="C230" s="39" t="s">
        <v>863</v>
      </c>
      <c r="D230" s="39" t="s">
        <v>862</v>
      </c>
      <c r="E230" s="27" t="str">
        <f>CONCATENATE($C230," ",$D230)</f>
        <v>Luke Struble</v>
      </c>
      <c r="F230" s="8" t="s">
        <v>865</v>
      </c>
      <c r="G230" s="8" t="s">
        <v>154</v>
      </c>
      <c r="H230" s="8" t="s">
        <v>115</v>
      </c>
      <c r="I230" s="7">
        <v>45434</v>
      </c>
      <c r="J230" s="16" t="str">
        <f>IF($G230&lt;&gt;"",CONCATENATE($G230,", ",$H230," ",$I230),"")</f>
        <v>Beavercreek, OH 45434</v>
      </c>
      <c r="K230" s="99">
        <v>937</v>
      </c>
      <c r="L230" s="99" t="s">
        <v>866</v>
      </c>
      <c r="M230" s="39" t="s">
        <v>168</v>
      </c>
      <c r="N230" s="39" t="s">
        <v>181</v>
      </c>
      <c r="O230" s="16">
        <f ca="1">IF($P230&lt;&gt;"", DATEDIF($P230,TODAY(),"y"), "")</f>
        <v>14</v>
      </c>
      <c r="P230" s="47">
        <v>40778</v>
      </c>
      <c r="Q230" s="58" t="s">
        <v>867</v>
      </c>
      <c r="R230" s="8"/>
      <c r="S230" s="107" t="s">
        <v>828</v>
      </c>
      <c r="T230" s="17" t="s">
        <v>826</v>
      </c>
      <c r="U230" s="17" t="s">
        <v>8</v>
      </c>
      <c r="V230" s="7"/>
      <c r="W230" s="21"/>
      <c r="X230" s="21"/>
      <c r="Y230" s="17"/>
      <c r="Z230" s="17"/>
      <c r="AA230" s="17"/>
      <c r="AB230" s="18" t="s">
        <v>1526</v>
      </c>
      <c r="AC230" s="7"/>
      <c r="AD230" s="8"/>
      <c r="AE230" s="33"/>
      <c r="AF230" s="110"/>
    </row>
    <row r="231" spans="1:32" x14ac:dyDescent="0.25">
      <c r="A231" s="40" t="s">
        <v>1415</v>
      </c>
      <c r="B231" s="40" t="s">
        <v>1414</v>
      </c>
      <c r="C231" s="42" t="s">
        <v>1413</v>
      </c>
      <c r="D231" s="42" t="s">
        <v>1414</v>
      </c>
      <c r="E231" s="27" t="str">
        <f>CONCATENATE($C231," ",$D231)</f>
        <v>Xavier Telemaque</v>
      </c>
      <c r="F231" s="16"/>
      <c r="G231" s="16"/>
      <c r="H231" s="16"/>
      <c r="I231" s="17"/>
      <c r="J231" s="16"/>
      <c r="K231" s="17">
        <v>646</v>
      </c>
      <c r="L231" s="17" t="s">
        <v>1416</v>
      </c>
      <c r="M231" s="39"/>
      <c r="N231" s="39" t="s">
        <v>122</v>
      </c>
      <c r="O231" s="16">
        <f ca="1">IF($P231&lt;&gt;"", DATEDIF($P231,TODAY(),"y"), "")</f>
        <v>7</v>
      </c>
      <c r="P231" s="46">
        <v>43572</v>
      </c>
      <c r="Q231" s="14" t="s">
        <v>1417</v>
      </c>
      <c r="R231" s="8"/>
      <c r="S231" s="17" t="s">
        <v>823</v>
      </c>
      <c r="T231" s="17"/>
      <c r="U231" s="17"/>
      <c r="V231" s="17"/>
      <c r="W231" s="17"/>
      <c r="X231" s="17"/>
      <c r="Y231" s="17"/>
      <c r="Z231" s="17"/>
      <c r="AA231" s="17"/>
      <c r="AB231" s="17"/>
      <c r="AC231" s="17"/>
      <c r="AD231" s="16"/>
      <c r="AE231" s="32"/>
      <c r="AF231" s="110"/>
    </row>
    <row r="232" spans="1:32" x14ac:dyDescent="0.25">
      <c r="A232" s="41" t="s">
        <v>810</v>
      </c>
      <c r="B232" s="41" t="s">
        <v>311</v>
      </c>
      <c r="C232" s="39" t="s">
        <v>811</v>
      </c>
      <c r="D232" s="39" t="s">
        <v>311</v>
      </c>
      <c r="E232" s="27" t="str">
        <f>CONCATENATE($C232," ",$D232)</f>
        <v>Payton Thomas</v>
      </c>
      <c r="F232" s="8" t="s">
        <v>812</v>
      </c>
      <c r="G232" s="8" t="s">
        <v>123</v>
      </c>
      <c r="H232" s="8" t="s">
        <v>115</v>
      </c>
      <c r="I232" s="7">
        <v>45410</v>
      </c>
      <c r="J232" s="16" t="str">
        <f>IF($G232&lt;&gt;"",CONCATENATE($G232,", ",$H232," ",$I232),"")</f>
        <v>Dayton, OH 45410</v>
      </c>
      <c r="K232" s="99">
        <v>937</v>
      </c>
      <c r="L232" s="99" t="s">
        <v>813</v>
      </c>
      <c r="M232" s="39" t="s">
        <v>102</v>
      </c>
      <c r="N232" s="39" t="s">
        <v>102</v>
      </c>
      <c r="O232" s="16">
        <f ca="1">IF($P232&lt;&gt;"", DATEDIF($P232,TODAY(),"y"), "")</f>
        <v>13</v>
      </c>
      <c r="P232" s="47">
        <v>41123</v>
      </c>
      <c r="Q232" s="58" t="s">
        <v>1003</v>
      </c>
      <c r="R232" s="8"/>
      <c r="S232" s="107" t="s">
        <v>825</v>
      </c>
      <c r="T232" s="17" t="s">
        <v>825</v>
      </c>
      <c r="U232" s="17" t="s">
        <v>8</v>
      </c>
      <c r="V232" s="7"/>
      <c r="W232" s="21"/>
      <c r="X232" s="21"/>
      <c r="Y232" s="17"/>
      <c r="Z232" s="17"/>
      <c r="AA232" s="17"/>
      <c r="AB232" s="18" t="s">
        <v>1526</v>
      </c>
      <c r="AC232" s="7"/>
      <c r="AD232" s="8"/>
      <c r="AE232" s="33"/>
      <c r="AF232" s="110"/>
    </row>
    <row r="233" spans="1:32" x14ac:dyDescent="0.25">
      <c r="A233" s="41" t="s">
        <v>1583</v>
      </c>
      <c r="B233" s="41" t="s">
        <v>427</v>
      </c>
      <c r="C233" s="39" t="s">
        <v>428</v>
      </c>
      <c r="D233" s="39" t="s">
        <v>427</v>
      </c>
      <c r="E233" s="27" t="str">
        <f>CONCATENATE($C233," ",$D233)</f>
        <v>Scott Thorner</v>
      </c>
      <c r="F233" s="8"/>
      <c r="G233" s="8"/>
      <c r="H233" s="8"/>
      <c r="I233" s="7"/>
      <c r="J233" s="16"/>
      <c r="K233" s="99">
        <v>937</v>
      </c>
      <c r="L233" s="99" t="s">
        <v>1586</v>
      </c>
      <c r="M233" s="39" t="s">
        <v>144</v>
      </c>
      <c r="N233" s="38"/>
      <c r="O233" s="16">
        <f ca="1">IF($P233&lt;&gt;"", DATEDIF($P233,TODAY(),"y"), "")</f>
        <v>27</v>
      </c>
      <c r="P233" s="48">
        <v>36090</v>
      </c>
      <c r="Q233" s="8" t="s">
        <v>91</v>
      </c>
      <c r="R233" s="8"/>
      <c r="S233" s="111" t="s">
        <v>826</v>
      </c>
      <c r="T233" s="7"/>
      <c r="U233" s="7"/>
      <c r="V233" s="7"/>
      <c r="W233" s="7"/>
      <c r="X233" s="7"/>
      <c r="Y233" s="7"/>
      <c r="Z233" s="7"/>
      <c r="AA233" s="7"/>
      <c r="AB233" s="7" t="s">
        <v>1526</v>
      </c>
      <c r="AC233" s="7"/>
      <c r="AD233" s="8"/>
      <c r="AE233" s="33"/>
      <c r="AF233" s="110"/>
    </row>
    <row r="234" spans="1:32" x14ac:dyDescent="0.25">
      <c r="A234" s="40" t="s">
        <v>985</v>
      </c>
      <c r="B234" s="40" t="s">
        <v>986</v>
      </c>
      <c r="C234" s="42" t="s">
        <v>227</v>
      </c>
      <c r="D234" s="42" t="s">
        <v>986</v>
      </c>
      <c r="E234" s="27" t="str">
        <f>CONCATENATE($C234," ",$D234)</f>
        <v>Jack Tittle</v>
      </c>
      <c r="F234" s="16" t="s">
        <v>987</v>
      </c>
      <c r="G234" s="16" t="s">
        <v>393</v>
      </c>
      <c r="H234" s="16" t="s">
        <v>115</v>
      </c>
      <c r="I234" s="17">
        <v>45305</v>
      </c>
      <c r="J234" s="16" t="str">
        <f>IF($G234&lt;&gt;"",CONCATENATE($G234,", ",$H234," ",$I234),"")</f>
        <v>Bellbrook, OH 45305</v>
      </c>
      <c r="K234" s="17">
        <v>937</v>
      </c>
      <c r="L234" s="17" t="s">
        <v>988</v>
      </c>
      <c r="M234" s="39" t="s">
        <v>181</v>
      </c>
      <c r="N234" s="39" t="s">
        <v>116</v>
      </c>
      <c r="O234" s="16">
        <f ca="1">IF($P234&lt;&gt;"", DATEDIF($P234,TODAY(),"y"), "")</f>
        <v>13</v>
      </c>
      <c r="P234" s="46">
        <v>41108</v>
      </c>
      <c r="Q234" s="61" t="s">
        <v>989</v>
      </c>
      <c r="R234" s="8"/>
      <c r="S234" s="107" t="s">
        <v>1418</v>
      </c>
      <c r="T234" s="17" t="s">
        <v>1034</v>
      </c>
      <c r="U234" s="17" t="s">
        <v>10</v>
      </c>
      <c r="V234" s="17"/>
      <c r="W234" s="21"/>
      <c r="X234" s="21"/>
      <c r="Y234" s="17"/>
      <c r="Z234" s="17"/>
      <c r="AA234" s="17"/>
      <c r="AB234" s="18" t="s">
        <v>1526</v>
      </c>
      <c r="AC234" s="18"/>
      <c r="AD234" s="16"/>
      <c r="AE234" s="32"/>
      <c r="AF234" s="110" t="s">
        <v>1662</v>
      </c>
    </row>
    <row r="235" spans="1:32" x14ac:dyDescent="0.25">
      <c r="A235" s="40" t="s">
        <v>1388</v>
      </c>
      <c r="B235" s="40" t="s">
        <v>1389</v>
      </c>
      <c r="C235" s="42" t="s">
        <v>251</v>
      </c>
      <c r="D235" s="42" t="s">
        <v>1389</v>
      </c>
      <c r="E235" s="27" t="str">
        <f>CONCATENATE($C235," ",$D235)</f>
        <v>Avery Tompkins</v>
      </c>
      <c r="F235" s="16"/>
      <c r="G235" s="16"/>
      <c r="H235" s="16"/>
      <c r="I235" s="17"/>
      <c r="J235" s="16"/>
      <c r="K235" s="17">
        <v>937</v>
      </c>
      <c r="L235" s="17" t="s">
        <v>1391</v>
      </c>
      <c r="M235" s="39"/>
      <c r="N235" s="39" t="s">
        <v>122</v>
      </c>
      <c r="O235" s="16">
        <f ca="1">IF($P235&lt;&gt;"", DATEDIF($P235,TODAY(),"y"), "")</f>
        <v>8</v>
      </c>
      <c r="P235" s="46">
        <v>43207</v>
      </c>
      <c r="Q235" s="14" t="s">
        <v>1390</v>
      </c>
      <c r="R235" s="8"/>
      <c r="S235" s="17" t="s">
        <v>823</v>
      </c>
      <c r="T235" s="17"/>
      <c r="U235" s="17"/>
      <c r="V235" s="17"/>
      <c r="W235" s="17"/>
      <c r="X235" s="17"/>
      <c r="Y235" s="17"/>
      <c r="Z235" s="17"/>
      <c r="AA235" s="17"/>
      <c r="AB235" s="17"/>
      <c r="AC235" s="17"/>
      <c r="AD235" s="16"/>
      <c r="AE235" s="32"/>
      <c r="AF235" s="110"/>
    </row>
    <row r="236" spans="1:32" x14ac:dyDescent="0.25">
      <c r="A236" s="40" t="s">
        <v>980</v>
      </c>
      <c r="B236" s="40" t="s">
        <v>737</v>
      </c>
      <c r="C236" s="42" t="s">
        <v>981</v>
      </c>
      <c r="D236" s="42" t="s">
        <v>737</v>
      </c>
      <c r="E236" s="27" t="str">
        <f>CONCATENATE($C236," ",$D236)</f>
        <v>Andy Turner</v>
      </c>
      <c r="F236" s="16" t="s">
        <v>982</v>
      </c>
      <c r="G236" s="16" t="s">
        <v>120</v>
      </c>
      <c r="H236" s="16" t="s">
        <v>115</v>
      </c>
      <c r="I236" s="17">
        <v>45342</v>
      </c>
      <c r="J236" s="16" t="str">
        <f>IF($G236&lt;&gt;"",CONCATENATE($G236,", ",$H236," ",$I236),"")</f>
        <v>Miamisburg, OH 45342</v>
      </c>
      <c r="K236" s="17">
        <v>937</v>
      </c>
      <c r="L236" s="17" t="s">
        <v>983</v>
      </c>
      <c r="M236" s="39"/>
      <c r="N236" s="39"/>
      <c r="O236" s="16">
        <f ca="1">IF($P236&lt;&gt;"", DATEDIF($P236,TODAY(),"y"), "")</f>
        <v>21</v>
      </c>
      <c r="P236" s="46">
        <v>38182</v>
      </c>
      <c r="Q236" s="62" t="s">
        <v>984</v>
      </c>
      <c r="R236" s="8"/>
      <c r="S236" s="17" t="s">
        <v>828</v>
      </c>
      <c r="T236" s="17" t="s">
        <v>828</v>
      </c>
      <c r="U236" s="17" t="s">
        <v>10</v>
      </c>
      <c r="V236" s="17"/>
      <c r="W236" s="21"/>
      <c r="X236" s="21"/>
      <c r="Y236" s="17"/>
      <c r="Z236" s="17"/>
      <c r="AA236" s="17"/>
      <c r="AB236" s="18"/>
      <c r="AC236" s="18"/>
      <c r="AD236" s="16"/>
      <c r="AE236" s="32"/>
      <c r="AF236" s="110"/>
    </row>
    <row r="237" spans="1:32" x14ac:dyDescent="0.25">
      <c r="A237" s="41" t="s">
        <v>736</v>
      </c>
      <c r="B237" s="41" t="s">
        <v>737</v>
      </c>
      <c r="C237" s="39" t="s">
        <v>1336</v>
      </c>
      <c r="D237" s="39" t="s">
        <v>737</v>
      </c>
      <c r="E237" s="27" t="str">
        <f>CONCATENATE($C237," ",$D237)</f>
        <v>Katie Turner</v>
      </c>
      <c r="F237" s="8" t="s">
        <v>738</v>
      </c>
      <c r="G237" s="8" t="s">
        <v>123</v>
      </c>
      <c r="H237" s="8" t="s">
        <v>115</v>
      </c>
      <c r="I237" s="7">
        <v>45459</v>
      </c>
      <c r="J237" s="16" t="str">
        <f>IF($G237&lt;&gt;"",CONCATENATE($G237,", ",$H237," ",$I237),"")</f>
        <v>Dayton, OH 45459</v>
      </c>
      <c r="K237" s="99">
        <v>937</v>
      </c>
      <c r="L237" s="99" t="s">
        <v>774</v>
      </c>
      <c r="M237" s="39" t="s">
        <v>971</v>
      </c>
      <c r="N237" s="39" t="s">
        <v>971</v>
      </c>
      <c r="O237" s="16">
        <f ca="1">IF($P237&lt;&gt;"", DATEDIF($P237,TODAY(),"y"), "")</f>
        <v>28</v>
      </c>
      <c r="P237" s="47">
        <v>35655</v>
      </c>
      <c r="Q237" s="58" t="s">
        <v>739</v>
      </c>
      <c r="R237" s="8"/>
      <c r="S237" s="107" t="s">
        <v>828</v>
      </c>
      <c r="T237" s="17" t="s">
        <v>826</v>
      </c>
      <c r="U237" s="17" t="s">
        <v>8</v>
      </c>
      <c r="V237" s="7"/>
      <c r="W237" s="21"/>
      <c r="X237" s="21"/>
      <c r="Y237" s="17"/>
      <c r="Z237" s="17"/>
      <c r="AA237" s="17"/>
      <c r="AB237" s="18" t="s">
        <v>1526</v>
      </c>
      <c r="AC237" s="7"/>
      <c r="AD237" s="8"/>
      <c r="AE237" s="33"/>
      <c r="AF237" s="110" t="s">
        <v>1663</v>
      </c>
    </row>
    <row r="238" spans="1:32" x14ac:dyDescent="0.25">
      <c r="A238" s="40" t="s">
        <v>429</v>
      </c>
      <c r="B238" s="40" t="s">
        <v>430</v>
      </c>
      <c r="C238" s="42" t="s">
        <v>303</v>
      </c>
      <c r="D238" s="42" t="s">
        <v>430</v>
      </c>
      <c r="E238" s="27" t="str">
        <f>CONCATENATE($C238," ",$D238)</f>
        <v>Joshua Uphouse</v>
      </c>
      <c r="F238" s="16" t="s">
        <v>431</v>
      </c>
      <c r="G238" s="16" t="s">
        <v>432</v>
      </c>
      <c r="H238" s="16" t="s">
        <v>115</v>
      </c>
      <c r="I238" s="17">
        <v>45449</v>
      </c>
      <c r="J238" s="16" t="str">
        <f>IF($G238&lt;&gt;"",CONCATENATE($G238,", ",$H238," ",$I238),"")</f>
        <v>West Carrollton, OH 45449</v>
      </c>
      <c r="K238" s="17">
        <v>937</v>
      </c>
      <c r="L238" s="17" t="s">
        <v>433</v>
      </c>
      <c r="M238" s="39"/>
      <c r="N238" s="39"/>
      <c r="O238" s="16">
        <f ca="1">IF($P238&lt;&gt;"", DATEDIF($P238,TODAY(),"y"), "")</f>
        <v>23</v>
      </c>
      <c r="P238" s="46">
        <v>37504</v>
      </c>
      <c r="Q238" s="14" t="s">
        <v>92</v>
      </c>
      <c r="R238" s="8" t="s">
        <v>93</v>
      </c>
      <c r="S238" s="17" t="s">
        <v>828</v>
      </c>
      <c r="T238" s="17" t="s">
        <v>1034</v>
      </c>
      <c r="U238" s="17" t="s">
        <v>1034</v>
      </c>
      <c r="V238" s="17"/>
      <c r="W238" s="21"/>
      <c r="X238" s="21"/>
      <c r="Y238" s="17"/>
      <c r="Z238" s="17"/>
      <c r="AA238" s="17"/>
      <c r="AB238" s="18"/>
      <c r="AC238" s="18"/>
      <c r="AD238" s="19"/>
      <c r="AE238" s="32"/>
      <c r="AF238" s="110"/>
    </row>
    <row r="239" spans="1:32" x14ac:dyDescent="0.25">
      <c r="A239" s="41" t="s">
        <v>740</v>
      </c>
      <c r="B239" s="41" t="s">
        <v>741</v>
      </c>
      <c r="C239" s="39" t="s">
        <v>742</v>
      </c>
      <c r="D239" s="39" t="s">
        <v>741</v>
      </c>
      <c r="E239" s="27" t="str">
        <f>CONCATENATE($C239," ",$D239)</f>
        <v>Vikram Vaidyaram</v>
      </c>
      <c r="F239" s="8" t="s">
        <v>743</v>
      </c>
      <c r="G239" s="8" t="s">
        <v>118</v>
      </c>
      <c r="H239" s="8" t="s">
        <v>115</v>
      </c>
      <c r="I239" s="7">
        <v>45066</v>
      </c>
      <c r="J239" s="16" t="str">
        <f>IF($G239&lt;&gt;"",CONCATENATE($G239,", ",$H239," ",$I239),"")</f>
        <v>Springboro, OH 45066</v>
      </c>
      <c r="K239" s="99">
        <v>719</v>
      </c>
      <c r="L239" s="99" t="s">
        <v>775</v>
      </c>
      <c r="M239" s="39"/>
      <c r="N239" s="39"/>
      <c r="O239" s="16">
        <f ca="1">IF($P239&lt;&gt;"", DATEDIF($P239,TODAY(),"y"), "")</f>
        <v>15</v>
      </c>
      <c r="P239" s="47">
        <v>40716</v>
      </c>
      <c r="Q239" s="58" t="s">
        <v>1342</v>
      </c>
      <c r="R239" s="8"/>
      <c r="S239" s="17" t="s">
        <v>1228</v>
      </c>
      <c r="T239" s="17" t="s">
        <v>1034</v>
      </c>
      <c r="U239" s="17" t="s">
        <v>1034</v>
      </c>
      <c r="V239" s="7"/>
      <c r="W239" s="21"/>
      <c r="X239" s="21"/>
      <c r="Y239" s="17"/>
      <c r="Z239" s="17"/>
      <c r="AA239" s="17"/>
      <c r="AB239" s="18"/>
      <c r="AC239" s="7"/>
      <c r="AD239" s="8"/>
      <c r="AE239" s="33"/>
      <c r="AF239" s="110"/>
    </row>
    <row r="240" spans="1:32" x14ac:dyDescent="0.25">
      <c r="A240" s="40" t="s">
        <v>512</v>
      </c>
      <c r="B240" s="40" t="s">
        <v>434</v>
      </c>
      <c r="C240" s="42" t="s">
        <v>435</v>
      </c>
      <c r="D240" s="42" t="s">
        <v>434</v>
      </c>
      <c r="E240" s="27" t="str">
        <f>CONCATENATE($C240," ",$D240)</f>
        <v>Vincent Van Zant</v>
      </c>
      <c r="F240" s="16" t="s">
        <v>436</v>
      </c>
      <c r="G240" s="16" t="s">
        <v>125</v>
      </c>
      <c r="H240" s="16" t="s">
        <v>115</v>
      </c>
      <c r="I240" s="17">
        <v>45420</v>
      </c>
      <c r="J240" s="16" t="str">
        <f>IF($G240&lt;&gt;"",CONCATENATE($G240,", ",$H240," ",$I240),"")</f>
        <v>Kettering, OH 45420</v>
      </c>
      <c r="K240" s="105">
        <v>937</v>
      </c>
      <c r="L240" s="105" t="s">
        <v>1092</v>
      </c>
      <c r="M240" s="38" t="s">
        <v>181</v>
      </c>
      <c r="N240" s="38" t="s">
        <v>181</v>
      </c>
      <c r="O240" s="16">
        <f ca="1">IF($P240&lt;&gt;"", DATEDIF($P240,TODAY(),"y"), "")</f>
        <v>16</v>
      </c>
      <c r="P240" s="46">
        <v>40114</v>
      </c>
      <c r="Q240" s="8" t="s">
        <v>94</v>
      </c>
      <c r="R240" s="8"/>
      <c r="S240" s="107" t="s">
        <v>826</v>
      </c>
      <c r="T240" s="17" t="s">
        <v>817</v>
      </c>
      <c r="U240" s="17" t="s">
        <v>8</v>
      </c>
      <c r="V240" s="17"/>
      <c r="W240" s="21"/>
      <c r="X240" s="21"/>
      <c r="Y240" s="17"/>
      <c r="Z240" s="17"/>
      <c r="AA240" s="17"/>
      <c r="AB240" s="18" t="s">
        <v>1526</v>
      </c>
      <c r="AC240" s="17"/>
      <c r="AD240" s="16"/>
      <c r="AE240" s="32"/>
      <c r="AF240" s="110" t="s">
        <v>1662</v>
      </c>
    </row>
    <row r="241" spans="1:32" x14ac:dyDescent="0.25">
      <c r="A241" s="40" t="s">
        <v>544</v>
      </c>
      <c r="B241" s="40" t="s">
        <v>545</v>
      </c>
      <c r="C241" s="42" t="s">
        <v>546</v>
      </c>
      <c r="D241" s="42" t="s">
        <v>545</v>
      </c>
      <c r="E241" s="27" t="str">
        <f>CONCATENATE($C241," ",$D241)</f>
        <v>Gabriel Vaughn</v>
      </c>
      <c r="F241" s="16" t="s">
        <v>936</v>
      </c>
      <c r="G241" s="16" t="s">
        <v>543</v>
      </c>
      <c r="H241" s="16" t="s">
        <v>115</v>
      </c>
      <c r="I241" s="17">
        <v>45327</v>
      </c>
      <c r="J241" s="16" t="str">
        <f>IF($G241&lt;&gt;"",CONCATENATE($G241,", ",$H241," ",$I241),"")</f>
        <v>Germantown, OH 45327</v>
      </c>
      <c r="K241" s="17">
        <v>937</v>
      </c>
      <c r="L241" s="17" t="s">
        <v>547</v>
      </c>
      <c r="M241" s="38"/>
      <c r="N241" s="38"/>
      <c r="O241" s="16">
        <f ca="1">IF($P241&lt;&gt;"", DATEDIF($P241,TODAY(),"y"), "")</f>
        <v>20</v>
      </c>
      <c r="P241" s="46">
        <v>38602</v>
      </c>
      <c r="Q241" s="14" t="s">
        <v>548</v>
      </c>
      <c r="R241" s="8" t="s">
        <v>549</v>
      </c>
      <c r="S241" s="17"/>
      <c r="T241" s="17"/>
      <c r="U241" s="17"/>
      <c r="V241" s="17"/>
      <c r="W241" s="17"/>
      <c r="X241" s="17"/>
      <c r="Y241" s="17"/>
      <c r="Z241" s="17"/>
      <c r="AA241" s="17"/>
      <c r="AB241" s="17"/>
      <c r="AC241" s="17"/>
      <c r="AD241" s="16"/>
      <c r="AE241" s="32"/>
      <c r="AF241" s="110"/>
    </row>
    <row r="242" spans="1:32" x14ac:dyDescent="0.25">
      <c r="A242" s="40" t="s">
        <v>416</v>
      </c>
      <c r="B242" s="40" t="s">
        <v>1469</v>
      </c>
      <c r="C242" s="42" t="s">
        <v>1470</v>
      </c>
      <c r="D242" s="42" t="s">
        <v>1471</v>
      </c>
      <c r="E242" s="27" t="str">
        <f>CONCATENATE($C242," ",$D242)</f>
        <v>Lyra Vinande</v>
      </c>
      <c r="F242" s="16"/>
      <c r="G242" s="16"/>
      <c r="H242" s="16"/>
      <c r="I242" s="17"/>
      <c r="J242" s="16"/>
      <c r="K242" s="17">
        <v>303</v>
      </c>
      <c r="L242" s="17" t="s">
        <v>1473</v>
      </c>
      <c r="M242" s="39" t="s">
        <v>116</v>
      </c>
      <c r="N242" s="39" t="s">
        <v>121</v>
      </c>
      <c r="O242" s="16">
        <f ca="1">IF($P242&lt;&gt;"", DATEDIF($P242,TODAY(),"y"), "")</f>
        <v>11</v>
      </c>
      <c r="P242" s="46">
        <v>42153</v>
      </c>
      <c r="Q242" s="14" t="s">
        <v>1472</v>
      </c>
      <c r="R242" s="8"/>
      <c r="S242" s="107" t="s">
        <v>1418</v>
      </c>
      <c r="T242" s="17"/>
      <c r="U242" s="17"/>
      <c r="V242" s="17"/>
      <c r="W242" s="17"/>
      <c r="X242" s="17"/>
      <c r="Y242" s="17"/>
      <c r="Z242" s="17"/>
      <c r="AA242" s="17"/>
      <c r="AB242" s="17" t="s">
        <v>1526</v>
      </c>
      <c r="AC242" s="17"/>
      <c r="AD242" s="16"/>
      <c r="AE242" s="32"/>
      <c r="AF242" s="110"/>
    </row>
    <row r="243" spans="1:32" x14ac:dyDescent="0.25">
      <c r="A243" s="40" t="s">
        <v>438</v>
      </c>
      <c r="B243" s="40" t="s">
        <v>439</v>
      </c>
      <c r="C243" s="42" t="s">
        <v>440</v>
      </c>
      <c r="D243" s="42" t="s">
        <v>439</v>
      </c>
      <c r="E243" s="27" t="str">
        <f>CONCATENATE($C243," ",$D243)</f>
        <v>Dominic Vorrasi</v>
      </c>
      <c r="F243" s="16" t="s">
        <v>441</v>
      </c>
      <c r="G243" s="16" t="s">
        <v>118</v>
      </c>
      <c r="H243" s="16" t="s">
        <v>115</v>
      </c>
      <c r="I243" s="17">
        <v>45066</v>
      </c>
      <c r="J243" s="16" t="str">
        <f>IF($G243&lt;&gt;"",CONCATENATE($G243,", ",$H243," ",$I243),"")</f>
        <v>Springboro, OH 45066</v>
      </c>
      <c r="K243" s="17">
        <v>937</v>
      </c>
      <c r="L243" s="17" t="s">
        <v>442</v>
      </c>
      <c r="M243" s="38" t="s">
        <v>168</v>
      </c>
      <c r="N243" s="38" t="s">
        <v>168</v>
      </c>
      <c r="O243" s="16">
        <f ca="1">IF($P243&lt;&gt;"", DATEDIF($P243,TODAY(),"y"), "")</f>
        <v>18</v>
      </c>
      <c r="P243" s="46">
        <v>39595</v>
      </c>
      <c r="Q243" s="14" t="s">
        <v>95</v>
      </c>
      <c r="R243" s="8" t="s">
        <v>96</v>
      </c>
      <c r="S243" s="107" t="s">
        <v>834</v>
      </c>
      <c r="T243" s="17" t="s">
        <v>828</v>
      </c>
      <c r="U243" s="17" t="s">
        <v>10</v>
      </c>
      <c r="V243" s="17"/>
      <c r="W243" s="21"/>
      <c r="X243" s="21"/>
      <c r="Y243" s="17"/>
      <c r="Z243" s="17"/>
      <c r="AA243" s="17"/>
      <c r="AB243" s="18" t="s">
        <v>1526</v>
      </c>
      <c r="AC243" s="18"/>
      <c r="AD243" s="19"/>
      <c r="AE243" s="32"/>
      <c r="AF243" s="110" t="s">
        <v>1663</v>
      </c>
    </row>
    <row r="244" spans="1:32" x14ac:dyDescent="0.25">
      <c r="A244" s="40" t="s">
        <v>443</v>
      </c>
      <c r="B244" s="40" t="s">
        <v>444</v>
      </c>
      <c r="C244" s="42" t="s">
        <v>445</v>
      </c>
      <c r="D244" s="42" t="s">
        <v>446</v>
      </c>
      <c r="E244" s="27" t="str">
        <f>CONCATENATE($C244," ",$D244)</f>
        <v>Joseph Vorsteg Jr</v>
      </c>
      <c r="F244" s="16" t="s">
        <v>447</v>
      </c>
      <c r="G244" s="16" t="s">
        <v>125</v>
      </c>
      <c r="H244" s="16" t="s">
        <v>115</v>
      </c>
      <c r="I244" s="17">
        <v>45420</v>
      </c>
      <c r="J244" s="16" t="str">
        <f>IF($G244&lt;&gt;"",CONCATENATE($G244,", ",$H244," ",$I244),"")</f>
        <v>Kettering, OH 45420</v>
      </c>
      <c r="K244" s="17">
        <v>937</v>
      </c>
      <c r="L244" s="17" t="s">
        <v>448</v>
      </c>
      <c r="M244" s="38" t="s">
        <v>144</v>
      </c>
      <c r="N244" s="38"/>
      <c r="O244" s="16">
        <f ca="1">IF($P244&lt;&gt;"", DATEDIF($P244,TODAY(),"y"), "")</f>
        <v>35</v>
      </c>
      <c r="P244" s="46">
        <v>33081</v>
      </c>
      <c r="Q244" s="61" t="s">
        <v>1655</v>
      </c>
      <c r="R244" s="8" t="s">
        <v>594</v>
      </c>
      <c r="S244" s="107" t="s">
        <v>828</v>
      </c>
      <c r="T244" s="17"/>
      <c r="U244" s="17"/>
      <c r="V244" s="17"/>
      <c r="W244" s="20"/>
      <c r="X244" s="20"/>
      <c r="Y244" s="17"/>
      <c r="Z244" s="17"/>
      <c r="AA244" s="17"/>
      <c r="AB244" s="18" t="s">
        <v>1526</v>
      </c>
      <c r="AC244" s="18"/>
      <c r="AD244" s="16"/>
      <c r="AE244" s="32"/>
      <c r="AF244" s="110"/>
    </row>
    <row r="245" spans="1:32" x14ac:dyDescent="0.25">
      <c r="A245" s="40" t="s">
        <v>382</v>
      </c>
      <c r="B245" s="40" t="s">
        <v>449</v>
      </c>
      <c r="C245" s="42" t="s">
        <v>320</v>
      </c>
      <c r="D245" s="42" t="s">
        <v>450</v>
      </c>
      <c r="E245" s="27" t="str">
        <f>CONCATENATE($C245," ",$D245)</f>
        <v>Jacob Wagenbach</v>
      </c>
      <c r="F245" s="16" t="s">
        <v>451</v>
      </c>
      <c r="G245" s="16" t="s">
        <v>154</v>
      </c>
      <c r="H245" s="16" t="s">
        <v>115</v>
      </c>
      <c r="I245" s="17">
        <v>45431</v>
      </c>
      <c r="J245" s="16" t="str">
        <f>IF($G245&lt;&gt;"",CONCATENATE($G245,", ",$H245," ",$I245),"")</f>
        <v>Beavercreek, OH 45431</v>
      </c>
      <c r="K245" s="17">
        <v>937</v>
      </c>
      <c r="L245" s="17" t="s">
        <v>452</v>
      </c>
      <c r="M245" s="38" t="s">
        <v>971</v>
      </c>
      <c r="N245" s="38" t="s">
        <v>971</v>
      </c>
      <c r="O245" s="16">
        <f ca="1">IF($P245&lt;&gt;"", DATEDIF($P245,TODAY(),"y"), "")</f>
        <v>26</v>
      </c>
      <c r="P245" s="46">
        <v>36374</v>
      </c>
      <c r="Q245" s="62" t="s">
        <v>967</v>
      </c>
      <c r="R245" s="8"/>
      <c r="S245" s="107" t="s">
        <v>834</v>
      </c>
      <c r="T245" s="17" t="s">
        <v>828</v>
      </c>
      <c r="U245" s="17" t="s">
        <v>10</v>
      </c>
      <c r="V245" s="17"/>
      <c r="W245" s="21"/>
      <c r="X245" s="21"/>
      <c r="Y245" s="17"/>
      <c r="Z245" s="17"/>
      <c r="AA245" s="17"/>
      <c r="AB245" s="18"/>
      <c r="AC245" s="7" t="s">
        <v>1526</v>
      </c>
      <c r="AD245" s="19"/>
      <c r="AE245" s="32"/>
      <c r="AF245" s="110" t="s">
        <v>1662</v>
      </c>
    </row>
    <row r="246" spans="1:32" x14ac:dyDescent="0.25">
      <c r="A246" s="41" t="s">
        <v>598</v>
      </c>
      <c r="B246" s="41" t="s">
        <v>599</v>
      </c>
      <c r="C246" s="39" t="s">
        <v>600</v>
      </c>
      <c r="D246" s="39" t="s">
        <v>599</v>
      </c>
      <c r="E246" s="27" t="str">
        <f>CONCATENATE($C246," ",$D246)</f>
        <v>Ethan Warburton</v>
      </c>
      <c r="F246" s="8" t="s">
        <v>601</v>
      </c>
      <c r="G246" s="8" t="s">
        <v>566</v>
      </c>
      <c r="H246" s="8" t="s">
        <v>115</v>
      </c>
      <c r="I246" s="7">
        <v>45419</v>
      </c>
      <c r="J246" s="16" t="str">
        <f>IF($G246&lt;&gt;"",CONCATENATE($G246,", ",$H246," ",$I246),"")</f>
        <v>Oakwood, OH 45419</v>
      </c>
      <c r="K246" s="99">
        <v>937</v>
      </c>
      <c r="L246" s="99" t="s">
        <v>602</v>
      </c>
      <c r="M246" s="67"/>
      <c r="N246" s="67"/>
      <c r="O246" s="16">
        <f ca="1">IF($P246&lt;&gt;"", DATEDIF($P246,TODAY(),"y"), "")</f>
        <v>22</v>
      </c>
      <c r="P246" s="46">
        <v>38054</v>
      </c>
      <c r="Q246" s="8" t="s">
        <v>603</v>
      </c>
      <c r="R246" s="8" t="s">
        <v>604</v>
      </c>
      <c r="S246" s="17"/>
      <c r="T246" s="17"/>
      <c r="U246" s="17"/>
      <c r="V246" s="7"/>
      <c r="W246" s="7"/>
      <c r="X246" s="7"/>
      <c r="Y246" s="7"/>
      <c r="Z246" s="7"/>
      <c r="AA246" s="7"/>
      <c r="AB246" s="7"/>
      <c r="AC246" s="7"/>
      <c r="AD246" s="8"/>
      <c r="AE246" s="33"/>
      <c r="AF246" s="110"/>
    </row>
    <row r="247" spans="1:32" x14ac:dyDescent="0.25">
      <c r="A247" s="40" t="s">
        <v>550</v>
      </c>
      <c r="B247" s="40" t="s">
        <v>551</v>
      </c>
      <c r="C247" s="42" t="s">
        <v>552</v>
      </c>
      <c r="D247" s="42" t="s">
        <v>551</v>
      </c>
      <c r="E247" s="27" t="str">
        <f>CONCATENATE($C247," ",$D247)</f>
        <v>Terry Washington</v>
      </c>
      <c r="F247" s="16" t="s">
        <v>553</v>
      </c>
      <c r="G247" s="16" t="s">
        <v>123</v>
      </c>
      <c r="H247" s="16" t="s">
        <v>115</v>
      </c>
      <c r="I247" s="17">
        <v>45417</v>
      </c>
      <c r="J247" s="16" t="str">
        <f>IF($G247&lt;&gt;"",CONCATENATE($G247,", ",$H247," ",$I247),"")</f>
        <v>Dayton, OH 45417</v>
      </c>
      <c r="K247" s="17">
        <v>937</v>
      </c>
      <c r="L247" s="17" t="s">
        <v>554</v>
      </c>
      <c r="M247" s="38"/>
      <c r="N247" s="38"/>
      <c r="O247" s="16">
        <f ca="1">IF($P247&lt;&gt;"", DATEDIF($P247,TODAY(),"y"), "")</f>
        <v>29</v>
      </c>
      <c r="P247" s="46">
        <v>35342</v>
      </c>
      <c r="Q247" s="14" t="s">
        <v>555</v>
      </c>
      <c r="R247" s="8"/>
      <c r="S247" s="17"/>
      <c r="T247" s="17"/>
      <c r="U247" s="17"/>
      <c r="V247" s="17"/>
      <c r="W247" s="20"/>
      <c r="X247" s="20"/>
      <c r="Y247" s="17"/>
      <c r="Z247" s="17"/>
      <c r="AA247" s="17"/>
      <c r="AB247" s="17"/>
      <c r="AC247" s="17"/>
      <c r="AD247" s="19"/>
      <c r="AE247" s="32"/>
      <c r="AF247" s="7"/>
    </row>
    <row r="248" spans="1:32" x14ac:dyDescent="0.25">
      <c r="A248" s="41" t="s">
        <v>899</v>
      </c>
      <c r="B248" s="41" t="s">
        <v>900</v>
      </c>
      <c r="C248" s="39" t="s">
        <v>899</v>
      </c>
      <c r="D248" s="39" t="s">
        <v>900</v>
      </c>
      <c r="E248" s="27" t="str">
        <f>CONCATENATE($C248," ",$D248)</f>
        <v>Howard Webb</v>
      </c>
      <c r="F248" s="8" t="s">
        <v>901</v>
      </c>
      <c r="G248" s="8" t="s">
        <v>137</v>
      </c>
      <c r="H248" s="8" t="s">
        <v>115</v>
      </c>
      <c r="I248" s="7">
        <v>45385</v>
      </c>
      <c r="J248" s="16" t="str">
        <f>IF($G248&lt;&gt;"",CONCATENATE($G248,", ",$H248," ",$I248),"")</f>
        <v>Xenia, OH 45385</v>
      </c>
      <c r="K248" s="99">
        <v>937</v>
      </c>
      <c r="L248" s="99" t="s">
        <v>902</v>
      </c>
      <c r="M248" s="39"/>
      <c r="N248" s="39"/>
      <c r="O248" s="16">
        <f ca="1">IF($P248&lt;&gt;"", DATEDIF($P248,TODAY(),"y"), "")</f>
        <v>27</v>
      </c>
      <c r="P248" s="46">
        <v>35985</v>
      </c>
      <c r="Q248" s="58" t="s">
        <v>903</v>
      </c>
      <c r="R248" s="8"/>
      <c r="S248" s="17" t="s">
        <v>1321</v>
      </c>
      <c r="T248" s="17" t="s">
        <v>834</v>
      </c>
      <c r="U248" s="17" t="s">
        <v>10</v>
      </c>
      <c r="V248" s="7"/>
      <c r="W248" s="21"/>
      <c r="X248" s="21"/>
      <c r="Y248" s="17"/>
      <c r="Z248" s="17"/>
      <c r="AA248" s="17"/>
      <c r="AB248" s="18"/>
      <c r="AC248" s="7"/>
      <c r="AD248" s="8"/>
      <c r="AE248" s="33"/>
      <c r="AF248" s="7"/>
    </row>
    <row r="249" spans="1:32" x14ac:dyDescent="0.25">
      <c r="A249" s="41" t="s">
        <v>937</v>
      </c>
      <c r="B249" s="41" t="s">
        <v>900</v>
      </c>
      <c r="C249" s="39" t="s">
        <v>415</v>
      </c>
      <c r="D249" s="39" t="s">
        <v>900</v>
      </c>
      <c r="E249" s="27" t="str">
        <f>CONCATENATE($C249," ",$D249)</f>
        <v>Noah Webb</v>
      </c>
      <c r="F249" s="8"/>
      <c r="G249" s="8"/>
      <c r="H249" s="8"/>
      <c r="I249" s="7"/>
      <c r="J249" s="16"/>
      <c r="K249" s="99">
        <v>937</v>
      </c>
      <c r="L249" s="99" t="s">
        <v>1248</v>
      </c>
      <c r="M249" s="97" t="s">
        <v>121</v>
      </c>
      <c r="N249" s="97" t="s">
        <v>121</v>
      </c>
      <c r="O249" s="16">
        <f ca="1">IF($P249&lt;&gt;"", DATEDIF($P249,TODAY(),"y"), "")</f>
        <v>9</v>
      </c>
      <c r="P249" s="48">
        <v>42591</v>
      </c>
      <c r="Q249" s="61" t="s">
        <v>1249</v>
      </c>
      <c r="R249" s="8"/>
      <c r="S249" s="107" t="s">
        <v>823</v>
      </c>
      <c r="T249" s="17" t="s">
        <v>823</v>
      </c>
      <c r="U249" s="17" t="s">
        <v>9</v>
      </c>
      <c r="V249" s="7"/>
      <c r="W249" s="7"/>
      <c r="X249" s="7"/>
      <c r="Y249" s="7"/>
      <c r="Z249" s="7"/>
      <c r="AA249" s="7"/>
      <c r="AB249" s="18" t="s">
        <v>1526</v>
      </c>
      <c r="AC249" s="7"/>
      <c r="AD249" s="8"/>
      <c r="AE249" s="33"/>
      <c r="AF249" s="7"/>
    </row>
    <row r="250" spans="1:32" x14ac:dyDescent="0.25">
      <c r="A250" s="40" t="s">
        <v>416</v>
      </c>
      <c r="B250" s="40" t="s">
        <v>737</v>
      </c>
      <c r="C250" s="42" t="s">
        <v>1035</v>
      </c>
      <c r="D250" s="42" t="s">
        <v>1036</v>
      </c>
      <c r="E250" s="27" t="str">
        <f>CONCATENATE($C250," ",$D250)</f>
        <v xml:space="preserve">Gigi West </v>
      </c>
      <c r="F250" s="16" t="s">
        <v>1037</v>
      </c>
      <c r="G250" s="16" t="s">
        <v>123</v>
      </c>
      <c r="H250" s="16" t="s">
        <v>115</v>
      </c>
      <c r="I250" s="17">
        <v>45409</v>
      </c>
      <c r="J250" s="16" t="str">
        <f>IF($G250&lt;&gt;"",CONCATENATE($G250,", ",$H250," ",$I250),"")</f>
        <v>Dayton, OH 45409</v>
      </c>
      <c r="K250" s="17">
        <v>937</v>
      </c>
      <c r="L250" s="17" t="s">
        <v>1038</v>
      </c>
      <c r="M250" s="38" t="s">
        <v>116</v>
      </c>
      <c r="N250" s="38" t="s">
        <v>116</v>
      </c>
      <c r="O250" s="16">
        <f ca="1">IF($P250&lt;&gt;"", DATEDIF($P250,TODAY(),"y"), "")</f>
        <v>13</v>
      </c>
      <c r="P250" s="46">
        <v>41179</v>
      </c>
      <c r="Q250" s="62" t="s">
        <v>1039</v>
      </c>
      <c r="R250" s="8"/>
      <c r="S250" s="107" t="s">
        <v>825</v>
      </c>
      <c r="T250" s="17" t="s">
        <v>823</v>
      </c>
      <c r="U250" s="17" t="s">
        <v>8</v>
      </c>
      <c r="V250" s="17"/>
      <c r="W250" s="21"/>
      <c r="X250" s="21"/>
      <c r="Y250" s="17"/>
      <c r="Z250" s="17"/>
      <c r="AA250" s="17"/>
      <c r="AB250" s="18" t="s">
        <v>1526</v>
      </c>
      <c r="AC250" s="22"/>
      <c r="AD250" s="16"/>
      <c r="AE250" s="32"/>
      <c r="AF250" s="7"/>
    </row>
    <row r="251" spans="1:32" x14ac:dyDescent="0.25">
      <c r="A251" s="41" t="s">
        <v>799</v>
      </c>
      <c r="B251" s="41" t="s">
        <v>1320</v>
      </c>
      <c r="C251" s="39" t="s">
        <v>732</v>
      </c>
      <c r="D251" s="39" t="s">
        <v>800</v>
      </c>
      <c r="E251" s="27" t="str">
        <f>CONCATENATE($C251," ",$D251)</f>
        <v>Anthony Whitaker</v>
      </c>
      <c r="F251" s="8" t="s">
        <v>801</v>
      </c>
      <c r="G251" s="8" t="s">
        <v>154</v>
      </c>
      <c r="H251" s="8" t="s">
        <v>115</v>
      </c>
      <c r="I251" s="7">
        <v>45432</v>
      </c>
      <c r="J251" s="16" t="str">
        <f>IF($G251&lt;&gt;"",CONCATENATE($G251,", ",$H251," ",$I251),"")</f>
        <v>Beavercreek, OH 45432</v>
      </c>
      <c r="K251" s="99">
        <v>937</v>
      </c>
      <c r="L251" s="99" t="s">
        <v>802</v>
      </c>
      <c r="M251" s="39" t="s">
        <v>971</v>
      </c>
      <c r="N251" s="39" t="s">
        <v>971</v>
      </c>
      <c r="O251" s="16">
        <f ca="1">IF($P251&lt;&gt;"", DATEDIF($P251,TODAY(),"y"), "")</f>
        <v>28</v>
      </c>
      <c r="P251" s="46">
        <v>35640</v>
      </c>
      <c r="Q251" s="58" t="s">
        <v>803</v>
      </c>
      <c r="R251" s="8"/>
      <c r="S251" s="107" t="s">
        <v>834</v>
      </c>
      <c r="T251" s="17" t="s">
        <v>828</v>
      </c>
      <c r="U251" s="17" t="s">
        <v>10</v>
      </c>
      <c r="V251" s="7"/>
      <c r="W251" s="21"/>
      <c r="X251" s="21"/>
      <c r="Y251" s="17"/>
      <c r="Z251" s="17"/>
      <c r="AA251" s="17"/>
      <c r="AB251" s="18" t="s">
        <v>1526</v>
      </c>
      <c r="AC251" s="7"/>
      <c r="AD251" s="8"/>
      <c r="AE251" s="33"/>
      <c r="AF251" s="7" t="s">
        <v>1662</v>
      </c>
    </row>
    <row r="252" spans="1:32" x14ac:dyDescent="0.25">
      <c r="A252" s="40" t="s">
        <v>1078</v>
      </c>
      <c r="B252" s="40" t="s">
        <v>1079</v>
      </c>
      <c r="C252" s="42" t="s">
        <v>1080</v>
      </c>
      <c r="D252" s="42" t="s">
        <v>1079</v>
      </c>
      <c r="E252" s="27" t="str">
        <f>CONCATENATE($C252," ",$D252)</f>
        <v>Jerry Williams</v>
      </c>
      <c r="F252" s="16" t="s">
        <v>1081</v>
      </c>
      <c r="G252" s="16" t="s">
        <v>123</v>
      </c>
      <c r="H252" s="16" t="s">
        <v>115</v>
      </c>
      <c r="I252" s="17" t="s">
        <v>1082</v>
      </c>
      <c r="J252" s="16" t="str">
        <f>IF($G252&lt;&gt;"",CONCATENATE($G252,", ",$H252," ",$I252),"")</f>
        <v>Dayton, OH 45410</v>
      </c>
      <c r="K252" s="17">
        <v>937</v>
      </c>
      <c r="L252" s="17" t="s">
        <v>1084</v>
      </c>
      <c r="M252" s="38"/>
      <c r="N252" s="38"/>
      <c r="O252" s="16">
        <f ca="1">IF($P252&lt;&gt;"", DATEDIF($P252,TODAY(),"y"), "")</f>
        <v>25</v>
      </c>
      <c r="P252" s="46">
        <v>37020</v>
      </c>
      <c r="Q252" s="61" t="s">
        <v>1083</v>
      </c>
      <c r="R252" s="8"/>
      <c r="S252" s="17" t="s">
        <v>817</v>
      </c>
      <c r="T252" s="17"/>
      <c r="U252" s="17"/>
      <c r="V252" s="17"/>
      <c r="W252" s="20"/>
      <c r="X252" s="20"/>
      <c r="Y252" s="17"/>
      <c r="Z252" s="17"/>
      <c r="AA252" s="17"/>
      <c r="AB252" s="17"/>
      <c r="AC252" s="18"/>
      <c r="AD252" s="19"/>
      <c r="AE252" s="32"/>
      <c r="AF252" s="7"/>
    </row>
    <row r="253" spans="1:32" x14ac:dyDescent="0.25">
      <c r="A253" s="40" t="s">
        <v>1004</v>
      </c>
      <c r="B253" s="40" t="s">
        <v>1535</v>
      </c>
      <c r="C253" s="42" t="s">
        <v>1212</v>
      </c>
      <c r="D253" s="42" t="s">
        <v>1536</v>
      </c>
      <c r="E253" s="27" t="str">
        <f>CONCATENATE($C253," ",$D253)</f>
        <v>Grayson Willis</v>
      </c>
      <c r="F253" s="16"/>
      <c r="G253" s="16"/>
      <c r="H253" s="16"/>
      <c r="I253" s="17"/>
      <c r="J253" s="16"/>
      <c r="K253" s="17">
        <v>937</v>
      </c>
      <c r="L253" s="17" t="s">
        <v>1537</v>
      </c>
      <c r="M253" s="39" t="s">
        <v>168</v>
      </c>
      <c r="N253" s="38"/>
      <c r="O253" s="16">
        <f ca="1">IF($P253&lt;&gt;"", DATEDIF($P253,TODAY(),"y"), "")</f>
        <v>16</v>
      </c>
      <c r="P253" s="46">
        <v>40028</v>
      </c>
      <c r="Q253" s="14" t="s">
        <v>1538</v>
      </c>
      <c r="R253" s="8"/>
      <c r="S253" s="107" t="s">
        <v>826</v>
      </c>
      <c r="T253" s="17"/>
      <c r="U253" s="17"/>
      <c r="V253" s="17"/>
      <c r="W253" s="20"/>
      <c r="X253" s="20"/>
      <c r="Y253" s="17"/>
      <c r="Z253" s="17"/>
      <c r="AA253" s="17"/>
      <c r="AB253" s="17" t="s">
        <v>1526</v>
      </c>
      <c r="AC253" s="18"/>
      <c r="AD253" s="16"/>
      <c r="AE253" s="32"/>
      <c r="AF253" s="110" t="s">
        <v>1662</v>
      </c>
    </row>
    <row r="254" spans="1:32" x14ac:dyDescent="0.25">
      <c r="A254" s="41" t="s">
        <v>1262</v>
      </c>
      <c r="B254" s="41" t="s">
        <v>960</v>
      </c>
      <c r="C254" s="39" t="s">
        <v>1343</v>
      </c>
      <c r="D254" s="39" t="s">
        <v>960</v>
      </c>
      <c r="E254" s="27" t="str">
        <f>CONCATENATE($C254," ",$D254)</f>
        <v>Blaze Wilson</v>
      </c>
      <c r="F254" s="8"/>
      <c r="G254" s="8"/>
      <c r="H254" s="8"/>
      <c r="I254" s="7"/>
      <c r="J254" s="16"/>
      <c r="K254" s="99">
        <v>937</v>
      </c>
      <c r="L254" s="99" t="s">
        <v>1263</v>
      </c>
      <c r="M254" s="39"/>
      <c r="N254" s="39"/>
      <c r="O254" s="16">
        <f ca="1">IF($P254&lt;&gt;"", DATEDIF($P254,TODAY(),"y"), "")</f>
        <v>12</v>
      </c>
      <c r="P254" s="47">
        <v>41753</v>
      </c>
      <c r="Q254" s="58" t="s">
        <v>1264</v>
      </c>
      <c r="R254" s="8"/>
      <c r="S254" s="17" t="s">
        <v>824</v>
      </c>
      <c r="T254" s="17"/>
      <c r="U254" s="17"/>
      <c r="V254" s="7"/>
      <c r="W254" s="7"/>
      <c r="X254" s="7"/>
      <c r="Y254" s="7"/>
      <c r="Z254" s="7"/>
      <c r="AA254" s="7"/>
      <c r="AB254" s="18"/>
      <c r="AC254" s="7"/>
      <c r="AD254" s="8"/>
      <c r="AE254" s="33"/>
      <c r="AF254" s="7"/>
    </row>
    <row r="255" spans="1:32" x14ac:dyDescent="0.25">
      <c r="A255" s="40" t="s">
        <v>1405</v>
      </c>
      <c r="B255" s="40" t="s">
        <v>960</v>
      </c>
      <c r="C255" s="42" t="s">
        <v>1406</v>
      </c>
      <c r="D255" s="42" t="s">
        <v>960</v>
      </c>
      <c r="E255" s="27" t="str">
        <f>CONCATENATE($C255," ",$D255)</f>
        <v>Charlie Wilson</v>
      </c>
      <c r="F255" s="16"/>
      <c r="G255" s="16"/>
      <c r="H255" s="16"/>
      <c r="I255" s="17"/>
      <c r="J255" s="16"/>
      <c r="K255" s="17">
        <v>937</v>
      </c>
      <c r="L255" s="17" t="s">
        <v>1263</v>
      </c>
      <c r="M255" s="39"/>
      <c r="N255" s="39" t="s">
        <v>116</v>
      </c>
      <c r="O255" s="16">
        <f ca="1">IF($P255&lt;&gt;"", DATEDIF($P255,TODAY(),"y"), "")</f>
        <v>12</v>
      </c>
      <c r="P255" s="46">
        <v>41753</v>
      </c>
      <c r="Q255" s="14" t="s">
        <v>1264</v>
      </c>
      <c r="R255" s="8"/>
      <c r="S255" s="17" t="s">
        <v>825</v>
      </c>
      <c r="T255" s="17"/>
      <c r="U255" s="17"/>
      <c r="V255" s="17"/>
      <c r="W255" s="21"/>
      <c r="X255" s="21"/>
      <c r="Y255" s="17"/>
      <c r="Z255" s="17"/>
      <c r="AA255" s="17"/>
      <c r="AB255" s="17"/>
      <c r="AC255" s="18"/>
      <c r="AD255" s="19"/>
      <c r="AE255" s="32"/>
      <c r="AF255" s="7"/>
    </row>
    <row r="256" spans="1:32" x14ac:dyDescent="0.25">
      <c r="A256" s="40" t="s">
        <v>1654</v>
      </c>
      <c r="B256" s="40" t="s">
        <v>1425</v>
      </c>
      <c r="C256" s="42" t="s">
        <v>1424</v>
      </c>
      <c r="D256" s="42" t="s">
        <v>1425</v>
      </c>
      <c r="E256" s="27" t="str">
        <f>CONCATENATE($C256," ",$D256)</f>
        <v>Tommy Winslow</v>
      </c>
      <c r="F256" s="16"/>
      <c r="G256" s="16"/>
      <c r="H256" s="16"/>
      <c r="I256" s="17"/>
      <c r="J256" s="16"/>
      <c r="K256" s="17">
        <v>781</v>
      </c>
      <c r="L256" s="17" t="s">
        <v>1427</v>
      </c>
      <c r="M256" s="39"/>
      <c r="N256" s="39" t="s">
        <v>122</v>
      </c>
      <c r="O256" s="16">
        <f ca="1">IF($P256&lt;&gt;"", DATEDIF($P256,TODAY(),"y"), "")</f>
        <v>7</v>
      </c>
      <c r="P256" s="46">
        <v>43550</v>
      </c>
      <c r="Q256" s="62" t="s">
        <v>1426</v>
      </c>
      <c r="R256" s="61" t="s">
        <v>1034</v>
      </c>
      <c r="S256" s="17" t="s">
        <v>1418</v>
      </c>
      <c r="T256" s="17"/>
      <c r="U256" s="17"/>
      <c r="V256" s="17"/>
      <c r="W256" s="17"/>
      <c r="X256" s="17"/>
      <c r="Y256" s="17"/>
      <c r="Z256" s="17"/>
      <c r="AA256" s="17"/>
      <c r="AB256" s="17"/>
      <c r="AC256" s="17"/>
      <c r="AD256" s="16"/>
      <c r="AE256" s="32"/>
      <c r="AF256" s="7"/>
    </row>
    <row r="257" spans="1:32" x14ac:dyDescent="0.25">
      <c r="A257" s="40" t="s">
        <v>454</v>
      </c>
      <c r="B257" s="40" t="s">
        <v>455</v>
      </c>
      <c r="C257" s="42" t="s">
        <v>456</v>
      </c>
      <c r="D257" s="42" t="s">
        <v>455</v>
      </c>
      <c r="E257" s="27" t="str">
        <f>CONCATENATE($C257," ",$D257)</f>
        <v>Paul Wittberg</v>
      </c>
      <c r="F257" s="16" t="s">
        <v>457</v>
      </c>
      <c r="G257" s="16" t="s">
        <v>123</v>
      </c>
      <c r="H257" s="16" t="s">
        <v>115</v>
      </c>
      <c r="I257" s="17">
        <v>45419</v>
      </c>
      <c r="J257" s="16" t="str">
        <f>IF($G257&lt;&gt;"",CONCATENATE($G257,", ",$H257," ",$I257),"")</f>
        <v>Dayton, OH 45419</v>
      </c>
      <c r="K257" s="17">
        <v>937</v>
      </c>
      <c r="L257" s="17" t="s">
        <v>458</v>
      </c>
      <c r="M257" s="39" t="s">
        <v>144</v>
      </c>
      <c r="N257" s="39" t="s">
        <v>144</v>
      </c>
      <c r="O257" s="16">
        <f ca="1">IF($P257&lt;&gt;"", DATEDIF($P257,TODAY(),"y"), "")</f>
        <v>37</v>
      </c>
      <c r="P257" s="46">
        <v>32333</v>
      </c>
      <c r="Q257" s="14" t="s">
        <v>97</v>
      </c>
      <c r="R257" s="8" t="s">
        <v>98</v>
      </c>
      <c r="S257" s="107" t="s">
        <v>826</v>
      </c>
      <c r="T257" s="17"/>
      <c r="U257" s="17"/>
      <c r="V257" s="17"/>
      <c r="W257" s="21"/>
      <c r="X257" s="21"/>
      <c r="Y257" s="17"/>
      <c r="Z257" s="17"/>
      <c r="AA257" s="17"/>
      <c r="AB257" s="18" t="s">
        <v>1526</v>
      </c>
      <c r="AC257" s="22"/>
      <c r="AD257" s="19"/>
      <c r="AE257" s="32"/>
      <c r="AF257" s="7"/>
    </row>
    <row r="258" spans="1:32" x14ac:dyDescent="0.25">
      <c r="A258" s="41" t="s">
        <v>1401</v>
      </c>
      <c r="B258" s="41" t="s">
        <v>1402</v>
      </c>
      <c r="C258" s="39" t="s">
        <v>193</v>
      </c>
      <c r="D258" s="39" t="s">
        <v>1402</v>
      </c>
      <c r="E258" s="27" t="str">
        <f>CONCATENATE($C258," ",$D258)</f>
        <v>Ian Witucky</v>
      </c>
      <c r="F258" s="8"/>
      <c r="G258" s="8"/>
      <c r="H258" s="8"/>
      <c r="I258" s="7"/>
      <c r="J258" s="16"/>
      <c r="K258" s="99">
        <v>937</v>
      </c>
      <c r="L258" s="99" t="s">
        <v>1404</v>
      </c>
      <c r="M258" s="97" t="s">
        <v>122</v>
      </c>
      <c r="N258" s="57" t="s">
        <v>122</v>
      </c>
      <c r="O258" s="16">
        <f ca="1">IF($P258&lt;&gt;"", DATEDIF($P258,TODAY(),"y"), "")</f>
        <v>8</v>
      </c>
      <c r="P258" s="48">
        <v>42972</v>
      </c>
      <c r="Q258" s="8" t="s">
        <v>1403</v>
      </c>
      <c r="R258" s="8"/>
      <c r="S258" s="107" t="s">
        <v>823</v>
      </c>
      <c r="T258" s="7"/>
      <c r="U258" s="7"/>
      <c r="V258" s="7"/>
      <c r="W258" s="7"/>
      <c r="X258" s="7"/>
      <c r="Y258" s="7"/>
      <c r="Z258" s="7"/>
      <c r="AA258" s="7"/>
      <c r="AB258" s="7" t="s">
        <v>1526</v>
      </c>
      <c r="AC258" s="7"/>
      <c r="AD258" s="8"/>
      <c r="AE258" s="33"/>
      <c r="AF258" s="110" t="s">
        <v>1662</v>
      </c>
    </row>
    <row r="259" spans="1:32" x14ac:dyDescent="0.25">
      <c r="A259" s="40" t="s">
        <v>343</v>
      </c>
      <c r="B259" s="40" t="s">
        <v>459</v>
      </c>
      <c r="C259" s="42" t="s">
        <v>222</v>
      </c>
      <c r="D259" s="42" t="s">
        <v>459</v>
      </c>
      <c r="E259" s="27" t="str">
        <f>CONCATENATE($C259," ",$D259)</f>
        <v>Nick Woeste</v>
      </c>
      <c r="F259" s="16" t="s">
        <v>460</v>
      </c>
      <c r="G259" s="16" t="s">
        <v>302</v>
      </c>
      <c r="H259" s="16" t="s">
        <v>115</v>
      </c>
      <c r="I259" s="17">
        <v>45458</v>
      </c>
      <c r="J259" s="16" t="str">
        <f>IF($G259&lt;&gt;"",CONCATENATE($G259,", ",$H259," ",$I259),"")</f>
        <v>Centerville , OH 45458</v>
      </c>
      <c r="K259" s="17">
        <v>937</v>
      </c>
      <c r="L259" s="17" t="s">
        <v>461</v>
      </c>
      <c r="M259" s="38" t="s">
        <v>144</v>
      </c>
      <c r="N259" s="38" t="s">
        <v>144</v>
      </c>
      <c r="O259" s="16">
        <f ca="1">IF($P259&lt;&gt;"", DATEDIF($P259,TODAY(),"y"), "")</f>
        <v>41</v>
      </c>
      <c r="P259" s="46">
        <v>31205</v>
      </c>
      <c r="Q259" s="14" t="s">
        <v>99</v>
      </c>
      <c r="R259" s="8"/>
      <c r="S259" s="107" t="s">
        <v>828</v>
      </c>
      <c r="T259" s="17" t="s">
        <v>826</v>
      </c>
      <c r="U259" s="17" t="s">
        <v>8</v>
      </c>
      <c r="V259" s="17"/>
      <c r="W259" s="21"/>
      <c r="X259" s="21"/>
      <c r="Y259" s="17"/>
      <c r="Z259" s="17"/>
      <c r="AA259" s="17"/>
      <c r="AB259" s="18"/>
      <c r="AC259" s="18" t="s">
        <v>1526</v>
      </c>
      <c r="AD259" s="19"/>
      <c r="AE259" s="32"/>
      <c r="AF259" s="110" t="s">
        <v>1662</v>
      </c>
    </row>
    <row r="260" spans="1:32" x14ac:dyDescent="0.25">
      <c r="A260" s="40" t="s">
        <v>1099</v>
      </c>
      <c r="B260" s="40" t="s">
        <v>1100</v>
      </c>
      <c r="C260" s="42" t="s">
        <v>776</v>
      </c>
      <c r="D260" s="42" t="s">
        <v>1100</v>
      </c>
      <c r="E260" s="27" t="str">
        <f>CONCATENATE($C260," ",$D260)</f>
        <v>Parker Wright</v>
      </c>
      <c r="F260" s="16" t="s">
        <v>1101</v>
      </c>
      <c r="G260" s="16" t="s">
        <v>137</v>
      </c>
      <c r="H260" s="16" t="s">
        <v>115</v>
      </c>
      <c r="I260" s="17">
        <v>45835</v>
      </c>
      <c r="J260" s="16" t="str">
        <f>IF($G260&lt;&gt;"",CONCATENATE($G260,", ",$H260," ",$I260),"")</f>
        <v>Xenia, OH 45835</v>
      </c>
      <c r="K260" s="17">
        <v>937</v>
      </c>
      <c r="L260" s="17" t="s">
        <v>1102</v>
      </c>
      <c r="M260" s="38"/>
      <c r="N260" s="38"/>
      <c r="O260" s="16">
        <f ca="1">IF($P260&lt;&gt;"", DATEDIF($P260,TODAY(),"y"), "")</f>
        <v>10</v>
      </c>
      <c r="P260" s="46">
        <v>42259</v>
      </c>
      <c r="Q260" s="62" t="s">
        <v>1103</v>
      </c>
      <c r="R260" s="8"/>
      <c r="S260" s="17" t="s">
        <v>823</v>
      </c>
      <c r="T260" s="17" t="s">
        <v>823</v>
      </c>
      <c r="U260" s="17" t="s">
        <v>9</v>
      </c>
      <c r="V260" s="17"/>
      <c r="W260" s="17"/>
      <c r="X260" s="17"/>
      <c r="Y260" s="17"/>
      <c r="Z260" s="17"/>
      <c r="AA260" s="17"/>
      <c r="AB260" s="17"/>
      <c r="AC260" s="17"/>
      <c r="AD260" s="16"/>
      <c r="AE260" s="32"/>
      <c r="AF260" s="7"/>
    </row>
    <row r="261" spans="1:32" x14ac:dyDescent="0.25">
      <c r="A261" s="41" t="s">
        <v>911</v>
      </c>
      <c r="B261" s="41" t="s">
        <v>910</v>
      </c>
      <c r="C261" s="39" t="s">
        <v>909</v>
      </c>
      <c r="D261" s="39" t="s">
        <v>910</v>
      </c>
      <c r="E261" s="27" t="str">
        <f>CONCATENATE($C261," ",$D261)</f>
        <v>Ben Wyers</v>
      </c>
      <c r="F261" s="8" t="s">
        <v>912</v>
      </c>
      <c r="G261" s="8" t="s">
        <v>118</v>
      </c>
      <c r="H261" s="8" t="s">
        <v>115</v>
      </c>
      <c r="I261" s="7">
        <v>45066</v>
      </c>
      <c r="J261" s="16" t="str">
        <f>IF($G261&lt;&gt;"",CONCATENATE($G261,", ",$H261," ",$I261),"")</f>
        <v>Springboro, OH 45066</v>
      </c>
      <c r="K261" s="99">
        <v>330</v>
      </c>
      <c r="L261" s="99" t="s">
        <v>913</v>
      </c>
      <c r="M261" s="39"/>
      <c r="N261" s="39"/>
      <c r="O261" s="16">
        <f ca="1">IF($P261&lt;&gt;"", DATEDIF($P261,TODAY(),"y"), "")</f>
        <v>19</v>
      </c>
      <c r="P261" s="46">
        <v>39233</v>
      </c>
      <c r="Q261" s="58" t="s">
        <v>914</v>
      </c>
      <c r="R261" s="8"/>
      <c r="S261" s="17"/>
      <c r="T261" s="17"/>
      <c r="U261" s="17"/>
      <c r="V261" s="7"/>
      <c r="W261" s="7"/>
      <c r="X261" s="7"/>
      <c r="Y261" s="7"/>
      <c r="Z261" s="7"/>
      <c r="AA261" s="7"/>
      <c r="AB261" s="7"/>
      <c r="AC261" s="7"/>
      <c r="AD261" s="8"/>
      <c r="AE261" s="33"/>
      <c r="AF261" s="7"/>
    </row>
    <row r="262" spans="1:32" x14ac:dyDescent="0.25">
      <c r="A262" s="40" t="s">
        <v>462</v>
      </c>
      <c r="B262" s="40" t="s">
        <v>463</v>
      </c>
      <c r="C262" s="42" t="s">
        <v>124</v>
      </c>
      <c r="D262" s="42" t="s">
        <v>463</v>
      </c>
      <c r="E262" s="27" t="str">
        <f>CONCATENATE($C262," ",$D262)</f>
        <v>Jeremy Wysong</v>
      </c>
      <c r="F262" s="16" t="s">
        <v>464</v>
      </c>
      <c r="G262" s="16" t="s">
        <v>118</v>
      </c>
      <c r="H262" s="16" t="s">
        <v>115</v>
      </c>
      <c r="I262" s="17">
        <v>45066</v>
      </c>
      <c r="J262" s="16" t="str">
        <f>IF($G262&lt;&gt;"",CONCATENATE($G262,", ",$H262," ",$I262),"")</f>
        <v>Springboro, OH 45066</v>
      </c>
      <c r="K262" s="17">
        <v>937</v>
      </c>
      <c r="L262" s="17" t="s">
        <v>465</v>
      </c>
      <c r="M262" s="97" t="s">
        <v>144</v>
      </c>
      <c r="N262" s="97" t="s">
        <v>144</v>
      </c>
      <c r="O262" s="16">
        <f ca="1">IF($P262&lt;&gt;"", DATEDIF($P262,TODAY(),"y"), "")</f>
        <v>36</v>
      </c>
      <c r="P262" s="46">
        <v>32810</v>
      </c>
      <c r="Q262" s="14" t="s">
        <v>100</v>
      </c>
      <c r="R262" s="8"/>
      <c r="S262" s="107" t="s">
        <v>834</v>
      </c>
      <c r="T262" s="17" t="s">
        <v>1034</v>
      </c>
      <c r="U262" s="17" t="s">
        <v>1034</v>
      </c>
      <c r="V262" s="17"/>
      <c r="W262" s="21"/>
      <c r="X262" s="21"/>
      <c r="Y262" s="17"/>
      <c r="Z262" s="17"/>
      <c r="AA262" s="17"/>
      <c r="AB262" s="18" t="s">
        <v>1526</v>
      </c>
      <c r="AC262" s="18"/>
      <c r="AD262" s="16"/>
      <c r="AE262" s="31"/>
      <c r="AF262" s="110" t="s">
        <v>1662</v>
      </c>
    </row>
    <row r="263" spans="1:32" x14ac:dyDescent="0.25">
      <c r="A263" s="40" t="s">
        <v>466</v>
      </c>
      <c r="B263" s="40" t="s">
        <v>467</v>
      </c>
      <c r="C263" s="42" t="s">
        <v>468</v>
      </c>
      <c r="D263" s="42" t="s">
        <v>467</v>
      </c>
      <c r="E263" s="27" t="str">
        <f>CONCATENATE($C263," ",$D263)</f>
        <v>Javon Yoakum</v>
      </c>
      <c r="F263" s="16" t="s">
        <v>469</v>
      </c>
      <c r="G263" s="16" t="s">
        <v>154</v>
      </c>
      <c r="H263" s="16" t="s">
        <v>115</v>
      </c>
      <c r="I263" s="17">
        <v>45430</v>
      </c>
      <c r="J263" s="16" t="str">
        <f>IF($G263&lt;&gt;"",CONCATENATE($G263,", ",$H263," ",$I263),"")</f>
        <v>Beavercreek, OH 45430</v>
      </c>
      <c r="K263" s="17">
        <v>937</v>
      </c>
      <c r="L263" s="17" t="s">
        <v>470</v>
      </c>
      <c r="M263" s="97" t="s">
        <v>144</v>
      </c>
      <c r="N263" s="97" t="s">
        <v>971</v>
      </c>
      <c r="O263" s="16">
        <f ca="1">IF($P263&lt;&gt;"", DATEDIF($P263,TODAY(),"y"), "")</f>
        <v>29</v>
      </c>
      <c r="P263" s="46">
        <v>35431</v>
      </c>
      <c r="Q263" s="61" t="s">
        <v>1522</v>
      </c>
      <c r="R263" s="8"/>
      <c r="S263" s="107" t="s">
        <v>834</v>
      </c>
      <c r="T263" s="17" t="s">
        <v>828</v>
      </c>
      <c r="U263" s="17" t="s">
        <v>10</v>
      </c>
      <c r="V263" s="17"/>
      <c r="W263" s="21"/>
      <c r="X263" s="21"/>
      <c r="Y263" s="17"/>
      <c r="Z263" s="17"/>
      <c r="AA263" s="17"/>
      <c r="AB263" s="18" t="s">
        <v>1526</v>
      </c>
      <c r="AC263" s="18"/>
      <c r="AD263" s="19"/>
      <c r="AE263" s="31"/>
      <c r="AF263" s="110" t="s">
        <v>1662</v>
      </c>
    </row>
    <row r="264" spans="1:32" x14ac:dyDescent="0.25">
      <c r="A264" s="40" t="s">
        <v>466</v>
      </c>
      <c r="B264" s="40" t="s">
        <v>467</v>
      </c>
      <c r="C264" s="42" t="s">
        <v>471</v>
      </c>
      <c r="D264" s="42" t="s">
        <v>467</v>
      </c>
      <c r="E264" s="27" t="str">
        <f>CONCATENATE($C264," ",$D264)</f>
        <v>Karron Yoakum</v>
      </c>
      <c r="F264" s="16" t="s">
        <v>469</v>
      </c>
      <c r="G264" s="16" t="s">
        <v>154</v>
      </c>
      <c r="H264" s="16" t="s">
        <v>115</v>
      </c>
      <c r="I264" s="17">
        <v>45430</v>
      </c>
      <c r="J264" s="16" t="str">
        <f>IF($G264&lt;&gt;"",CONCATENATE($G264,", ",$H264," ",$I264),"")</f>
        <v>Beavercreek, OH 45430</v>
      </c>
      <c r="K264" s="17">
        <v>937</v>
      </c>
      <c r="L264" s="17" t="s">
        <v>470</v>
      </c>
      <c r="M264" s="97" t="s">
        <v>971</v>
      </c>
      <c r="N264" s="97" t="s">
        <v>971</v>
      </c>
      <c r="O264" s="16">
        <f ca="1">IF($P264&lt;&gt;"", DATEDIF($P264,TODAY(),"y"), "")</f>
        <v>27</v>
      </c>
      <c r="P264" s="46">
        <v>36197</v>
      </c>
      <c r="Q264" s="61" t="s">
        <v>1523</v>
      </c>
      <c r="R264" s="8"/>
      <c r="S264" s="107" t="s">
        <v>827</v>
      </c>
      <c r="T264" s="17" t="s">
        <v>834</v>
      </c>
      <c r="U264" s="17" t="s">
        <v>10</v>
      </c>
      <c r="V264" s="17"/>
      <c r="W264" s="21"/>
      <c r="X264" s="21"/>
      <c r="Y264" s="17"/>
      <c r="Z264" s="17"/>
      <c r="AA264" s="17"/>
      <c r="AB264" s="18" t="s">
        <v>1526</v>
      </c>
      <c r="AC264" s="18"/>
      <c r="AD264" s="19"/>
      <c r="AE264" s="31"/>
      <c r="AF264" s="110" t="s">
        <v>1662</v>
      </c>
    </row>
    <row r="265" spans="1:32" x14ac:dyDescent="0.25">
      <c r="A265" s="41" t="s">
        <v>622</v>
      </c>
      <c r="B265" s="41" t="s">
        <v>623</v>
      </c>
      <c r="C265" s="39" t="s">
        <v>528</v>
      </c>
      <c r="D265" s="39" t="s">
        <v>623</v>
      </c>
      <c r="E265" s="27" t="str">
        <f>CONCATENATE($C265," ",$D265)</f>
        <v>Andrew Zecchini</v>
      </c>
      <c r="F265" s="8" t="s">
        <v>624</v>
      </c>
      <c r="G265" s="8" t="s">
        <v>118</v>
      </c>
      <c r="H265" s="8" t="s">
        <v>115</v>
      </c>
      <c r="I265" s="7">
        <v>45066</v>
      </c>
      <c r="J265" s="16" t="str">
        <f>IF($G265&lt;&gt;"",CONCATENATE($G265,", ",$H265," ",$I265),"")</f>
        <v>Springboro, OH 45066</v>
      </c>
      <c r="K265" s="17">
        <v>937</v>
      </c>
      <c r="L265" s="17" t="s">
        <v>625</v>
      </c>
      <c r="M265" s="97" t="s">
        <v>181</v>
      </c>
      <c r="N265" s="97" t="s">
        <v>116</v>
      </c>
      <c r="O265" s="16">
        <f ca="1">IF($P265&lt;&gt;"", DATEDIF($P265,TODAY(),"y"), "")</f>
        <v>14</v>
      </c>
      <c r="P265" s="46">
        <v>40991</v>
      </c>
      <c r="Q265" s="8" t="s">
        <v>626</v>
      </c>
      <c r="R265" s="8" t="s">
        <v>627</v>
      </c>
      <c r="S265" s="107" t="s">
        <v>826</v>
      </c>
      <c r="T265" s="17" t="s">
        <v>817</v>
      </c>
      <c r="U265" s="17" t="s">
        <v>8</v>
      </c>
      <c r="V265" s="7"/>
      <c r="W265" s="21"/>
      <c r="X265" s="21"/>
      <c r="Y265" s="17"/>
      <c r="Z265" s="17"/>
      <c r="AA265" s="17"/>
      <c r="AB265" s="18" t="s">
        <v>1526</v>
      </c>
      <c r="AC265" s="18"/>
      <c r="AD265" s="8"/>
      <c r="AE265" s="33"/>
      <c r="AF265" s="110" t="s">
        <v>1662</v>
      </c>
    </row>
    <row r="266" spans="1:32" x14ac:dyDescent="0.25">
      <c r="A266" s="40" t="s">
        <v>472</v>
      </c>
      <c r="B266" s="40" t="s">
        <v>473</v>
      </c>
      <c r="C266" s="42" t="s">
        <v>474</v>
      </c>
      <c r="D266" s="42" t="s">
        <v>473</v>
      </c>
      <c r="E266" s="27" t="str">
        <f>CONCATENATE($C266," ",$D266)</f>
        <v>Jessica Zimmerman</v>
      </c>
      <c r="F266" s="16" t="s">
        <v>475</v>
      </c>
      <c r="G266" s="16" t="s">
        <v>125</v>
      </c>
      <c r="H266" s="16" t="s">
        <v>115</v>
      </c>
      <c r="I266" s="17">
        <v>45420</v>
      </c>
      <c r="J266" s="16" t="str">
        <f>IF($G266&lt;&gt;"",CONCATENATE($G266,", ",$H266," ",$I266),"")</f>
        <v>Kettering, OH 45420</v>
      </c>
      <c r="K266" s="17">
        <v>937</v>
      </c>
      <c r="L266" s="17" t="s">
        <v>476</v>
      </c>
      <c r="M266" s="97" t="s">
        <v>144</v>
      </c>
      <c r="N266" s="97" t="s">
        <v>144</v>
      </c>
      <c r="O266" s="16">
        <f ca="1">IF($P266&lt;&gt;"", DATEDIF($P266,TODAY(),"y"), "")</f>
        <v>46</v>
      </c>
      <c r="P266" s="46">
        <v>29073</v>
      </c>
      <c r="Q266" s="14" t="s">
        <v>101</v>
      </c>
      <c r="R266" s="8"/>
      <c r="S266" s="107" t="s">
        <v>826</v>
      </c>
      <c r="T266" s="17" t="s">
        <v>1034</v>
      </c>
      <c r="U266" s="17" t="s">
        <v>8</v>
      </c>
      <c r="V266" s="17"/>
      <c r="W266" s="21"/>
      <c r="X266" s="21"/>
      <c r="Y266" s="17"/>
      <c r="Z266" s="17"/>
      <c r="AA266" s="17"/>
      <c r="AB266" s="18" t="s">
        <v>1526</v>
      </c>
      <c r="AC266" s="18"/>
      <c r="AD266" s="19"/>
      <c r="AE266" s="32"/>
      <c r="AF266" s="110" t="s">
        <v>1662</v>
      </c>
    </row>
    <row r="267" spans="1:32" x14ac:dyDescent="0.25">
      <c r="A267" s="40" t="s">
        <v>978</v>
      </c>
      <c r="B267" s="40" t="s">
        <v>979</v>
      </c>
      <c r="C267" s="42" t="s">
        <v>974</v>
      </c>
      <c r="D267" s="42" t="s">
        <v>979</v>
      </c>
      <c r="E267" s="27" t="str">
        <f>CONCATENATE($C267," ",$D267)</f>
        <v>Lucas Zwiers</v>
      </c>
      <c r="F267" s="16" t="s">
        <v>975</v>
      </c>
      <c r="G267" s="16" t="s">
        <v>432</v>
      </c>
      <c r="H267" s="16" t="s">
        <v>115</v>
      </c>
      <c r="I267" s="17">
        <v>45449</v>
      </c>
      <c r="J267" s="16" t="str">
        <f>IF($G267&lt;&gt;"",CONCATENATE($G267,", ",$H267," ",$I267),"")</f>
        <v>West Carrollton, OH 45449</v>
      </c>
      <c r="K267" s="17">
        <v>937</v>
      </c>
      <c r="L267" s="17" t="s">
        <v>976</v>
      </c>
      <c r="M267" s="39" t="s">
        <v>122</v>
      </c>
      <c r="N267" s="39"/>
      <c r="O267" s="16">
        <f ca="1">IF($P267&lt;&gt;"", DATEDIF($P267,TODAY(),"y"), "")</f>
        <v>9</v>
      </c>
      <c r="P267" s="46">
        <v>42634</v>
      </c>
      <c r="Q267" s="14" t="s">
        <v>977</v>
      </c>
      <c r="R267" s="8" t="s">
        <v>1546</v>
      </c>
      <c r="S267" s="107" t="s">
        <v>823</v>
      </c>
      <c r="T267" s="17" t="s">
        <v>1034</v>
      </c>
      <c r="U267" s="17" t="s">
        <v>1034</v>
      </c>
      <c r="V267" s="17"/>
      <c r="W267" s="21"/>
      <c r="X267" s="21"/>
      <c r="Y267" s="17"/>
      <c r="Z267" s="17"/>
      <c r="AA267" s="17"/>
      <c r="AB267" s="18" t="s">
        <v>1526</v>
      </c>
      <c r="AC267" s="18"/>
      <c r="AD267" s="19"/>
      <c r="AE267" s="31"/>
      <c r="AF267" s="110" t="s">
        <v>1662</v>
      </c>
    </row>
    <row r="268" spans="1:32" x14ac:dyDescent="0.25">
      <c r="A268" s="41"/>
      <c r="B268" s="41"/>
      <c r="C268" s="39"/>
      <c r="D268" s="39"/>
      <c r="E268" s="27"/>
      <c r="F268" s="8"/>
      <c r="G268" s="8"/>
      <c r="H268" s="8"/>
      <c r="I268" s="7"/>
      <c r="J268" s="16" t="str">
        <f>IF($G268&lt;&gt;"",CONCATENATE($G268,", ",$H268," ",$I268),"")</f>
        <v/>
      </c>
      <c r="K268" s="99"/>
      <c r="L268" s="99"/>
      <c r="M268" s="39"/>
      <c r="N268" s="8"/>
      <c r="O268" s="16" t="str">
        <f ca="1">IF($P268&lt;&gt;"", DATEDIF($P268,TODAY(),"y"), "")</f>
        <v/>
      </c>
      <c r="P268" s="47"/>
      <c r="Q268" s="14"/>
      <c r="R268" s="8"/>
      <c r="S268" s="7"/>
      <c r="T268" s="7"/>
      <c r="U268" s="7"/>
      <c r="V268" s="7"/>
      <c r="W268" s="7"/>
      <c r="X268" s="7"/>
      <c r="Y268" s="7"/>
      <c r="Z268" s="7"/>
      <c r="AA268" s="7"/>
      <c r="AB268" s="7"/>
      <c r="AC268" s="7"/>
      <c r="AD268" s="8"/>
      <c r="AE268" s="33"/>
      <c r="AF268" s="7"/>
    </row>
    <row r="269" spans="1:32" x14ac:dyDescent="0.25">
      <c r="A269" s="41"/>
      <c r="B269" s="41"/>
      <c r="C269" s="39"/>
      <c r="D269" s="39"/>
      <c r="E269" s="27"/>
      <c r="F269" s="8"/>
      <c r="G269" s="8"/>
      <c r="H269" s="8"/>
      <c r="I269" s="7"/>
      <c r="J269" s="16" t="str">
        <f>IF($G269&lt;&gt;"",CONCATENATE($G269,", ",$H269," ",$I269),"")</f>
        <v/>
      </c>
      <c r="K269" s="99"/>
      <c r="L269" s="99"/>
      <c r="M269" s="39"/>
      <c r="N269" s="8"/>
      <c r="O269" s="16" t="str">
        <f ca="1">IF($P269&lt;&gt;"", DATEDIF($P269,TODAY(),"y"), "")</f>
        <v/>
      </c>
      <c r="P269" s="47"/>
      <c r="Q269" s="14"/>
      <c r="R269" s="8"/>
      <c r="S269" s="7"/>
      <c r="T269" s="7"/>
      <c r="U269" s="7"/>
      <c r="V269" s="7"/>
      <c r="W269" s="7"/>
      <c r="X269" s="7"/>
      <c r="Y269" s="7"/>
      <c r="Z269" s="7"/>
      <c r="AA269" s="7"/>
      <c r="AB269" s="7"/>
      <c r="AC269" s="7"/>
      <c r="AD269" s="8"/>
      <c r="AE269" s="33"/>
      <c r="AF269" s="7"/>
    </row>
    <row r="270" spans="1:32" x14ac:dyDescent="0.25">
      <c r="A270" s="41"/>
      <c r="B270" s="41"/>
      <c r="C270" s="39"/>
      <c r="D270" s="39"/>
      <c r="E270" s="27"/>
      <c r="F270" s="8"/>
      <c r="G270" s="8"/>
      <c r="H270" s="8"/>
      <c r="I270" s="7"/>
      <c r="J270" s="16" t="str">
        <f>IF($G270&lt;&gt;"",CONCATENATE($G270,", ",$H270," ",$I270),"")</f>
        <v/>
      </c>
      <c r="K270" s="99"/>
      <c r="L270" s="99"/>
      <c r="M270" s="39"/>
      <c r="N270" s="8"/>
      <c r="O270" s="16" t="str">
        <f ca="1">IF($P270&lt;&gt;"", DATEDIF($P270,TODAY(),"y"), "")</f>
        <v/>
      </c>
      <c r="P270" s="47"/>
      <c r="Q270" s="14"/>
      <c r="R270" s="8"/>
      <c r="S270" s="7"/>
      <c r="T270" s="7"/>
      <c r="U270" s="7"/>
      <c r="V270" s="7"/>
      <c r="W270" s="7"/>
      <c r="X270" s="7"/>
      <c r="Y270" s="7"/>
      <c r="Z270" s="7"/>
      <c r="AA270" s="7"/>
      <c r="AB270" s="7"/>
      <c r="AC270" s="7"/>
      <c r="AD270" s="8"/>
      <c r="AE270" s="33"/>
      <c r="AF270" s="7"/>
    </row>
    <row r="271" spans="1:32" x14ac:dyDescent="0.25">
      <c r="A271" s="41"/>
      <c r="B271" s="41"/>
      <c r="C271" s="39"/>
      <c r="D271" s="39"/>
      <c r="E271" s="27"/>
      <c r="F271" s="8"/>
      <c r="G271" s="8"/>
      <c r="H271" s="8"/>
      <c r="I271" s="7"/>
      <c r="J271" s="16" t="str">
        <f t="shared" ref="J259:J272" si="0">IF($G271&lt;&gt;"",CONCATENATE($G271,", ",$H271," ",$I271),"")</f>
        <v/>
      </c>
      <c r="K271" s="99"/>
      <c r="L271" s="99"/>
      <c r="M271" s="39"/>
      <c r="N271" s="8"/>
      <c r="O271" s="16" t="str">
        <f t="shared" ref="O242:O272" ca="1" si="1">IF($P271&lt;&gt;"", DATEDIF($P271,TODAY(),"y"), "")</f>
        <v/>
      </c>
      <c r="P271" s="47"/>
      <c r="Q271" s="14"/>
      <c r="R271" s="8"/>
      <c r="S271" s="7"/>
      <c r="T271" s="7"/>
      <c r="U271" s="7"/>
      <c r="V271" s="7"/>
      <c r="W271" s="7"/>
      <c r="X271" s="7"/>
      <c r="Y271" s="7"/>
      <c r="Z271" s="7"/>
      <c r="AA271" s="7"/>
      <c r="AB271" s="7"/>
      <c r="AC271" s="7"/>
      <c r="AD271" s="8"/>
      <c r="AE271" s="33"/>
      <c r="AF271" s="7"/>
    </row>
    <row r="272" spans="1:32" x14ac:dyDescent="0.25">
      <c r="A272" s="41"/>
      <c r="B272" s="41"/>
      <c r="C272" s="39"/>
      <c r="D272" s="39"/>
      <c r="E272" s="27"/>
      <c r="F272" s="8"/>
      <c r="G272" s="8"/>
      <c r="H272" s="8"/>
      <c r="I272" s="7"/>
      <c r="J272" s="16" t="str">
        <f t="shared" si="0"/>
        <v/>
      </c>
      <c r="K272" s="99"/>
      <c r="L272" s="99"/>
      <c r="M272" s="39"/>
      <c r="N272" s="8"/>
      <c r="O272" s="16" t="str">
        <f t="shared" ca="1" si="1"/>
        <v/>
      </c>
      <c r="P272" s="47"/>
      <c r="Q272" s="14"/>
      <c r="R272" s="8"/>
      <c r="S272" s="7"/>
      <c r="T272" s="7"/>
      <c r="U272" s="7"/>
      <c r="V272" s="7"/>
      <c r="W272" s="7"/>
      <c r="X272" s="7"/>
      <c r="Y272" s="7"/>
      <c r="Z272" s="7"/>
      <c r="AA272" s="7"/>
      <c r="AB272" s="7"/>
      <c r="AC272" s="7"/>
      <c r="AD272" s="8"/>
      <c r="AE272" s="33"/>
      <c r="AF272" s="7"/>
    </row>
    <row r="273" spans="2:2" x14ac:dyDescent="0.25">
      <c r="B273" t="s">
        <v>1347</v>
      </c>
    </row>
    <row r="274" spans="2:2" x14ac:dyDescent="0.25">
      <c r="B274" t="s">
        <v>1270</v>
      </c>
    </row>
    <row r="275" spans="2:2" x14ac:dyDescent="0.25">
      <c r="B275" t="s">
        <v>1269</v>
      </c>
    </row>
  </sheetData>
  <autoFilter ref="A1:AJ275" xr:uid="{00000000-0009-0000-0000-000000000000}">
    <sortState xmlns:xlrd2="http://schemas.microsoft.com/office/spreadsheetml/2017/richdata2" ref="A2:AJ275">
      <sortCondition ref="D1:D275"/>
    </sortState>
  </autoFilter>
  <sortState xmlns:xlrd2="http://schemas.microsoft.com/office/spreadsheetml/2017/richdata2" ref="A2:AE270">
    <sortCondition ref="D2:D270"/>
    <sortCondition ref="C2:C270"/>
  </sortState>
  <phoneticPr fontId="26" type="noConversion"/>
  <hyperlinks>
    <hyperlink ref="Q221" r:id="rId1" xr:uid="{00000000-0004-0000-0000-000000000000}"/>
    <hyperlink ref="R221" r:id="rId2" xr:uid="{00000000-0004-0000-0000-000001000000}"/>
    <hyperlink ref="Q49" r:id="rId3" xr:uid="{00000000-0004-0000-0000-000002000000}"/>
    <hyperlink ref="R49" r:id="rId4" xr:uid="{00000000-0004-0000-0000-000003000000}"/>
    <hyperlink ref="Q138" r:id="rId5" xr:uid="{00000000-0004-0000-0000-000004000000}"/>
    <hyperlink ref="R138" r:id="rId6" xr:uid="{00000000-0004-0000-0000-000005000000}"/>
    <hyperlink ref="Q191" r:id="rId7" xr:uid="{00000000-0004-0000-0000-000006000000}"/>
    <hyperlink ref="Q223" r:id="rId8" xr:uid="{00000000-0004-0000-0000-000007000000}"/>
    <hyperlink ref="Q213" r:id="rId9" xr:uid="{00000000-0004-0000-0000-000008000000}"/>
    <hyperlink ref="Q211" r:id="rId10" xr:uid="{00000000-0004-0000-0000-000009000000}"/>
    <hyperlink ref="R211" r:id="rId11" xr:uid="{00000000-0004-0000-0000-00000A000000}"/>
    <hyperlink ref="Q130" r:id="rId12" xr:uid="{00000000-0004-0000-0000-00000B000000}"/>
    <hyperlink ref="R130" r:id="rId13" xr:uid="{00000000-0004-0000-0000-00000C000000}"/>
    <hyperlink ref="Q89" r:id="rId14" xr:uid="{00000000-0004-0000-0000-00000D000000}"/>
    <hyperlink ref="Q61" r:id="rId15" xr:uid="{00000000-0004-0000-0000-00000E000000}"/>
    <hyperlink ref="R61" r:id="rId16" xr:uid="{00000000-0004-0000-0000-00000F000000}"/>
    <hyperlink ref="Q101" r:id="rId17" xr:uid="{00000000-0004-0000-0000-000010000000}"/>
    <hyperlink ref="Q120" r:id="rId18" xr:uid="{00000000-0004-0000-0000-000011000000}"/>
    <hyperlink ref="Q227" r:id="rId19" xr:uid="{00000000-0004-0000-0000-000012000000}"/>
    <hyperlink ref="Q237" r:id="rId20" xr:uid="{00000000-0004-0000-0000-000013000000}"/>
    <hyperlink ref="Q239" r:id="rId21" xr:uid="{00000000-0004-0000-0000-000014000000}"/>
    <hyperlink ref="Q43" r:id="rId22" xr:uid="{00000000-0004-0000-0000-000015000000}"/>
    <hyperlink ref="Q107" r:id="rId23" xr:uid="{00000000-0004-0000-0000-000016000000}"/>
    <hyperlink ref="Q64" r:id="rId24" xr:uid="{00000000-0004-0000-0000-000017000000}"/>
    <hyperlink ref="Q199" r:id="rId25" xr:uid="{00000000-0004-0000-0000-000018000000}"/>
    <hyperlink ref="Q142" r:id="rId26" xr:uid="{00000000-0004-0000-0000-000019000000}"/>
    <hyperlink ref="Q62" r:id="rId27" xr:uid="{00000000-0004-0000-0000-00001A000000}"/>
    <hyperlink ref="Q154" r:id="rId28" xr:uid="{00000000-0004-0000-0000-00001B000000}"/>
    <hyperlink ref="Q171" r:id="rId29" xr:uid="{00000000-0004-0000-0000-00001C000000}"/>
    <hyperlink ref="Q8" r:id="rId30" xr:uid="{00000000-0004-0000-0000-00001D000000}"/>
    <hyperlink ref="Q12" r:id="rId31" xr:uid="{00000000-0004-0000-0000-00001E000000}"/>
    <hyperlink ref="Q251" r:id="rId32" xr:uid="{00000000-0004-0000-0000-00001F000000}"/>
    <hyperlink ref="Q10" r:id="rId33" xr:uid="{00000000-0004-0000-0000-000020000000}"/>
    <hyperlink ref="Q53" r:id="rId34" xr:uid="{00000000-0004-0000-0000-000021000000}"/>
    <hyperlink ref="Q79" r:id="rId35" xr:uid="{00000000-0004-0000-0000-000022000000}"/>
    <hyperlink ref="Q82" r:id="rId36" xr:uid="{00000000-0004-0000-0000-000023000000}"/>
    <hyperlink ref="Q133" r:id="rId37" xr:uid="{00000000-0004-0000-0000-000024000000}"/>
    <hyperlink ref="R170" r:id="rId38" xr:uid="{00000000-0004-0000-0000-000025000000}"/>
    <hyperlink ref="Q219" r:id="rId39" xr:uid="{00000000-0004-0000-0000-000026000000}"/>
    <hyperlink ref="Q230" r:id="rId40" xr:uid="{00000000-0004-0000-0000-000027000000}"/>
    <hyperlink ref="Q46" r:id="rId41" xr:uid="{00000000-0004-0000-0000-000028000000}"/>
    <hyperlink ref="Q119" r:id="rId42" xr:uid="{00000000-0004-0000-0000-000029000000}"/>
    <hyperlink ref="Q149" r:id="rId43" xr:uid="{00000000-0004-0000-0000-00002A000000}"/>
    <hyperlink ref="Q168" r:id="rId44" xr:uid="{00000000-0004-0000-0000-00002B000000}"/>
    <hyperlink ref="Q179" r:id="rId45" xr:uid="{00000000-0004-0000-0000-00002C000000}"/>
    <hyperlink ref="Q248" r:id="rId46" xr:uid="{00000000-0004-0000-0000-00002D000000}"/>
    <hyperlink ref="Q182" r:id="rId47" xr:uid="{00000000-0004-0000-0000-00002E000000}"/>
    <hyperlink ref="Q261" r:id="rId48" xr:uid="{00000000-0004-0000-0000-00002F000000}"/>
    <hyperlink ref="R14" r:id="rId49" xr:uid="{00000000-0004-0000-0000-000030000000}"/>
    <hyperlink ref="R15" r:id="rId50" xr:uid="{00000000-0004-0000-0000-000031000000}"/>
    <hyperlink ref="Q162" r:id="rId51" xr:uid="{00000000-0004-0000-0000-000032000000}"/>
    <hyperlink ref="Q84" r:id="rId52" xr:uid="{00000000-0004-0000-0000-000033000000}"/>
    <hyperlink ref="Q5" r:id="rId53" xr:uid="{00000000-0004-0000-0000-000034000000}"/>
    <hyperlink ref="Q200" r:id="rId54" xr:uid="{00000000-0004-0000-0000-000035000000}"/>
    <hyperlink ref="Q212" r:id="rId55" xr:uid="{00000000-0004-0000-0000-000036000000}"/>
    <hyperlink ref="Q137" r:id="rId56" xr:uid="{00000000-0004-0000-0000-000037000000}"/>
    <hyperlink ref="Q245" r:id="rId57" xr:uid="{00000000-0004-0000-0000-000038000000}"/>
    <hyperlink ref="Q267" r:id="rId58" xr:uid="{00000000-0004-0000-0000-000039000000}"/>
    <hyperlink ref="Q236" r:id="rId59" xr:uid="{00000000-0004-0000-0000-00003A000000}"/>
    <hyperlink ref="Q234" r:id="rId60" xr:uid="{00000000-0004-0000-0000-00003B000000}"/>
    <hyperlink ref="Q96" r:id="rId61" xr:uid="{00000000-0004-0000-0000-00003C000000}"/>
    <hyperlink ref="Q95" r:id="rId62" xr:uid="{00000000-0004-0000-0000-00003D000000}"/>
    <hyperlink ref="Q232" r:id="rId63" xr:uid="{00000000-0004-0000-0000-00003E000000}"/>
    <hyperlink ref="Q2" r:id="rId64" xr:uid="{00000000-0004-0000-0000-00003F000000}"/>
    <hyperlink ref="Q157" r:id="rId65" xr:uid="{00000000-0004-0000-0000-000040000000}"/>
    <hyperlink ref="Q85" r:id="rId66" xr:uid="{00000000-0004-0000-0000-000041000000}"/>
    <hyperlink ref="Q193" r:id="rId67" xr:uid="{00000000-0004-0000-0000-000042000000}"/>
    <hyperlink ref="Q158" r:id="rId68" xr:uid="{00000000-0004-0000-0000-000043000000}"/>
    <hyperlink ref="Q250" r:id="rId69" xr:uid="{00000000-0004-0000-0000-000044000000}"/>
    <hyperlink ref="Q229" r:id="rId70" xr:uid="{00000000-0004-0000-0000-000045000000}"/>
    <hyperlink ref="Q143" r:id="rId71" xr:uid="{00000000-0004-0000-0000-000046000000}"/>
    <hyperlink ref="Q121" r:id="rId72" xr:uid="{00000000-0004-0000-0000-000047000000}"/>
    <hyperlink ref="Q26" r:id="rId73" xr:uid="{00000000-0004-0000-0000-000048000000}"/>
    <hyperlink ref="Q68" r:id="rId74" xr:uid="{00000000-0004-0000-0000-000049000000}"/>
    <hyperlink ref="Q72" r:id="rId75" xr:uid="{00000000-0004-0000-0000-00004A000000}"/>
    <hyperlink ref="Q116" r:id="rId76" xr:uid="{00000000-0004-0000-0000-00004B000000}"/>
    <hyperlink ref="Q124" r:id="rId77" xr:uid="{00000000-0004-0000-0000-00004C000000}"/>
    <hyperlink ref="Q252" r:id="rId78" xr:uid="{00000000-0004-0000-0000-00004D000000}"/>
    <hyperlink ref="Q41" r:id="rId79" xr:uid="{00000000-0004-0000-0000-00004E000000}"/>
    <hyperlink ref="Q260" r:id="rId80" xr:uid="{00000000-0004-0000-0000-00004F000000}"/>
    <hyperlink ref="Q156" r:id="rId81" xr:uid="{00000000-0004-0000-0000-000050000000}"/>
    <hyperlink ref="Q178" r:id="rId82" xr:uid="{00000000-0004-0000-0000-000051000000}"/>
    <hyperlink ref="Q32" r:id="rId83" xr:uid="{00000000-0004-0000-0000-000052000000}"/>
    <hyperlink ref="Q11" r:id="rId84" xr:uid="{00000000-0004-0000-0000-000053000000}"/>
    <hyperlink ref="R19" r:id="rId85" xr:uid="{00000000-0004-0000-0000-000054000000}"/>
    <hyperlink ref="Q112" r:id="rId86" xr:uid="{00000000-0004-0000-0000-000055000000}"/>
    <hyperlink ref="Q164" r:id="rId87" xr:uid="{00000000-0004-0000-0000-000056000000}"/>
    <hyperlink ref="Q207" r:id="rId88" xr:uid="{00000000-0004-0000-0000-000057000000}"/>
    <hyperlink ref="Q263" r:id="rId89" xr:uid="{00000000-0004-0000-0000-000058000000}"/>
    <hyperlink ref="Q264" r:id="rId90" xr:uid="{00000000-0004-0000-0000-000059000000}"/>
    <hyperlink ref="Q4" r:id="rId91" xr:uid="{00000000-0004-0000-0000-00005A000000}"/>
    <hyperlink ref="Q16" r:id="rId92" xr:uid="{00000000-0004-0000-0000-00005B000000}"/>
    <hyperlink ref="Q17" r:id="rId93" xr:uid="{00000000-0004-0000-0000-00005C000000}"/>
    <hyperlink ref="Q37" r:id="rId94" xr:uid="{00000000-0004-0000-0000-00005D000000}"/>
    <hyperlink ref="Q97" r:id="rId95" xr:uid="{00000000-0004-0000-0000-00005E000000}"/>
    <hyperlink ref="Q128" r:id="rId96" xr:uid="{00000000-0004-0000-0000-00005F000000}"/>
    <hyperlink ref="Q129" r:id="rId97" xr:uid="{00000000-0004-0000-0000-000060000000}"/>
    <hyperlink ref="Q131" r:id="rId98" xr:uid="{00000000-0004-0000-0000-000061000000}"/>
    <hyperlink ref="Q217" r:id="rId99" xr:uid="{00000000-0004-0000-0000-000062000000}"/>
    <hyperlink ref="Q3" r:id="rId100" xr:uid="{00000000-0004-0000-0000-000063000000}"/>
    <hyperlink ref="Q60" r:id="rId101" xr:uid="{00000000-0004-0000-0000-000064000000}"/>
    <hyperlink ref="Q109" r:id="rId102" xr:uid="{00000000-0004-0000-0000-000065000000}"/>
    <hyperlink ref="Q203" r:id="rId103" xr:uid="{00000000-0004-0000-0000-000066000000}"/>
    <hyperlink ref="Q220" r:id="rId104" xr:uid="{00000000-0004-0000-0000-000067000000}"/>
    <hyperlink ref="Q249" r:id="rId105" xr:uid="{00000000-0004-0000-0000-000068000000}"/>
    <hyperlink ref="Q141" r:id="rId106" xr:uid="{00000000-0004-0000-0000-000069000000}"/>
    <hyperlink ref="Q186" r:id="rId107" xr:uid="{00000000-0004-0000-0000-00006A000000}"/>
    <hyperlink ref="Q134" r:id="rId108" xr:uid="{00000000-0004-0000-0000-00006B000000}"/>
    <hyperlink ref="Q254" r:id="rId109" xr:uid="{00000000-0004-0000-0000-00006C000000}"/>
    <hyperlink ref="R81" r:id="rId110" xr:uid="{00000000-0004-0000-0000-00006D000000}"/>
    <hyperlink ref="Q189" r:id="rId111" xr:uid="{00000000-0004-0000-0000-00006E000000}"/>
    <hyperlink ref="Q201" r:id="rId112" xr:uid="{00000000-0004-0000-0000-00006F000000}"/>
    <hyperlink ref="Q210" r:id="rId113" xr:uid="{00000000-0004-0000-0000-000070000000}"/>
    <hyperlink ref="Q184" r:id="rId114" xr:uid="{00000000-0004-0000-0000-000072000000}"/>
    <hyperlink ref="Q118" r:id="rId115" xr:uid="{00000000-0004-0000-0000-000073000000}"/>
    <hyperlink ref="Q110" r:id="rId116" xr:uid="{00000000-0004-0000-0000-000074000000}"/>
    <hyperlink ref="Q115" r:id="rId117" xr:uid="{00000000-0004-0000-0000-000075000000}"/>
    <hyperlink ref="Q100" r:id="rId118" xr:uid="{00000000-0004-0000-0000-000076000000}"/>
    <hyperlink ref="Q151" r:id="rId119" xr:uid="{00000000-0004-0000-0000-000077000000}"/>
    <hyperlink ref="Q28" r:id="rId120" xr:uid="{00000000-0004-0000-0000-000078000000}"/>
    <hyperlink ref="Q206" r:id="rId121" xr:uid="{00000000-0004-0000-0000-000079000000}"/>
    <hyperlink ref="Q86" r:id="rId122" xr:uid="{00000000-0004-0000-0000-00007A000000}"/>
    <hyperlink ref="Q152" r:id="rId123" xr:uid="{00000000-0004-0000-0000-00007B000000}"/>
    <hyperlink ref="R46" r:id="rId124" xr:uid="{00000000-0004-0000-0000-00007C000000}"/>
    <hyperlink ref="Q80" r:id="rId125" xr:uid="{00000000-0004-0000-0000-00007D000000}"/>
    <hyperlink ref="R256" r:id="rId126" display="smdrewry@yahoo.com" xr:uid="{00000000-0004-0000-0000-00007E000000}"/>
    <hyperlink ref="R24" r:id="rId127" xr:uid="{00000000-0004-0000-0000-00007F000000}"/>
    <hyperlink ref="Q190" r:id="rId128" xr:uid="{00000000-0004-0000-0000-000080000000}"/>
    <hyperlink ref="Q132" r:id="rId129" xr:uid="{00000000-0004-0000-0000-000081000000}"/>
    <hyperlink ref="Q224" r:id="rId130" xr:uid="{00000000-0004-0000-0000-000082000000}"/>
    <hyperlink ref="Q42" r:id="rId131" xr:uid="{00000000-0004-0000-0000-000083000000}"/>
    <hyperlink ref="Q188" r:id="rId132" xr:uid="{00000000-0004-0000-0000-000084000000}"/>
    <hyperlink ref="Q126" r:id="rId133" xr:uid="{7BF8C560-A892-44F1-84D2-AE1B48FD9934}"/>
    <hyperlink ref="Q244" r:id="rId134" xr:uid="{AE20D324-D710-4B5E-B94E-CACD7D1236D8}"/>
    <hyperlink ref="Q7" r:id="rId135" xr:uid="{F521CB87-0ADA-4974-B06C-41DD449EF3B7}"/>
    <hyperlink ref="Q185" r:id="rId136" xr:uid="{5A11C43C-90BE-4F26-ADF2-CAC7635FADF4}"/>
    <hyperlink ref="Q205" r:id="rId137" xr:uid="{72FD7DF4-CF8D-49F5-8CD3-A025CBEE2626}"/>
  </hyperlinks>
  <pageMargins left="0.7" right="0.7" top="0.75" bottom="0.75" header="0.3" footer="0.3"/>
  <pageSetup paperSize="17" scale="36" fitToHeight="0" orientation="landscape" verticalDpi="4294967293" r:id="rId138"/>
  <drawing r:id="rId139"/>
  <legacyDrawing r:id="rId140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141" name="Button 3">
              <controlPr defaultSize="0" print="0" autoFill="0" autoPict="0" macro="[0]!MasterSort">
                <anchor moveWithCells="1">
                  <from>
                    <xdr:col>0</xdr:col>
                    <xdr:colOff>0</xdr:colOff>
                    <xdr:row>272</xdr:row>
                    <xdr:rowOff>9525</xdr:rowOff>
                  </from>
                  <to>
                    <xdr:col>0</xdr:col>
                    <xdr:colOff>1352550</xdr:colOff>
                    <xdr:row>275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N59"/>
  <sheetViews>
    <sheetView workbookViewId="0">
      <pane ySplit="1" topLeftCell="A2" activePane="bottomLeft" state="frozen"/>
      <selection pane="bottomLeft" activeCell="G14" sqref="G14"/>
    </sheetView>
  </sheetViews>
  <sheetFormatPr defaultRowHeight="15" x14ac:dyDescent="0.25"/>
  <cols>
    <col min="1" max="1" width="15.85546875" customWidth="1"/>
    <col min="2" max="2" width="15" customWidth="1"/>
    <col min="3" max="3" width="13.85546875" customWidth="1"/>
    <col min="4" max="4" width="15" customWidth="1"/>
    <col min="5" max="5" width="9.42578125" customWidth="1"/>
    <col min="6" max="6" width="13" style="2" customWidth="1"/>
    <col min="7" max="7" width="9.42578125" style="2" customWidth="1"/>
    <col min="8" max="8" width="13" style="2" customWidth="1"/>
    <col min="9" max="9" width="39.42578125" style="15" customWidth="1"/>
    <col min="10" max="10" width="7" style="2" customWidth="1"/>
    <col min="11" max="11" width="10.28515625" style="2" bestFit="1" customWidth="1"/>
    <col min="12" max="12" width="10.42578125" style="2" customWidth="1"/>
    <col min="13" max="13" width="3" customWidth="1"/>
    <col min="14" max="14" width="14.42578125" customWidth="1"/>
  </cols>
  <sheetData>
    <row r="1" spans="1:14" ht="30.75" customHeight="1" x14ac:dyDescent="0.25">
      <c r="A1" s="101" t="s">
        <v>103</v>
      </c>
      <c r="B1" s="101" t="s">
        <v>104</v>
      </c>
      <c r="C1" s="101" t="s">
        <v>485</v>
      </c>
      <c r="D1" s="101" t="s">
        <v>496</v>
      </c>
      <c r="E1" s="101" t="s">
        <v>107</v>
      </c>
      <c r="F1" s="101" t="s">
        <v>108</v>
      </c>
      <c r="G1" s="101" t="s">
        <v>1267</v>
      </c>
      <c r="H1" s="102" t="s">
        <v>1266</v>
      </c>
      <c r="I1" s="103" t="s">
        <v>1307</v>
      </c>
      <c r="J1" s="101" t="s">
        <v>494</v>
      </c>
      <c r="K1" s="129" t="s">
        <v>1643</v>
      </c>
      <c r="L1" s="128" t="s">
        <v>1329</v>
      </c>
      <c r="N1" s="37" t="s">
        <v>565</v>
      </c>
    </row>
    <row r="2" spans="1:14" x14ac:dyDescent="0.25">
      <c r="A2" s="76" t="s">
        <v>222</v>
      </c>
      <c r="B2" s="76" t="s">
        <v>507</v>
      </c>
      <c r="C2" s="76" t="s">
        <v>102</v>
      </c>
      <c r="D2" s="76" t="s">
        <v>487</v>
      </c>
      <c r="E2" s="79">
        <v>937</v>
      </c>
      <c r="F2" s="79" t="s">
        <v>491</v>
      </c>
      <c r="G2" s="79"/>
      <c r="H2" s="94"/>
      <c r="I2" s="78" t="s">
        <v>490</v>
      </c>
      <c r="J2" s="79" t="s">
        <v>10</v>
      </c>
      <c r="K2" s="89" t="s">
        <v>1644</v>
      </c>
      <c r="L2" s="89"/>
      <c r="N2" s="36">
        <f>SUM(L2:L59)</f>
        <v>0</v>
      </c>
    </row>
    <row r="3" spans="1:14" x14ac:dyDescent="0.25">
      <c r="A3" s="77" t="s">
        <v>1443</v>
      </c>
      <c r="B3" s="77" t="s">
        <v>1444</v>
      </c>
      <c r="C3" s="77" t="s">
        <v>102</v>
      </c>
      <c r="D3" s="77" t="s">
        <v>510</v>
      </c>
      <c r="E3" s="80">
        <v>513</v>
      </c>
      <c r="F3" s="80" t="s">
        <v>1445</v>
      </c>
      <c r="G3" s="80"/>
      <c r="H3" s="80"/>
      <c r="I3" s="8" t="s">
        <v>1446</v>
      </c>
      <c r="J3" s="80" t="s">
        <v>8</v>
      </c>
      <c r="K3" s="7"/>
      <c r="L3" s="7"/>
      <c r="N3" s="124"/>
    </row>
    <row r="4" spans="1:14" x14ac:dyDescent="0.25">
      <c r="A4" s="77" t="s">
        <v>386</v>
      </c>
      <c r="B4" s="77" t="s">
        <v>938</v>
      </c>
      <c r="C4" s="77" t="s">
        <v>102</v>
      </c>
      <c r="D4" s="77" t="s">
        <v>510</v>
      </c>
      <c r="E4" s="80"/>
      <c r="F4" s="80" t="s">
        <v>1625</v>
      </c>
      <c r="G4" s="80"/>
      <c r="H4" s="95"/>
      <c r="I4" s="125" t="s">
        <v>1640</v>
      </c>
      <c r="J4" s="80"/>
      <c r="K4" s="7"/>
      <c r="L4" s="7"/>
      <c r="N4" s="124"/>
    </row>
    <row r="5" spans="1:14" x14ac:dyDescent="0.25">
      <c r="A5" s="112" t="s">
        <v>1308</v>
      </c>
      <c r="B5" s="112" t="s">
        <v>939</v>
      </c>
      <c r="C5" s="112" t="s">
        <v>102</v>
      </c>
      <c r="D5" s="112" t="s">
        <v>510</v>
      </c>
      <c r="E5" s="113">
        <v>937</v>
      </c>
      <c r="F5" s="113" t="s">
        <v>1309</v>
      </c>
      <c r="G5" s="113"/>
      <c r="H5" s="113"/>
      <c r="I5" s="114" t="s">
        <v>1310</v>
      </c>
      <c r="J5" s="113" t="s">
        <v>10</v>
      </c>
      <c r="K5" s="113" t="s">
        <v>1626</v>
      </c>
      <c r="L5" s="113"/>
      <c r="N5" s="124"/>
    </row>
    <row r="6" spans="1:14" ht="18" customHeight="1" x14ac:dyDescent="0.25">
      <c r="A6" s="76" t="s">
        <v>504</v>
      </c>
      <c r="B6" s="76" t="s">
        <v>509</v>
      </c>
      <c r="C6" s="76" t="s">
        <v>122</v>
      </c>
      <c r="D6" s="76" t="s">
        <v>487</v>
      </c>
      <c r="E6" s="79">
        <v>937</v>
      </c>
      <c r="F6" s="79" t="s">
        <v>493</v>
      </c>
      <c r="G6" s="79"/>
      <c r="H6" s="130"/>
      <c r="I6" s="115" t="s">
        <v>941</v>
      </c>
      <c r="J6" s="79" t="s">
        <v>8</v>
      </c>
      <c r="K6" s="89" t="s">
        <v>1627</v>
      </c>
      <c r="L6" s="89"/>
    </row>
    <row r="7" spans="1:14" x14ac:dyDescent="0.25">
      <c r="A7" s="117" t="s">
        <v>652</v>
      </c>
      <c r="B7" s="117" t="s">
        <v>511</v>
      </c>
      <c r="C7" s="117" t="s">
        <v>122</v>
      </c>
      <c r="D7" s="117" t="s">
        <v>510</v>
      </c>
      <c r="E7" s="118">
        <v>937</v>
      </c>
      <c r="F7" s="118" t="s">
        <v>965</v>
      </c>
      <c r="G7" s="118"/>
      <c r="H7" s="119"/>
      <c r="I7" s="123" t="s">
        <v>964</v>
      </c>
      <c r="J7" s="118" t="s">
        <v>9</v>
      </c>
      <c r="K7" s="113" t="s">
        <v>1626</v>
      </c>
      <c r="L7" s="113"/>
    </row>
    <row r="8" spans="1:14" x14ac:dyDescent="0.25">
      <c r="A8" s="77" t="s">
        <v>776</v>
      </c>
      <c r="B8" s="77" t="s">
        <v>511</v>
      </c>
      <c r="C8" s="77" t="s">
        <v>122</v>
      </c>
      <c r="D8" s="77" t="s">
        <v>510</v>
      </c>
      <c r="E8" s="80">
        <v>937</v>
      </c>
      <c r="F8" s="80" t="s">
        <v>963</v>
      </c>
      <c r="G8" s="80"/>
      <c r="H8" s="95"/>
      <c r="I8" s="93" t="s">
        <v>962</v>
      </c>
      <c r="J8" s="80" t="s">
        <v>488</v>
      </c>
      <c r="K8" s="7"/>
      <c r="L8" s="7"/>
    </row>
    <row r="9" spans="1:14" x14ac:dyDescent="0.25">
      <c r="A9" s="8" t="s">
        <v>1179</v>
      </c>
      <c r="B9" s="8" t="s">
        <v>629</v>
      </c>
      <c r="C9" s="8" t="s">
        <v>122</v>
      </c>
      <c r="D9" s="8" t="s">
        <v>510</v>
      </c>
      <c r="E9" s="7"/>
      <c r="F9" s="7"/>
      <c r="G9" s="7"/>
      <c r="H9" s="96"/>
      <c r="I9" s="14"/>
      <c r="J9" s="7" t="s">
        <v>10</v>
      </c>
      <c r="K9" s="7"/>
      <c r="L9" s="7"/>
    </row>
    <row r="10" spans="1:14" x14ac:dyDescent="0.25">
      <c r="A10" s="77" t="s">
        <v>1198</v>
      </c>
      <c r="B10" s="77" t="s">
        <v>1484</v>
      </c>
      <c r="C10" s="77" t="s">
        <v>122</v>
      </c>
      <c r="D10" s="77" t="s">
        <v>510</v>
      </c>
      <c r="E10" s="80"/>
      <c r="F10" s="80"/>
      <c r="G10" s="80"/>
      <c r="H10" s="95"/>
      <c r="I10" s="63" t="s">
        <v>1485</v>
      </c>
      <c r="J10" s="80" t="s">
        <v>8</v>
      </c>
      <c r="K10" s="7"/>
      <c r="L10" s="7"/>
      <c r="N10" s="127" t="s">
        <v>487</v>
      </c>
    </row>
    <row r="11" spans="1:14" x14ac:dyDescent="0.25">
      <c r="A11" s="77" t="s">
        <v>808</v>
      </c>
      <c r="B11" s="77" t="s">
        <v>1484</v>
      </c>
      <c r="C11" s="8" t="s">
        <v>122</v>
      </c>
      <c r="D11" s="8" t="s">
        <v>510</v>
      </c>
      <c r="E11" s="7"/>
      <c r="F11" s="7"/>
      <c r="G11" s="7"/>
      <c r="H11" s="96"/>
      <c r="I11" s="63" t="s">
        <v>1485</v>
      </c>
      <c r="J11" s="7" t="s">
        <v>8</v>
      </c>
      <c r="K11" s="7"/>
      <c r="L11" s="7"/>
      <c r="N11" s="126" t="s">
        <v>1641</v>
      </c>
    </row>
    <row r="12" spans="1:14" x14ac:dyDescent="0.25">
      <c r="A12" s="77" t="s">
        <v>1664</v>
      </c>
      <c r="B12" s="77" t="s">
        <v>1665</v>
      </c>
      <c r="C12" s="8" t="s">
        <v>122</v>
      </c>
      <c r="D12" s="8" t="s">
        <v>510</v>
      </c>
      <c r="E12" s="7"/>
      <c r="F12" s="7"/>
      <c r="G12" s="7"/>
      <c r="H12" s="96"/>
      <c r="I12" s="63"/>
      <c r="J12" s="7"/>
      <c r="K12" s="7"/>
      <c r="L12" s="7"/>
      <c r="N12" s="126"/>
    </row>
    <row r="13" spans="1:14" x14ac:dyDescent="0.25">
      <c r="A13" s="77" t="s">
        <v>814</v>
      </c>
      <c r="B13" s="77" t="s">
        <v>745</v>
      </c>
      <c r="C13" s="77" t="s">
        <v>122</v>
      </c>
      <c r="D13" s="77" t="s">
        <v>510</v>
      </c>
      <c r="E13" s="80">
        <v>937</v>
      </c>
      <c r="F13" s="80" t="s">
        <v>1282</v>
      </c>
      <c r="G13" s="80">
        <v>937</v>
      </c>
      <c r="H13" s="95" t="s">
        <v>1093</v>
      </c>
      <c r="I13" s="8" t="s">
        <v>1088</v>
      </c>
      <c r="J13" s="80" t="s">
        <v>10</v>
      </c>
      <c r="K13" s="7"/>
      <c r="L13" s="7"/>
    </row>
    <row r="14" spans="1:14" x14ac:dyDescent="0.25">
      <c r="A14" s="8" t="s">
        <v>1628</v>
      </c>
      <c r="B14" s="8" t="s">
        <v>1629</v>
      </c>
      <c r="C14" s="8" t="s">
        <v>122</v>
      </c>
      <c r="D14" s="8" t="s">
        <v>510</v>
      </c>
      <c r="E14" s="7">
        <v>937</v>
      </c>
      <c r="F14" s="7" t="s">
        <v>1630</v>
      </c>
      <c r="G14" s="7"/>
      <c r="H14" s="96"/>
      <c r="I14" s="62"/>
      <c r="J14" s="7" t="s">
        <v>9</v>
      </c>
      <c r="K14" s="7"/>
      <c r="L14" s="7"/>
    </row>
    <row r="15" spans="1:14" x14ac:dyDescent="0.25">
      <c r="A15" s="76" t="s">
        <v>1127</v>
      </c>
      <c r="B15" s="76" t="s">
        <v>1128</v>
      </c>
      <c r="C15" s="76" t="s">
        <v>121</v>
      </c>
      <c r="D15" s="76" t="s">
        <v>487</v>
      </c>
      <c r="E15" s="79">
        <v>937</v>
      </c>
      <c r="F15" s="79" t="s">
        <v>1137</v>
      </c>
      <c r="G15" s="79"/>
      <c r="H15" s="94"/>
      <c r="I15" s="116" t="s">
        <v>1138</v>
      </c>
      <c r="J15" s="79" t="s">
        <v>9</v>
      </c>
      <c r="K15" s="89" t="s">
        <v>1644</v>
      </c>
      <c r="L15" s="89"/>
    </row>
    <row r="16" spans="1:14" x14ac:dyDescent="0.25">
      <c r="A16" s="117" t="s">
        <v>1441</v>
      </c>
      <c r="B16" s="117" t="s">
        <v>939</v>
      </c>
      <c r="C16" s="117" t="s">
        <v>121</v>
      </c>
      <c r="D16" s="117" t="s">
        <v>510</v>
      </c>
      <c r="E16" s="118">
        <v>937</v>
      </c>
      <c r="F16" s="118" t="s">
        <v>966</v>
      </c>
      <c r="G16" s="118"/>
      <c r="H16" s="119"/>
      <c r="I16" s="112" t="s">
        <v>1442</v>
      </c>
      <c r="J16" s="118" t="s">
        <v>9</v>
      </c>
      <c r="K16" s="113" t="s">
        <v>1631</v>
      </c>
      <c r="L16" s="113"/>
    </row>
    <row r="17" spans="1:12" x14ac:dyDescent="0.25">
      <c r="A17" s="77" t="s">
        <v>502</v>
      </c>
      <c r="B17" s="77" t="s">
        <v>509</v>
      </c>
      <c r="C17" s="77" t="s">
        <v>121</v>
      </c>
      <c r="D17" s="77" t="s">
        <v>510</v>
      </c>
      <c r="E17" s="80">
        <v>937</v>
      </c>
      <c r="F17" s="80" t="s">
        <v>1135</v>
      </c>
      <c r="G17" s="80"/>
      <c r="H17" s="95"/>
      <c r="I17" s="8" t="s">
        <v>1136</v>
      </c>
      <c r="J17" s="80" t="s">
        <v>8</v>
      </c>
      <c r="K17" s="7"/>
      <c r="L17" s="7"/>
    </row>
    <row r="18" spans="1:12" x14ac:dyDescent="0.25">
      <c r="A18" s="76" t="s">
        <v>501</v>
      </c>
      <c r="B18" s="76" t="s">
        <v>507</v>
      </c>
      <c r="C18" s="76" t="s">
        <v>116</v>
      </c>
      <c r="D18" s="76" t="s">
        <v>940</v>
      </c>
      <c r="E18" s="79">
        <v>937</v>
      </c>
      <c r="F18" s="79" t="s">
        <v>486</v>
      </c>
      <c r="G18" s="79"/>
      <c r="H18" s="94"/>
      <c r="I18" s="115" t="s">
        <v>942</v>
      </c>
      <c r="J18" s="79" t="s">
        <v>10</v>
      </c>
      <c r="K18" s="89" t="s">
        <v>1644</v>
      </c>
      <c r="L18" s="89"/>
    </row>
    <row r="19" spans="1:12" x14ac:dyDescent="0.25">
      <c r="A19" s="117" t="s">
        <v>1607</v>
      </c>
      <c r="B19" s="117" t="s">
        <v>1606</v>
      </c>
      <c r="C19" s="117" t="s">
        <v>116</v>
      </c>
      <c r="D19" s="117" t="s">
        <v>510</v>
      </c>
      <c r="E19" s="118">
        <v>937</v>
      </c>
      <c r="F19" s="118" t="s">
        <v>1608</v>
      </c>
      <c r="G19" s="118"/>
      <c r="H19" s="119"/>
      <c r="I19" s="112" t="s">
        <v>1609</v>
      </c>
      <c r="J19" s="118" t="s">
        <v>8</v>
      </c>
      <c r="K19" s="113" t="s">
        <v>1626</v>
      </c>
      <c r="L19" s="113"/>
    </row>
    <row r="20" spans="1:12" x14ac:dyDescent="0.25">
      <c r="A20" s="117" t="s">
        <v>1620</v>
      </c>
      <c r="B20" s="117" t="s">
        <v>1621</v>
      </c>
      <c r="C20" s="117" t="s">
        <v>116</v>
      </c>
      <c r="D20" s="117" t="s">
        <v>510</v>
      </c>
      <c r="E20" s="118">
        <v>937</v>
      </c>
      <c r="F20" s="118" t="s">
        <v>1622</v>
      </c>
      <c r="G20" s="118"/>
      <c r="H20" s="118"/>
      <c r="I20" s="112" t="s">
        <v>1623</v>
      </c>
      <c r="J20" s="118" t="s">
        <v>642</v>
      </c>
      <c r="K20" s="113" t="s">
        <v>1626</v>
      </c>
      <c r="L20" s="113"/>
    </row>
    <row r="21" spans="1:12" x14ac:dyDescent="0.25">
      <c r="A21" s="76" t="s">
        <v>416</v>
      </c>
      <c r="B21" s="76" t="s">
        <v>417</v>
      </c>
      <c r="C21" s="76" t="s">
        <v>181</v>
      </c>
      <c r="D21" s="76" t="s">
        <v>487</v>
      </c>
      <c r="E21" s="79">
        <v>937</v>
      </c>
      <c r="F21" s="79" t="s">
        <v>1091</v>
      </c>
      <c r="G21" s="79">
        <v>937</v>
      </c>
      <c r="H21" s="79" t="s">
        <v>420</v>
      </c>
      <c r="I21" s="78" t="s">
        <v>89</v>
      </c>
      <c r="J21" s="79" t="s">
        <v>642</v>
      </c>
      <c r="K21" s="89" t="s">
        <v>1644</v>
      </c>
      <c r="L21" s="89"/>
    </row>
    <row r="22" spans="1:12" ht="18" customHeight="1" x14ac:dyDescent="0.25">
      <c r="A22" s="77" t="s">
        <v>512</v>
      </c>
      <c r="B22" s="77" t="s">
        <v>434</v>
      </c>
      <c r="C22" s="77" t="s">
        <v>181</v>
      </c>
      <c r="D22" s="81" t="s">
        <v>510</v>
      </c>
      <c r="E22" s="80">
        <v>937</v>
      </c>
      <c r="F22" s="80" t="s">
        <v>1092</v>
      </c>
      <c r="G22" s="80"/>
      <c r="H22" s="95"/>
      <c r="I22" s="8" t="s">
        <v>1090</v>
      </c>
      <c r="J22" s="80" t="s">
        <v>642</v>
      </c>
      <c r="K22" s="7"/>
      <c r="L22" s="7"/>
    </row>
    <row r="23" spans="1:12" ht="18" customHeight="1" x14ac:dyDescent="0.25">
      <c r="A23" s="76" t="s">
        <v>653</v>
      </c>
      <c r="B23" s="76" t="s">
        <v>337</v>
      </c>
      <c r="C23" s="76" t="s">
        <v>168</v>
      </c>
      <c r="D23" s="76" t="s">
        <v>940</v>
      </c>
      <c r="E23" s="79">
        <v>937</v>
      </c>
      <c r="F23" s="79" t="s">
        <v>1089</v>
      </c>
      <c r="G23" s="79"/>
      <c r="H23" s="94"/>
      <c r="I23" s="78" t="s">
        <v>67</v>
      </c>
      <c r="J23" s="79" t="s">
        <v>10</v>
      </c>
      <c r="K23" s="89" t="s">
        <v>1644</v>
      </c>
      <c r="L23" s="89"/>
    </row>
    <row r="24" spans="1:12" ht="18" customHeight="1" x14ac:dyDescent="0.25">
      <c r="A24" s="77" t="s">
        <v>1125</v>
      </c>
      <c r="B24" s="77" t="s">
        <v>1126</v>
      </c>
      <c r="C24" s="77" t="s">
        <v>168</v>
      </c>
      <c r="D24" s="77" t="s">
        <v>510</v>
      </c>
      <c r="E24" s="80">
        <v>937</v>
      </c>
      <c r="F24" s="80" t="s">
        <v>1280</v>
      </c>
      <c r="G24" s="80"/>
      <c r="H24" s="95"/>
      <c r="I24" s="62" t="s">
        <v>1281</v>
      </c>
      <c r="J24" s="80" t="s">
        <v>488</v>
      </c>
      <c r="K24" s="7"/>
      <c r="L24" s="7"/>
    </row>
    <row r="25" spans="1:12" ht="18" customHeight="1" x14ac:dyDescent="0.25">
      <c r="A25" s="8" t="s">
        <v>1274</v>
      </c>
      <c r="B25" s="8" t="s">
        <v>1180</v>
      </c>
      <c r="C25" s="77" t="s">
        <v>168</v>
      </c>
      <c r="D25" s="8" t="s">
        <v>510</v>
      </c>
      <c r="E25" s="7">
        <v>513</v>
      </c>
      <c r="F25" s="7" t="s">
        <v>1486</v>
      </c>
      <c r="G25" s="7"/>
      <c r="H25" s="96"/>
      <c r="I25" s="62" t="s">
        <v>1487</v>
      </c>
      <c r="J25" s="7" t="s">
        <v>10</v>
      </c>
      <c r="K25" s="7" t="s">
        <v>1631</v>
      </c>
      <c r="L25" s="7"/>
    </row>
    <row r="26" spans="1:12" ht="18" customHeight="1" x14ac:dyDescent="0.25">
      <c r="A26" s="8" t="s">
        <v>1632</v>
      </c>
      <c r="B26" s="8" t="s">
        <v>1180</v>
      </c>
      <c r="C26" s="8" t="s">
        <v>168</v>
      </c>
      <c r="D26" s="8" t="s">
        <v>510</v>
      </c>
      <c r="E26" s="7">
        <v>513</v>
      </c>
      <c r="F26" s="7" t="s">
        <v>1486</v>
      </c>
      <c r="G26" s="7"/>
      <c r="H26" s="96"/>
      <c r="I26" s="62" t="s">
        <v>1488</v>
      </c>
      <c r="J26" s="7" t="s">
        <v>10</v>
      </c>
      <c r="K26" s="7"/>
      <c r="L26" s="7"/>
    </row>
    <row r="27" spans="1:12" ht="18" customHeight="1" x14ac:dyDescent="0.25">
      <c r="A27" s="77" t="s">
        <v>213</v>
      </c>
      <c r="B27" s="77" t="s">
        <v>513</v>
      </c>
      <c r="C27" s="77" t="s">
        <v>168</v>
      </c>
      <c r="D27" s="77" t="s">
        <v>510</v>
      </c>
      <c r="E27" s="80">
        <v>937</v>
      </c>
      <c r="F27" s="80" t="s">
        <v>1489</v>
      </c>
      <c r="G27" s="80"/>
      <c r="H27" s="95"/>
      <c r="I27" s="61" t="s">
        <v>514</v>
      </c>
      <c r="J27" s="80" t="s">
        <v>9</v>
      </c>
      <c r="K27" s="7"/>
      <c r="L27" s="7"/>
    </row>
    <row r="28" spans="1:12" ht="18" customHeight="1" x14ac:dyDescent="0.25">
      <c r="A28" s="76" t="s">
        <v>499</v>
      </c>
      <c r="B28" s="76" t="s">
        <v>506</v>
      </c>
      <c r="C28" s="76" t="s">
        <v>971</v>
      </c>
      <c r="D28" s="76" t="s">
        <v>487</v>
      </c>
      <c r="E28" s="79">
        <v>513</v>
      </c>
      <c r="F28" s="79" t="s">
        <v>497</v>
      </c>
      <c r="G28" s="79"/>
      <c r="H28" s="94"/>
      <c r="I28" s="121" t="s">
        <v>1278</v>
      </c>
      <c r="J28" s="79" t="s">
        <v>10</v>
      </c>
      <c r="K28" s="89" t="s">
        <v>1644</v>
      </c>
      <c r="L28" s="89"/>
    </row>
    <row r="29" spans="1:12" ht="18" customHeight="1" x14ac:dyDescent="0.25">
      <c r="A29" s="77" t="s">
        <v>1633</v>
      </c>
      <c r="B29" s="77" t="s">
        <v>790</v>
      </c>
      <c r="C29" s="77" t="s">
        <v>971</v>
      </c>
      <c r="D29" s="77" t="s">
        <v>510</v>
      </c>
      <c r="E29" s="80"/>
      <c r="F29" s="80"/>
      <c r="G29" s="80"/>
      <c r="H29" s="95"/>
      <c r="I29" s="61" t="s">
        <v>1634</v>
      </c>
      <c r="J29" s="80"/>
      <c r="K29" s="7" t="s">
        <v>1631</v>
      </c>
      <c r="L29" s="7"/>
    </row>
    <row r="30" spans="1:12" ht="18" customHeight="1" x14ac:dyDescent="0.25">
      <c r="A30" s="117" t="s">
        <v>498</v>
      </c>
      <c r="B30" s="117" t="s">
        <v>182</v>
      </c>
      <c r="C30" s="117" t="s">
        <v>971</v>
      </c>
      <c r="D30" s="117" t="s">
        <v>510</v>
      </c>
      <c r="E30" s="118">
        <v>937</v>
      </c>
      <c r="F30" s="118" t="s">
        <v>185</v>
      </c>
      <c r="G30" s="118"/>
      <c r="H30" s="119"/>
      <c r="I30" s="112" t="s">
        <v>25</v>
      </c>
      <c r="J30" s="118" t="s">
        <v>488</v>
      </c>
      <c r="K30" s="113" t="s">
        <v>1626</v>
      </c>
      <c r="L30" s="113"/>
    </row>
    <row r="31" spans="1:12" ht="18" customHeight="1" x14ac:dyDescent="0.25">
      <c r="A31" s="117" t="s">
        <v>505</v>
      </c>
      <c r="B31" s="117" t="s">
        <v>221</v>
      </c>
      <c r="C31" s="117" t="s">
        <v>971</v>
      </c>
      <c r="D31" s="122" t="s">
        <v>510</v>
      </c>
      <c r="E31" s="118">
        <v>937</v>
      </c>
      <c r="F31" s="118" t="s">
        <v>1635</v>
      </c>
      <c r="G31" s="118"/>
      <c r="H31" s="119"/>
      <c r="I31" s="114" t="s">
        <v>37</v>
      </c>
      <c r="J31" s="118" t="s">
        <v>10</v>
      </c>
      <c r="K31" s="113" t="s">
        <v>1626</v>
      </c>
      <c r="L31" s="113"/>
    </row>
    <row r="32" spans="1:12" ht="18" customHeight="1" x14ac:dyDescent="0.25">
      <c r="A32" s="117" t="s">
        <v>500</v>
      </c>
      <c r="B32" s="117" t="s">
        <v>506</v>
      </c>
      <c r="C32" s="117" t="s">
        <v>971</v>
      </c>
      <c r="D32" s="117" t="s">
        <v>510</v>
      </c>
      <c r="E32" s="118">
        <v>937</v>
      </c>
      <c r="F32" s="118" t="s">
        <v>489</v>
      </c>
      <c r="G32" s="118"/>
      <c r="H32" s="119"/>
      <c r="I32" s="114" t="s">
        <v>1279</v>
      </c>
      <c r="J32" s="118" t="s">
        <v>9</v>
      </c>
      <c r="K32" s="113" t="s">
        <v>1627</v>
      </c>
      <c r="L32" s="113"/>
    </row>
    <row r="33" spans="1:12" ht="18" customHeight="1" x14ac:dyDescent="0.25">
      <c r="A33" s="77" t="s">
        <v>1130</v>
      </c>
      <c r="B33" s="77" t="s">
        <v>1131</v>
      </c>
      <c r="C33" s="77" t="s">
        <v>971</v>
      </c>
      <c r="D33" s="77" t="s">
        <v>510</v>
      </c>
      <c r="E33" s="80">
        <v>937</v>
      </c>
      <c r="F33" s="80" t="s">
        <v>1133</v>
      </c>
      <c r="G33" s="80"/>
      <c r="H33" s="95"/>
      <c r="I33" s="8" t="s">
        <v>1132</v>
      </c>
      <c r="J33" s="80" t="s">
        <v>642</v>
      </c>
      <c r="K33" s="7"/>
      <c r="L33" s="7"/>
    </row>
    <row r="34" spans="1:12" ht="18" customHeight="1" x14ac:dyDescent="0.25">
      <c r="A34" s="76" t="s">
        <v>503</v>
      </c>
      <c r="B34" s="76" t="s">
        <v>508</v>
      </c>
      <c r="C34" s="76" t="s">
        <v>144</v>
      </c>
      <c r="D34" s="76" t="s">
        <v>487</v>
      </c>
      <c r="E34" s="79">
        <v>937</v>
      </c>
      <c r="F34" s="79" t="s">
        <v>492</v>
      </c>
      <c r="G34" s="79"/>
      <c r="H34" s="94"/>
      <c r="I34" s="115" t="s">
        <v>1129</v>
      </c>
      <c r="J34" s="79" t="s">
        <v>10</v>
      </c>
      <c r="K34" s="89" t="s">
        <v>1644</v>
      </c>
      <c r="L34" s="89"/>
    </row>
    <row r="35" spans="1:12" ht="18" customHeight="1" x14ac:dyDescent="0.25">
      <c r="A35" s="117" t="s">
        <v>1275</v>
      </c>
      <c r="B35" s="117" t="s">
        <v>1276</v>
      </c>
      <c r="C35" s="112" t="s">
        <v>144</v>
      </c>
      <c r="D35" s="112" t="s">
        <v>510</v>
      </c>
      <c r="E35" s="118">
        <v>937</v>
      </c>
      <c r="F35" s="113" t="s">
        <v>1311</v>
      </c>
      <c r="G35" s="113"/>
      <c r="H35" s="120"/>
      <c r="I35" s="114" t="s">
        <v>1322</v>
      </c>
      <c r="J35" s="113" t="s">
        <v>488</v>
      </c>
      <c r="K35" s="113" t="s">
        <v>1626</v>
      </c>
      <c r="L35" s="113"/>
    </row>
    <row r="36" spans="1:12" ht="18" customHeight="1" x14ac:dyDescent="0.25">
      <c r="A36" s="117" t="s">
        <v>165</v>
      </c>
      <c r="B36" s="117" t="s">
        <v>595</v>
      </c>
      <c r="C36" s="117" t="s">
        <v>144</v>
      </c>
      <c r="D36" s="117" t="s">
        <v>510</v>
      </c>
      <c r="E36" s="118">
        <v>937</v>
      </c>
      <c r="F36" s="118" t="s">
        <v>596</v>
      </c>
      <c r="G36" s="118"/>
      <c r="H36" s="118"/>
      <c r="I36" s="123" t="s">
        <v>641</v>
      </c>
      <c r="J36" s="118" t="s">
        <v>642</v>
      </c>
      <c r="K36" s="113" t="s">
        <v>1626</v>
      </c>
      <c r="L36" s="113"/>
    </row>
    <row r="37" spans="1:12" ht="18" customHeight="1" x14ac:dyDescent="0.25">
      <c r="A37" s="117" t="s">
        <v>196</v>
      </c>
      <c r="B37" s="117" t="s">
        <v>197</v>
      </c>
      <c r="C37" s="117" t="s">
        <v>144</v>
      </c>
      <c r="D37" s="117" t="s">
        <v>510</v>
      </c>
      <c r="E37" s="118">
        <v>937</v>
      </c>
      <c r="F37" s="118" t="s">
        <v>708</v>
      </c>
      <c r="G37" s="118"/>
      <c r="H37" s="118"/>
      <c r="I37" s="112" t="s">
        <v>30</v>
      </c>
      <c r="J37" s="118" t="s">
        <v>8</v>
      </c>
      <c r="K37" s="113" t="s">
        <v>1626</v>
      </c>
      <c r="L37" s="113"/>
    </row>
    <row r="38" spans="1:12" ht="18" customHeight="1" x14ac:dyDescent="0.25">
      <c r="A38" s="77" t="s">
        <v>654</v>
      </c>
      <c r="B38" s="77" t="s">
        <v>266</v>
      </c>
      <c r="C38" s="77" t="s">
        <v>709</v>
      </c>
      <c r="D38" s="77"/>
      <c r="E38" s="80">
        <v>937</v>
      </c>
      <c r="F38" s="80" t="s">
        <v>1134</v>
      </c>
      <c r="G38" s="80"/>
      <c r="H38" s="80"/>
      <c r="I38" s="8" t="s">
        <v>49</v>
      </c>
      <c r="J38" s="80" t="s">
        <v>8</v>
      </c>
      <c r="K38" s="7"/>
      <c r="L38" s="7"/>
    </row>
    <row r="39" spans="1:12" ht="18" customHeight="1" x14ac:dyDescent="0.25">
      <c r="A39" s="77" t="s">
        <v>1277</v>
      </c>
      <c r="B39" s="77" t="s">
        <v>939</v>
      </c>
      <c r="C39" s="77" t="s">
        <v>709</v>
      </c>
      <c r="D39" s="77"/>
      <c r="E39" s="80">
        <v>937</v>
      </c>
      <c r="F39" s="80" t="s">
        <v>966</v>
      </c>
      <c r="G39" s="80"/>
      <c r="H39" s="80"/>
      <c r="I39" s="61" t="s">
        <v>1442</v>
      </c>
      <c r="J39" s="80" t="s">
        <v>8</v>
      </c>
      <c r="K39" s="7"/>
      <c r="L39" s="7"/>
    </row>
    <row r="40" spans="1:12" ht="18" customHeight="1" x14ac:dyDescent="0.25">
      <c r="A40" s="77" t="s">
        <v>1638</v>
      </c>
      <c r="B40" s="77" t="s">
        <v>1639</v>
      </c>
      <c r="C40" s="77" t="s">
        <v>1656</v>
      </c>
      <c r="D40" s="77"/>
      <c r="E40" s="80"/>
      <c r="F40" s="80"/>
      <c r="G40" s="80"/>
      <c r="H40" s="80"/>
      <c r="I40" s="8"/>
      <c r="J40" s="80"/>
      <c r="K40" s="7"/>
      <c r="L40" s="7"/>
    </row>
    <row r="41" spans="1:12" ht="18" customHeight="1" x14ac:dyDescent="0.25">
      <c r="A41" s="77" t="s">
        <v>1636</v>
      </c>
      <c r="B41" s="77" t="s">
        <v>1637</v>
      </c>
      <c r="C41" s="77" t="s">
        <v>1656</v>
      </c>
      <c r="D41" s="77"/>
      <c r="E41" s="80"/>
      <c r="F41" s="80"/>
      <c r="G41" s="80"/>
      <c r="H41" s="80"/>
      <c r="I41" s="8"/>
      <c r="J41" s="80"/>
      <c r="K41" s="7"/>
      <c r="L41" s="7"/>
    </row>
    <row r="42" spans="1:12" ht="18" customHeight="1" x14ac:dyDescent="0.25">
      <c r="A42" s="77" t="s">
        <v>1610</v>
      </c>
      <c r="B42" s="77" t="s">
        <v>1180</v>
      </c>
      <c r="C42" s="77" t="s">
        <v>709</v>
      </c>
      <c r="D42" s="77"/>
      <c r="E42" s="7">
        <v>513</v>
      </c>
      <c r="F42" s="7" t="s">
        <v>1486</v>
      </c>
      <c r="G42" s="80"/>
      <c r="H42" s="80"/>
      <c r="I42" s="8"/>
      <c r="J42" s="80"/>
      <c r="K42" s="7"/>
      <c r="L42" s="7"/>
    </row>
    <row r="43" spans="1:12" ht="18" customHeight="1" x14ac:dyDescent="0.25">
      <c r="A43" s="77"/>
      <c r="B43" s="77"/>
      <c r="C43" s="77"/>
      <c r="D43" s="77"/>
      <c r="E43" s="80"/>
      <c r="F43" s="80"/>
      <c r="G43" s="80"/>
      <c r="H43" s="80"/>
      <c r="I43" s="8"/>
      <c r="J43" s="80"/>
      <c r="K43" s="7"/>
      <c r="L43" s="7"/>
    </row>
    <row r="44" spans="1:12" ht="18" customHeight="1" x14ac:dyDescent="0.25">
      <c r="A44" s="77"/>
      <c r="B44" s="77"/>
      <c r="C44" s="77"/>
      <c r="D44" s="77"/>
      <c r="E44" s="80"/>
      <c r="F44" s="80"/>
      <c r="G44" s="80"/>
      <c r="H44" s="80"/>
      <c r="I44" s="62"/>
      <c r="J44" s="80"/>
      <c r="K44" s="7"/>
      <c r="L44" s="7"/>
    </row>
    <row r="45" spans="1:12" ht="18" customHeight="1" x14ac:dyDescent="0.25">
      <c r="A45" s="77"/>
      <c r="B45" s="77"/>
      <c r="C45" s="77"/>
      <c r="D45" s="77"/>
      <c r="E45" s="80"/>
      <c r="F45" s="80"/>
      <c r="G45" s="80"/>
      <c r="H45" s="95"/>
      <c r="I45" s="8"/>
      <c r="J45" s="80"/>
      <c r="K45" s="7"/>
      <c r="L45" s="7"/>
    </row>
    <row r="46" spans="1:12" ht="18" customHeight="1" x14ac:dyDescent="0.25">
      <c r="A46" s="77"/>
      <c r="B46" s="77"/>
      <c r="C46" s="8"/>
      <c r="D46" s="8"/>
      <c r="E46" s="80"/>
      <c r="F46" s="7"/>
      <c r="G46" s="7"/>
      <c r="H46" s="7"/>
      <c r="I46" s="62"/>
      <c r="J46" s="7"/>
      <c r="K46" s="7"/>
      <c r="L46" s="7"/>
    </row>
    <row r="47" spans="1:12" ht="18" customHeight="1" x14ac:dyDescent="0.25">
      <c r="A47" s="77"/>
      <c r="B47" s="77"/>
      <c r="C47" s="77"/>
      <c r="D47" s="77"/>
      <c r="E47" s="80"/>
      <c r="F47" s="80"/>
      <c r="G47" s="80"/>
      <c r="H47" s="80"/>
      <c r="I47" s="93"/>
      <c r="J47" s="80"/>
      <c r="K47" s="7"/>
      <c r="L47" s="7"/>
    </row>
    <row r="48" spans="1:12" ht="18" customHeight="1" x14ac:dyDescent="0.25">
      <c r="A48" s="77"/>
      <c r="B48" s="77"/>
      <c r="C48" s="77"/>
      <c r="D48" s="77"/>
      <c r="E48" s="80"/>
      <c r="F48" s="80"/>
      <c r="G48" s="80"/>
      <c r="H48" s="80"/>
      <c r="I48" s="62"/>
      <c r="J48" s="80"/>
      <c r="K48" s="7"/>
      <c r="L48" s="7"/>
    </row>
    <row r="49" spans="1:12" ht="18" customHeight="1" x14ac:dyDescent="0.25">
      <c r="A49" s="77"/>
      <c r="B49" s="77"/>
      <c r="C49" s="77"/>
      <c r="D49" s="77"/>
      <c r="E49" s="80"/>
      <c r="F49" s="80"/>
      <c r="G49" s="80"/>
      <c r="H49" s="80"/>
      <c r="I49" s="8"/>
      <c r="J49" s="80"/>
      <c r="K49" s="7"/>
      <c r="L49" s="7"/>
    </row>
    <row r="50" spans="1:12" ht="18" customHeight="1" x14ac:dyDescent="0.25">
      <c r="A50" s="77"/>
      <c r="B50" s="77"/>
      <c r="C50" s="77"/>
      <c r="D50" s="77"/>
      <c r="E50" s="80"/>
      <c r="F50" s="80"/>
      <c r="G50" s="80"/>
      <c r="H50" s="80"/>
      <c r="I50" s="8"/>
      <c r="J50" s="80"/>
      <c r="K50" s="7"/>
      <c r="L50" s="7"/>
    </row>
    <row r="51" spans="1:12" ht="18" customHeight="1" x14ac:dyDescent="0.25">
      <c r="A51" s="77"/>
      <c r="B51" s="77"/>
      <c r="C51" s="77"/>
      <c r="D51" s="77"/>
      <c r="E51" s="80"/>
      <c r="F51" s="80"/>
      <c r="G51" s="80"/>
      <c r="H51" s="80"/>
      <c r="I51" s="8"/>
      <c r="J51" s="80"/>
      <c r="K51" s="7"/>
      <c r="L51" s="7"/>
    </row>
    <row r="52" spans="1:12" ht="18" customHeight="1" x14ac:dyDescent="0.25">
      <c r="A52" s="77"/>
      <c r="B52" s="77"/>
      <c r="C52" s="77"/>
      <c r="D52" s="77"/>
      <c r="E52" s="80"/>
      <c r="F52" s="80"/>
      <c r="G52" s="80"/>
      <c r="H52" s="80"/>
      <c r="I52" s="8"/>
      <c r="J52" s="80"/>
      <c r="K52" s="7"/>
      <c r="L52" s="7"/>
    </row>
    <row r="53" spans="1:12" ht="18" customHeight="1" x14ac:dyDescent="0.25">
      <c r="A53" s="77"/>
      <c r="B53" s="77"/>
      <c r="C53" s="77"/>
      <c r="D53" s="77"/>
      <c r="E53" s="80"/>
      <c r="F53" s="80"/>
      <c r="G53" s="80"/>
      <c r="H53" s="80"/>
      <c r="I53" s="93"/>
      <c r="J53" s="80"/>
      <c r="K53" s="7"/>
      <c r="L53" s="7"/>
    </row>
    <row r="54" spans="1:12" ht="18" customHeight="1" x14ac:dyDescent="0.25">
      <c r="A54" s="8"/>
      <c r="B54" s="8"/>
      <c r="C54" s="8"/>
      <c r="D54" s="8"/>
      <c r="E54" s="7"/>
      <c r="F54" s="7"/>
      <c r="G54" s="7"/>
      <c r="H54" s="7"/>
      <c r="I54" s="62"/>
      <c r="J54" s="7"/>
      <c r="K54" s="7"/>
      <c r="L54" s="7"/>
    </row>
    <row r="55" spans="1:12" ht="18" customHeight="1" x14ac:dyDescent="0.25">
      <c r="A55" s="77"/>
      <c r="B55" s="77"/>
      <c r="C55" s="77"/>
      <c r="D55" s="77"/>
      <c r="E55" s="80"/>
      <c r="F55" s="80"/>
      <c r="G55" s="80"/>
      <c r="H55" s="80"/>
      <c r="I55" s="8"/>
      <c r="J55" s="80"/>
      <c r="K55" s="7"/>
      <c r="L55" s="7"/>
    </row>
    <row r="56" spans="1:12" ht="18" customHeight="1" x14ac:dyDescent="0.25">
      <c r="A56" s="77"/>
      <c r="B56" s="77"/>
      <c r="C56" s="77"/>
      <c r="D56" s="77"/>
      <c r="E56" s="80"/>
      <c r="F56" s="80"/>
      <c r="G56" s="80"/>
      <c r="H56" s="80"/>
      <c r="I56" s="8"/>
      <c r="J56" s="80"/>
      <c r="K56" s="7"/>
      <c r="L56" s="7"/>
    </row>
    <row r="57" spans="1:12" ht="18" customHeight="1" x14ac:dyDescent="0.25">
      <c r="A57" s="77"/>
      <c r="B57" s="77"/>
      <c r="C57" s="77"/>
      <c r="D57" s="77"/>
      <c r="E57" s="80"/>
      <c r="F57" s="80"/>
      <c r="G57" s="80"/>
      <c r="H57" s="80"/>
      <c r="I57" s="8"/>
      <c r="J57" s="80"/>
      <c r="K57" s="7"/>
      <c r="L57" s="7"/>
    </row>
    <row r="58" spans="1:12" ht="18" customHeight="1" x14ac:dyDescent="0.25">
      <c r="A58" s="77"/>
      <c r="B58" s="77"/>
      <c r="C58" s="77"/>
      <c r="D58" s="77"/>
      <c r="E58" s="80"/>
      <c r="F58" s="80"/>
      <c r="G58" s="80"/>
      <c r="H58" s="80"/>
      <c r="I58" s="8"/>
      <c r="J58" s="80"/>
      <c r="K58" s="7"/>
      <c r="L58" s="7"/>
    </row>
    <row r="59" spans="1:12" x14ac:dyDescent="0.25">
      <c r="A59" s="77"/>
      <c r="B59" s="77"/>
      <c r="C59" s="77"/>
      <c r="D59" s="77"/>
      <c r="E59" s="80"/>
      <c r="F59" s="80"/>
      <c r="G59" s="80"/>
      <c r="H59" s="80"/>
      <c r="I59" s="8"/>
      <c r="J59" s="80"/>
      <c r="K59" s="7"/>
      <c r="L59" s="7"/>
    </row>
  </sheetData>
  <sortState xmlns:xlrd2="http://schemas.microsoft.com/office/spreadsheetml/2017/richdata2" ref="A2:L65">
    <sortCondition ref="C2:C65" customList="Hotwheels,Dribblers,Shooters,Wings,Kickers,Passers,Strikers,Sweepers,Staff"/>
    <sortCondition ref="D2:D65" customList="Head Coach,Co-Head Coach,Assistant,Floater"/>
    <sortCondition ref="B2:B65"/>
    <sortCondition ref="A2:A65"/>
  </sortState>
  <phoneticPr fontId="26" type="noConversion"/>
  <hyperlinks>
    <hyperlink ref="I5" r:id="rId1" xr:uid="{D834DFBC-B09C-4412-BD2B-76DBCD29E13F}"/>
    <hyperlink ref="I10" r:id="rId2" xr:uid="{DE8D0D43-C06D-4CFE-B504-0A71529C969E}"/>
    <hyperlink ref="I15" r:id="rId3" xr:uid="{EED6BE5B-F6EF-4045-8AAF-57F52AA6FE78}"/>
    <hyperlink ref="I24" r:id="rId4" xr:uid="{9D867F49-63A7-4346-99CB-3E6F631C5FEE}"/>
    <hyperlink ref="I27" r:id="rId5" xr:uid="{A4D80679-D337-44E9-8A60-15674D5B97BF}"/>
    <hyperlink ref="I28" r:id="rId6" display="daba@bcuinc.com" xr:uid="{BBCADEB8-3018-47E1-8B34-3A71EDC8FCDD}"/>
    <hyperlink ref="I35" r:id="rId7" xr:uid="{73C2FF65-11D1-46EC-B0ED-98A1CDBE7914}"/>
    <hyperlink ref="I29" r:id="rId8" xr:uid="{709EA160-6EC4-4C73-8EE4-6F65157BA558}"/>
    <hyperlink ref="I25" r:id="rId9" xr:uid="{ECFFE4CA-2515-433C-90B5-5673C69C4171}"/>
    <hyperlink ref="I31" r:id="rId10" xr:uid="{88FA0DC1-6067-436C-BB88-B4330570E953}"/>
    <hyperlink ref="I39" r:id="rId11" xr:uid="{7F526A8D-249E-45BB-9B46-E3DC956FCDA5}"/>
    <hyperlink ref="I4" r:id="rId12" xr:uid="{F5B1A542-FE1C-48FC-86A0-47FFD89B8714}"/>
    <hyperlink ref="I11" r:id="rId13" xr:uid="{46FFE606-42CC-4B26-99FD-8CD5ED5DC157}"/>
    <hyperlink ref="I26" r:id="rId14" xr:uid="{7A0D86C7-3FC7-4D62-B30E-BD725981079F}"/>
  </hyperlinks>
  <pageMargins left="0.7" right="0.7" top="0.75" bottom="0.75" header="0.3" footer="0.3"/>
  <pageSetup orientation="landscape" horizontalDpi="1200" verticalDpi="1200" r:id="rId15"/>
  <drawing r:id="rId16"/>
  <legacyDrawing r:id="rId1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18" name="Button 1">
              <controlPr defaultSize="0" print="0" autoFill="0" autoPict="0" macro="[0]!CoachesSort">
                <anchor moveWithCells="1">
                  <from>
                    <xdr:col>13</xdr:col>
                    <xdr:colOff>952500</xdr:colOff>
                    <xdr:row>6</xdr:row>
                    <xdr:rowOff>9525</xdr:rowOff>
                  </from>
                  <to>
                    <xdr:col>15</xdr:col>
                    <xdr:colOff>571500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I255"/>
  <sheetViews>
    <sheetView zoomScaleNormal="100" workbookViewId="0">
      <selection activeCell="L73" sqref="L73"/>
    </sheetView>
  </sheetViews>
  <sheetFormatPr defaultRowHeight="15" x14ac:dyDescent="0.25"/>
  <cols>
    <col min="1" max="1" width="3.28515625" style="2" customWidth="1"/>
    <col min="2" max="2" width="12.85546875" customWidth="1"/>
    <col min="3" max="3" width="14" customWidth="1"/>
    <col min="4" max="4" width="5.140625" style="2" customWidth="1"/>
    <col min="5" max="5" width="17.85546875" customWidth="1"/>
    <col min="6" max="6" width="15.140625" customWidth="1"/>
    <col min="7" max="7" width="4.42578125" style="2" customWidth="1"/>
    <col min="8" max="8" width="9.42578125" style="2" customWidth="1"/>
    <col min="9" max="9" width="34.5703125" customWidth="1"/>
  </cols>
  <sheetData>
    <row r="1" spans="1:9" ht="35.1" customHeight="1" x14ac:dyDescent="0.4">
      <c r="A1" s="3" t="s">
        <v>102</v>
      </c>
      <c r="B1" s="1"/>
      <c r="C1" s="1"/>
      <c r="D1" s="4"/>
      <c r="E1" s="9" t="s">
        <v>479</v>
      </c>
      <c r="F1" s="9" t="s">
        <v>478</v>
      </c>
      <c r="G1" s="4"/>
      <c r="H1" s="4"/>
      <c r="I1" s="35">
        <f ca="1">TODAY()</f>
        <v>46195</v>
      </c>
    </row>
    <row r="2" spans="1:9" ht="31.5" customHeight="1" x14ac:dyDescent="0.25">
      <c r="B2" s="5" t="s">
        <v>103</v>
      </c>
      <c r="C2" s="5" t="s">
        <v>104</v>
      </c>
      <c r="D2" s="5" t="s">
        <v>1624</v>
      </c>
      <c r="E2" s="5" t="s">
        <v>105</v>
      </c>
      <c r="F2" s="5" t="s">
        <v>106</v>
      </c>
      <c r="G2" s="5" t="s">
        <v>107</v>
      </c>
      <c r="H2" s="5" t="s">
        <v>108</v>
      </c>
      <c r="I2" s="6" t="s">
        <v>1</v>
      </c>
    </row>
    <row r="3" spans="1:9" x14ac:dyDescent="0.25">
      <c r="A3" s="7">
        <v>1</v>
      </c>
      <c r="B3" s="60" t="str">
        <f t="array" ref="B3">IFERROR(
 INDEX(Master!C$2:C$272,
  SMALL(
   IF(EXACT(Master!$M$2:$M$272,Rosters!$A$1),
    ROW(Master!C$2:C$272)-ROW(Master!C$2)+1
    ),
   ROWS(Master!C$2:'Master'!C2)
  )
 ),"")</f>
        <v>Leila</v>
      </c>
      <c r="C3" s="8" t="str">
        <f t="array" ref="C3">IFERROR(
INDEX(Master!D$2:D$272,
SMALL(
IF(EXACT(Master!$M$2:$M$272,Rosters!$A$1),
ROW(Master!D$2:D$272)-ROW(Master!D$2)+1
),
ROWS(Master!D$2:'Master'!D2)
)
),"")</f>
        <v>Binkley</v>
      </c>
      <c r="D3" s="7">
        <f t="array" aca="1" ref="D3" ca="1">IFERROR(
 INDEX(Master!O$2:O$272,
  SMALL(
   IF(EXACT(Master!$M$2:$M$272,Rosters!$A$1),
    ROW(Master!O$2:O$272)-ROW(Master!O$2)+1
    ),
   ROWS(Master!O$2:'Master'!O2)
  )
 ),"")</f>
        <v>14</v>
      </c>
      <c r="E3" s="8" t="str">
        <f t="array" ref="E3">IFERROR(
 INDEX(Master!A$2:A$272,
  SMALL(
   IF(EXACT(Master!$M$2:$M$272,Rosters!$A$1),
    ROW(Master!A$2:A$272)-ROW(Master!A$2)+1
    ),
   ROWS(Master!A$2:'Master'!A2)
  )
 ),"")</f>
        <v>Amie</v>
      </c>
      <c r="F3" s="8" t="str">
        <f t="array" ref="F3">IFERROR(
INDEX(Master!B$2:B$272,
SMALL(
IF(EXACT(Master!$M$2:$M$272,Rosters!$A$1),
ROW(Master!B$2:B$272)-ROW(Master!B$2)+1
),
ROWS(Master!B$2:'Master'!B2)
)
),"")</f>
        <v>Binkley</v>
      </c>
      <c r="G3" s="7">
        <f t="array" ref="G3">IFERROR(
 INDEX(Master!K$2:K$272,
  SMALL(
   IF(EXACT(Master!$M$2:$M$272,Rosters!$A$1),
    ROW(Master!K$2:K$272)-ROW(Master!K$2)+1
    ),
   ROWS(Master!K$2:'Master'!K2)
  )
 ),"")</f>
        <v>615</v>
      </c>
      <c r="H3" s="7" t="str">
        <f t="array" ref="H3">IFERROR(
INDEX(Master!L$2:L$272,
SMALL(
IF(EXACT(Master!$M$2:$M$272,Rosters!$A$1),
ROW(Master!L$2:L$272)-ROW(Master!L$2)+1
),
ROWS(Master!L$2:'Master'!L2)
)
),"")</f>
        <v>310-5976</v>
      </c>
      <c r="I3" s="8" t="str">
        <f t="array" ref="I3">IFERROR(
 INDEX(Master!Q$2:Q$272,
  SMALL(
   IF(EXACT(Master!$M$2:$M$272,Rosters!$A$1),
    ROW(Master!Q$2:Q$272)-ROW(Master!Q$2)+1
    ),
   ROWS(Master!Q$2:'Master'!Q2)
  )
 ),"")</f>
        <v>aebinkley@gmail.com</v>
      </c>
    </row>
    <row r="4" spans="1:9" x14ac:dyDescent="0.25">
      <c r="A4" s="7">
        <v>2</v>
      </c>
      <c r="B4" s="60" t="str">
        <f t="array" ref="B4">IFERROR(
 INDEX(Master!C$2:C$272,
  SMALL(
   IF(EXACT(Master!$M$2:$M$272,Rosters!$A$1),
    ROW(Master!C$2:C$272)-ROW(Master!C$2)+1
    ),
   ROWS(Master!C$2:'Master'!C3)
  )
 ),"")</f>
        <v>Naomi</v>
      </c>
      <c r="C4" s="8" t="str">
        <f t="array" ref="C4">IFERROR(
INDEX(Master!D$2:D$272,
SMALL(
IF(EXACT(Master!$M$2:$M$272,Rosters!$A$1),
ROW(Master!D$2:D$272)-ROW(Master!D$2)+1
),
ROWS(Master!D$2:'Master'!D3)
)
),"")</f>
        <v>Black</v>
      </c>
      <c r="D4" s="7">
        <f t="array" aca="1" ref="D4" ca="1">IFERROR(
 INDEX(Master!O$2:O$272,
  SMALL(
   IF(EXACT(Master!$M$2:$M$272,Rosters!$A$1),
    ROW(Master!O$2:O$272)-ROW(Master!O$2)+1
    ),
   ROWS(Master!O$2:'Master'!O3)
  )
 ),"")</f>
        <v>17</v>
      </c>
      <c r="E4" s="8" t="str">
        <f t="array" ref="E4">IFERROR(
 INDEX(Master!A$2:A$272,
  SMALL(
   IF(EXACT(Master!$M$2:$M$272,Rosters!$A$1),
    ROW(Master!A$2:A$272)-ROW(Master!A$2)+1
    ),
   ROWS(Master!A$2:'Master'!A3)
  )
 ),"")</f>
        <v>Sandra</v>
      </c>
      <c r="F4" s="8" t="str">
        <f t="array" ref="F4">IFERROR(
INDEX(Master!B$2:B$272,
SMALL(
IF(EXACT(Master!$M$2:$M$272,Rosters!$A$1),
ROW(Master!B$2:B$272)-ROW(Master!B$2)+1
),
ROWS(Master!B$2:'Master'!B3)
)
),"")</f>
        <v xml:space="preserve">Black </v>
      </c>
      <c r="G4" s="7">
        <f t="array" ref="G4">IFERROR(
 INDEX(Master!K$2:K$272,
  SMALL(
   IF(EXACT(Master!$M$2:$M$272,Rosters!$A$1),
    ROW(Master!K$2:K$272)-ROW(Master!K$2)+1
    ),
   ROWS(Master!K$2:'Master'!K3)
  )
 ),"")</f>
        <v>937</v>
      </c>
      <c r="H4" s="7" t="str">
        <f t="array" ref="H4">IFERROR(
INDEX(Master!L$2:L$272,
SMALL(
IF(EXACT(Master!$M$2:$M$272,Rosters!$A$1),
ROW(Master!L$2:L$272)-ROW(Master!L$2)+1
),
ROWS(Master!L$2:'Master'!L3)
)
),"")</f>
        <v>287-1967</v>
      </c>
      <c r="I4" s="8" t="str">
        <f t="array" ref="I4">IFERROR(
 INDEX(Master!Q$2:Q$272,
  SMALL(
   IF(EXACT(Master!$M$2:$M$272,Rosters!$A$1),
    ROW(Master!Q$2:Q$272)-ROW(Master!Q$2)+1
    ),
   ROWS(Master!Q$2:'Master'!Q3)
  )
 ),"")</f>
        <v>sandrakleiserblack@gmail.com</v>
      </c>
    </row>
    <row r="5" spans="1:9" x14ac:dyDescent="0.25">
      <c r="A5" s="7">
        <v>3</v>
      </c>
      <c r="B5" s="60" t="str">
        <f t="array" ref="B5">IFERROR(
 INDEX(Master!C$2:C$272,
  SMALL(
   IF(EXACT(Master!$M$2:$M$272,Rosters!$A$1),
    ROW(Master!C$2:C$272)-ROW(Master!C$2)+1
    ),
   ROWS(Master!C$2:'Master'!C4)
  )
 ),"")</f>
        <v>Hannah</v>
      </c>
      <c r="C5" s="8" t="str">
        <f t="array" ref="C5">IFERROR(
INDEX(Master!D$2:D$272,
SMALL(
IF(EXACT(Master!$M$2:$M$272,Rosters!$A$1),
ROW(Master!D$2:D$272)-ROW(Master!D$2)+1
),
ROWS(Master!D$2:'Master'!D4)
)
),"")</f>
        <v>Borton</v>
      </c>
      <c r="D5" s="7">
        <f t="array" aca="1" ref="D5" ca="1">IFERROR(
 INDEX(Master!O$2:O$272,
  SMALL(
   IF(EXACT(Master!$M$2:$M$272,Rosters!$A$1),
    ROW(Master!O$2:O$272)-ROW(Master!O$2)+1
    ),
   ROWS(Master!O$2:'Master'!O4)
  )
 ),"")</f>
        <v>13</v>
      </c>
      <c r="E5" s="8" t="str">
        <f t="array" ref="E5">IFERROR(
 INDEX(Master!A$2:A$272,
  SMALL(
   IF(EXACT(Master!$M$2:$M$272,Rosters!$A$1),
    ROW(Master!A$2:A$272)-ROW(Master!A$2)+1
    ),
   ROWS(Master!A$2:'Master'!A4)
  )
 ),"")</f>
        <v>Kristin</v>
      </c>
      <c r="F5" s="8" t="str">
        <f t="array" ref="F5">IFERROR(
INDEX(Master!B$2:B$272,
SMALL(
IF(EXACT(Master!$M$2:$M$272,Rosters!$A$1),
ROW(Master!B$2:B$272)-ROW(Master!B$2)+1
),
ROWS(Master!B$2:'Master'!B4)
)
),"")</f>
        <v>Borton</v>
      </c>
      <c r="G5" s="7">
        <f t="array" ref="G5">IFERROR(
 INDEX(Master!K$2:K$272,
  SMALL(
   IF(EXACT(Master!$M$2:$M$272,Rosters!$A$1),
    ROW(Master!K$2:K$272)-ROW(Master!K$2)+1
    ),
   ROWS(Master!K$2:'Master'!K4)
  )
 ),"")</f>
        <v>937</v>
      </c>
      <c r="H5" s="7" t="str">
        <f t="array" ref="H5">IFERROR(
INDEX(Master!L$2:L$272,
SMALL(
IF(EXACT(Master!$M$2:$M$272,Rosters!$A$1),
ROW(Master!L$2:L$272)-ROW(Master!L$2)+1
),
ROWS(Master!L$2:'Master'!L4)
)
),"")</f>
        <v>570-7501</v>
      </c>
      <c r="I5" s="8" t="str">
        <f t="array" ref="I5">IFERROR(
 INDEX(Master!Q$2:Q$272,
  SMALL(
   IF(EXACT(Master!$M$2:$M$272,Rosters!$A$1),
    ROW(Master!Q$2:Q$272)-ROW(Master!Q$2)+1
    ),
   ROWS(Master!Q$2:'Master'!Q4)
  )
 ),"")</f>
        <v>dkborton@gmail.com</v>
      </c>
    </row>
    <row r="6" spans="1:9" x14ac:dyDescent="0.25">
      <c r="A6" s="7">
        <v>4</v>
      </c>
      <c r="B6" s="60" t="str">
        <f t="array" ref="B6">IFERROR(
 INDEX(Master!C$2:C$272,
  SMALL(
   IF(EXACT(Master!$M$2:$M$272,Rosters!$A$1),
    ROW(Master!C$2:C$272)-ROW(Master!C$2)+1
    ),
   ROWS(Master!C$2:'Master'!C5)
  )
 ),"")</f>
        <v>Gretchen</v>
      </c>
      <c r="C6" s="8" t="str">
        <f t="array" ref="C6">IFERROR(
INDEX(Master!D$2:D$272,
SMALL(
IF(EXACT(Master!$M$2:$M$272,Rosters!$A$1),
ROW(Master!D$2:D$272)-ROW(Master!D$2)+1
),
ROWS(Master!D$2:'Master'!D5)
)
),"")</f>
        <v>Braun</v>
      </c>
      <c r="D6" s="7">
        <f t="array" aca="1" ref="D6" ca="1">IFERROR(
 INDEX(Master!O$2:O$272,
  SMALL(
   IF(EXACT(Master!$M$2:$M$272,Rosters!$A$1),
    ROW(Master!O$2:O$272)-ROW(Master!O$2)+1
    ),
   ROWS(Master!O$2:'Master'!O5)
  )
 ),"")</f>
        <v>26</v>
      </c>
      <c r="E6" s="8" t="str">
        <f t="array" ref="E6">IFERROR(
 INDEX(Master!A$2:A$272,
  SMALL(
   IF(EXACT(Master!$M$2:$M$272,Rosters!$A$1),
    ROW(Master!A$2:A$272)-ROW(Master!A$2)+1
    ),
   ROWS(Master!A$2:'Master'!A5)
  )
 ),"")</f>
        <v>Kim</v>
      </c>
      <c r="F6" s="8" t="str">
        <f t="array" ref="F6">IFERROR(
INDEX(Master!B$2:B$272,
SMALL(
IF(EXACT(Master!$M$2:$M$272,Rosters!$A$1),
ROW(Master!B$2:B$272)-ROW(Master!B$2)+1
),
ROWS(Master!B$2:'Master'!B5)
)
),"")</f>
        <v>Braun</v>
      </c>
      <c r="G6" s="7">
        <f t="array" ref="G6">IFERROR(
 INDEX(Master!K$2:K$272,
  SMALL(
   IF(EXACT(Master!$M$2:$M$272,Rosters!$A$1),
    ROW(Master!K$2:K$272)-ROW(Master!K$2)+1
    ),
   ROWS(Master!K$2:'Master'!K5)
  )
 ),"")</f>
        <v>937</v>
      </c>
      <c r="H6" s="7" t="str">
        <f t="array" ref="H6">IFERROR(
INDEX(Master!L$2:L$272,
SMALL(
IF(EXACT(Master!$M$2:$M$272,Rosters!$A$1),
ROW(Master!L$2:L$272)-ROW(Master!L$2)+1
),
ROWS(Master!L$2:'Master'!L5)
)
),"")</f>
        <v>426-9100</v>
      </c>
      <c r="I6" s="8" t="str">
        <f t="array" ref="I6">IFERROR(
 INDEX(Master!Q$2:Q$272,
  SMALL(
   IF(EXACT(Master!$M$2:$M$272,Rosters!$A$1),
    ROW(Master!Q$2:Q$272)-ROW(Master!Q$2)+1
    ),
   ROWS(Master!Q$2:'Master'!Q5)
  )
 ),"")</f>
        <v>kjbarthele@aol.com</v>
      </c>
    </row>
    <row r="7" spans="1:9" x14ac:dyDescent="0.25">
      <c r="A7" s="7">
        <v>5</v>
      </c>
      <c r="B7" s="60" t="str">
        <f t="array" ref="B7">IFERROR(
 INDEX(Master!C$2:C$272,
  SMALL(
   IF(EXACT(Master!$M$2:$M$272,Rosters!$A$1),
    ROW(Master!C$2:C$272)-ROW(Master!C$2)+1
    ),
   ROWS(Master!C$2:'Master'!C6)
  )
 ),"")</f>
        <v>Janice</v>
      </c>
      <c r="C7" s="8" t="str">
        <f t="array" ref="C7">IFERROR(
INDEX(Master!D$2:D$272,
SMALL(
IF(EXACT(Master!$M$2:$M$272,Rosters!$A$1),
ROW(Master!D$2:D$272)-ROW(Master!D$2)+1
),
ROWS(Master!D$2:'Master'!D6)
)
),"")</f>
        <v>Brun</v>
      </c>
      <c r="D7" s="7">
        <f t="array" aca="1" ref="D7" ca="1">IFERROR(
 INDEX(Master!O$2:O$272,
  SMALL(
   IF(EXACT(Master!$M$2:$M$272,Rosters!$A$1),
    ROW(Master!O$2:O$272)-ROW(Master!O$2)+1
    ),
   ROWS(Master!O$2:'Master'!O6)
  )
 ),"")</f>
        <v>43</v>
      </c>
      <c r="E7" s="8" t="str">
        <f t="array" ref="E7">IFERROR(
 INDEX(Master!A$2:A$272,
  SMALL(
   IF(EXACT(Master!$M$2:$M$272,Rosters!$A$1),
    ROW(Master!A$2:A$272)-ROW(Master!A$2)+1
    ),
   ROWS(Master!A$2:'Master'!A6)
  )
 ),"")</f>
        <v>Joyce/Phil</v>
      </c>
      <c r="F7" s="8" t="str">
        <f t="array" ref="F7">IFERROR(
INDEX(Master!B$2:B$272,
SMALL(
IF(EXACT(Master!$M$2:$M$272,Rosters!$A$1),
ROW(Master!B$2:B$272)-ROW(Master!B$2)+1
),
ROWS(Master!B$2:'Master'!B6)
)
),"")</f>
        <v>Brun</v>
      </c>
      <c r="G7" s="7">
        <f t="array" ref="G7">IFERROR(
 INDEX(Master!K$2:K$272,
  SMALL(
   IF(EXACT(Master!$M$2:$M$272,Rosters!$A$1),
    ROW(Master!K$2:K$272)-ROW(Master!K$2)+1
    ),
   ROWS(Master!K$2:'Master'!K6)
  )
 ),"")</f>
        <v>937</v>
      </c>
      <c r="H7" s="7" t="str">
        <f t="array" ref="H7">IFERROR(
INDEX(Master!L$2:L$272,
SMALL(
IF(EXACT(Master!$M$2:$M$272,Rosters!$A$1),
ROW(Master!L$2:L$272)-ROW(Master!L$2)+1
),
ROWS(Master!L$2:'Master'!L6)
)
),"")</f>
        <v>439-4977</v>
      </c>
      <c r="I7" s="8" t="str">
        <f t="array" ref="I7">IFERROR(
 INDEX(Master!Q$2:Q$272,
  SMALL(
   IF(EXACT(Master!$M$2:$M$272,Rosters!$A$1),
    ROW(Master!Q$2:Q$272)-ROW(Master!Q$2)+1
    ),
   ROWS(Master!Q$2:'Master'!Q6)
  )
 ),"")</f>
        <v>joycebrun@hotmail.com</v>
      </c>
    </row>
    <row r="8" spans="1:9" x14ac:dyDescent="0.25">
      <c r="A8" s="7">
        <v>6</v>
      </c>
      <c r="B8" s="60" t="str">
        <f t="array" ref="B8">IFERROR(
 INDEX(Master!C$2:C$272,
  SMALL(
   IF(EXACT(Master!$M$2:$M$272,Rosters!$A$1),
    ROW(Master!C$2:C$272)-ROW(Master!C$2)+1
    ),
   ROWS(Master!C$2:'Master'!C7)
  )
 ),"")</f>
        <v>Niklaus</v>
      </c>
      <c r="C8" s="8" t="str">
        <f t="array" ref="C8">IFERROR(
INDEX(Master!D$2:D$272,
SMALL(
IF(EXACT(Master!$M$2:$M$272,Rosters!$A$1),
ROW(Master!D$2:D$272)-ROW(Master!D$2)+1
),
ROWS(Master!D$2:'Master'!D7)
)
),"")</f>
        <v>Burtnett</v>
      </c>
      <c r="D8" s="7">
        <f t="array" aca="1" ref="D8" ca="1">IFERROR(
 INDEX(Master!O$2:O$272,
  SMALL(
   IF(EXACT(Master!$M$2:$M$272,Rosters!$A$1),
    ROW(Master!O$2:O$272)-ROW(Master!O$2)+1
    ),
   ROWS(Master!O$2:'Master'!O7)
  )
 ),"")</f>
        <v>11</v>
      </c>
      <c r="E8" s="8" t="str">
        <f t="array" ref="E8">IFERROR(
 INDEX(Master!A$2:A$272,
  SMALL(
   IF(EXACT(Master!$M$2:$M$272,Rosters!$A$1),
    ROW(Master!A$2:A$272)-ROW(Master!A$2)+1
    ),
   ROWS(Master!A$2:'Master'!A7)
  )
 ),"")</f>
        <v>Tianna</v>
      </c>
      <c r="F8" s="8" t="str">
        <f t="array" ref="F8">IFERROR(
INDEX(Master!B$2:B$272,
SMALL(
IF(EXACT(Master!$M$2:$M$272,Rosters!$A$1),
ROW(Master!B$2:B$272)-ROW(Master!B$2)+1
),
ROWS(Master!B$2:'Master'!B7)
)
),"")</f>
        <v>Burtnett</v>
      </c>
      <c r="G8" s="7">
        <f t="array" ref="G8">IFERROR(
 INDEX(Master!K$2:K$272,
  SMALL(
   IF(EXACT(Master!$M$2:$M$272,Rosters!$A$1),
    ROW(Master!K$2:K$272)-ROW(Master!K$2)+1
    ),
   ROWS(Master!K$2:'Master'!K7)
  )
 ),"")</f>
        <v>740</v>
      </c>
      <c r="H8" s="7" t="str">
        <f t="array" ref="H8">IFERROR(
INDEX(Master!L$2:L$272,
SMALL(
IF(EXACT(Master!$M$2:$M$272,Rosters!$A$1),
ROW(Master!L$2:L$272)-ROW(Master!L$2)+1
),
ROWS(Master!L$2:'Master'!L7)
)
),"")</f>
        <v>586-4111</v>
      </c>
      <c r="I8" s="8" t="str">
        <f t="array" ref="I8">IFERROR(
 INDEX(Master!Q$2:Q$272,
  SMALL(
   IF(EXACT(Master!$M$2:$M$272,Rosters!$A$1),
    ROW(Master!Q$2:Q$272)-ROW(Master!Q$2)+1
    ),
   ROWS(Master!Q$2:'Master'!Q7)
  )
 ),"")</f>
        <v>apparentlyimahippie2@gmail.com</v>
      </c>
    </row>
    <row r="9" spans="1:9" x14ac:dyDescent="0.25">
      <c r="A9" s="7">
        <v>7</v>
      </c>
      <c r="B9" s="60" t="str">
        <f t="array" ref="B9">IFERROR(
 INDEX(Master!C$2:C$272,
  SMALL(
   IF(EXACT(Master!$M$2:$M$272,Rosters!$A$1),
    ROW(Master!C$2:C$272)-ROW(Master!C$2)+1
    ),
   ROWS(Master!C$2:'Master'!C8)
  )
 ),"")</f>
        <v>Carter</v>
      </c>
      <c r="C9" s="8" t="str">
        <f t="array" ref="C9">IFERROR(
INDEX(Master!D$2:D$272,
SMALL(
IF(EXACT(Master!$M$2:$M$272,Rosters!$A$1),
ROW(Master!D$2:D$272)-ROW(Master!D$2)+1
),
ROWS(Master!D$2:'Master'!D8)
)
),"")</f>
        <v>Cornell</v>
      </c>
      <c r="D9" s="7">
        <f t="array" aca="1" ref="D9" ca="1">IFERROR(
 INDEX(Master!O$2:O$272,
  SMALL(
   IF(EXACT(Master!$M$2:$M$272,Rosters!$A$1),
    ROW(Master!O$2:O$272)-ROW(Master!O$2)+1
    ),
   ROWS(Master!O$2:'Master'!O8)
  )
 ),"")</f>
        <v>15</v>
      </c>
      <c r="E9" s="8" t="str">
        <f t="array" ref="E9">IFERROR(
 INDEX(Master!A$2:A$272,
  SMALL(
   IF(EXACT(Master!$M$2:$M$272,Rosters!$A$1),
    ROW(Master!A$2:A$272)-ROW(Master!A$2)+1
    ),
   ROWS(Master!A$2:'Master'!A8)
  )
 ),"")</f>
        <v>Kat/Blair</v>
      </c>
      <c r="F9" s="8" t="str">
        <f t="array" ref="F9">IFERROR(
INDEX(Master!B$2:B$272,
SMALL(
IF(EXACT(Master!$M$2:$M$272,Rosters!$A$1),
ROW(Master!B$2:B$272)-ROW(Master!B$2)+1
),
ROWS(Master!B$2:'Master'!B8)
)
),"")</f>
        <v>Cornell</v>
      </c>
      <c r="G9" s="7">
        <f t="array" ref="G9">IFERROR(
 INDEX(Master!K$2:K$272,
  SMALL(
   IF(EXACT(Master!$M$2:$M$272,Rosters!$A$1),
    ROW(Master!K$2:K$272)-ROW(Master!K$2)+1
    ),
   ROWS(Master!K$2:'Master'!K8)
  )
 ),"")</f>
        <v>937</v>
      </c>
      <c r="H9" s="7" t="str">
        <f t="array" ref="H9">IFERROR(
INDEX(Master!L$2:L$272,
SMALL(
IF(EXACT(Master!$M$2:$M$272,Rosters!$A$1),
ROW(Master!L$2:L$272)-ROW(Master!L$2)+1
),
ROWS(Master!L$2:'Master'!L8)
)
),"")</f>
        <v>361-7251</v>
      </c>
      <c r="I9" s="8" t="str">
        <f t="array" ref="I9">IFERROR(
 INDEX(Master!Q$2:Q$272,
  SMALL(
   IF(EXACT(Master!$M$2:$M$272,Rosters!$A$1),
    ROW(Master!Q$2:Q$272)-ROW(Master!Q$2)+1
    ),
   ROWS(Master!Q$2:'Master'!Q8)
  )
 ),"")</f>
        <v>cornell_katherine@yahoo.com</v>
      </c>
    </row>
    <row r="10" spans="1:9" x14ac:dyDescent="0.25">
      <c r="A10" s="7">
        <v>8</v>
      </c>
      <c r="B10" s="60" t="str">
        <f t="array" ref="B10">IFERROR(
 INDEX(Master!C$2:C$272,
  SMALL(
   IF(EXACT(Master!$M$2:$M$272,Rosters!$A$1),
    ROW(Master!C$2:C$272)-ROW(Master!C$2)+1
    ),
   ROWS(Master!C$2:'Master'!C9)
  )
 ),"")</f>
        <v>Noah</v>
      </c>
      <c r="C10" s="8" t="str">
        <f t="array" ref="C10">IFERROR(
INDEX(Master!D$2:D$272,
SMALL(
IF(EXACT(Master!$M$2:$M$272,Rosters!$A$1),
ROW(Master!D$2:D$272)-ROW(Master!D$2)+1
),
ROWS(Master!D$2:'Master'!D9)
)
),"")</f>
        <v>Curtis</v>
      </c>
      <c r="D10" s="7">
        <f t="array" aca="1" ref="D10" ca="1">IFERROR(
 INDEX(Master!O$2:O$272,
  SMALL(
   IF(EXACT(Master!$M$2:$M$272,Rosters!$A$1),
    ROW(Master!O$2:O$272)-ROW(Master!O$2)+1
    ),
   ROWS(Master!O$2:'Master'!O9)
  )
 ),"")</f>
        <v>13</v>
      </c>
      <c r="E10" s="8" t="str">
        <f t="array" ref="E10">IFERROR(
 INDEX(Master!A$2:A$272,
  SMALL(
   IF(EXACT(Master!$M$2:$M$272,Rosters!$A$1),
    ROW(Master!A$2:A$272)-ROW(Master!A$2)+1
    ),
   ROWS(Master!A$2:'Master'!A9)
  )
 ),"")</f>
        <v>Kim/David</v>
      </c>
      <c r="F10" s="8" t="str">
        <f t="array" ref="F10">IFERROR(
INDEX(Master!B$2:B$272,
SMALL(
IF(EXACT(Master!$M$2:$M$272,Rosters!$A$1),
ROW(Master!B$2:B$272)-ROW(Master!B$2)+1
),
ROWS(Master!B$2:'Master'!B9)
)
),"")</f>
        <v>Curtis</v>
      </c>
      <c r="G10" s="7">
        <f t="array" ref="G10">IFERROR(
 INDEX(Master!K$2:K$272,
  SMALL(
   IF(EXACT(Master!$M$2:$M$272,Rosters!$A$1),
    ROW(Master!K$2:K$272)-ROW(Master!K$2)+1
    ),
   ROWS(Master!K$2:'Master'!K9)
  )
 ),"")</f>
        <v>937</v>
      </c>
      <c r="H10" s="7" t="str">
        <f t="array" ref="H10">IFERROR(
INDEX(Master!L$2:L$272,
SMALL(
IF(EXACT(Master!$M$2:$M$272,Rosters!$A$1),
ROW(Master!L$2:L$272)-ROW(Master!L$2)+1
),
ROWS(Master!L$2:'Master'!L9)
)
),"")</f>
        <v>725-2121</v>
      </c>
      <c r="I10" s="8" t="str">
        <f t="array" ref="I10">IFERROR(
 INDEX(Master!Q$2:Q$272,
  SMALL(
   IF(EXACT(Master!$M$2:$M$272,Rosters!$A$1),
    ROW(Master!Q$2:Q$272)-ROW(Master!Q$2)+1
    ),
   ROWS(Master!Q$2:'Master'!Q9)
  )
 ),"")</f>
        <v>kcurtis4383@gmail.com</v>
      </c>
    </row>
    <row r="11" spans="1:9" x14ac:dyDescent="0.25">
      <c r="A11" s="7">
        <v>9</v>
      </c>
      <c r="B11" s="60" t="str">
        <f t="array" ref="B11">IFERROR(
 INDEX(Master!C$2:C$272,
  SMALL(
   IF(EXACT(Master!$M$2:$M$272,Rosters!$A$1),
    ROW(Master!C$2:C$272)-ROW(Master!C$2)+1
    ),
   ROWS(Master!C$2:'Master'!C10)
  )
 ),"")</f>
        <v>Brandon</v>
      </c>
      <c r="C11" s="8" t="str">
        <f t="array" ref="C11">IFERROR(
INDEX(Master!D$2:D$272,
SMALL(
IF(EXACT(Master!$M$2:$M$272,Rosters!$A$1),
ROW(Master!D$2:D$272)-ROW(Master!D$2)+1
),
ROWS(Master!D$2:'Master'!D10)
)
),"")</f>
        <v>Dietsch</v>
      </c>
      <c r="D11" s="7">
        <f t="array" aca="1" ref="D11" ca="1">IFERROR(
 INDEX(Master!O$2:O$272,
  SMALL(
   IF(EXACT(Master!$M$2:$M$272,Rosters!$A$1),
    ROW(Master!O$2:O$272)-ROW(Master!O$2)+1
    ),
   ROWS(Master!O$2:'Master'!O10)
  )
 ),"")</f>
        <v>17</v>
      </c>
      <c r="E11" s="8" t="str">
        <f t="array" ref="E11">IFERROR(
 INDEX(Master!A$2:A$272,
  SMALL(
   IF(EXACT(Master!$M$2:$M$272,Rosters!$A$1),
    ROW(Master!A$2:A$272)-ROW(Master!A$2)+1
    ),
   ROWS(Master!A$2:'Master'!A10)
  )
 ),"")</f>
        <v xml:space="preserve">Jennifer </v>
      </c>
      <c r="F11" s="8" t="str">
        <f t="array" ref="F11">IFERROR(
INDEX(Master!B$2:B$272,
SMALL(
IF(EXACT(Master!$M$2:$M$272,Rosters!$A$1),
ROW(Master!B$2:B$272)-ROW(Master!B$2)+1
),
ROWS(Master!B$2:'Master'!B10)
)
),"")</f>
        <v>Dietsch</v>
      </c>
      <c r="G11" s="7">
        <f t="array" ref="G11">IFERROR(
 INDEX(Master!K$2:K$272,
  SMALL(
   IF(EXACT(Master!$M$2:$M$272,Rosters!$A$1),
    ROW(Master!K$2:K$272)-ROW(Master!K$2)+1
    ),
   ROWS(Master!K$2:'Master'!K10)
  )
 ),"")</f>
        <v>937</v>
      </c>
      <c r="H11" s="7" t="str">
        <f t="array" ref="H11">IFERROR(
INDEX(Master!L$2:L$272,
SMALL(
IF(EXACT(Master!$M$2:$M$272,Rosters!$A$1),
ROW(Master!L$2:L$272)-ROW(Master!L$2)+1
),
ROWS(Master!L$2:'Master'!L10)
)
),"")</f>
        <v>371-5876</v>
      </c>
      <c r="I11" s="8" t="str">
        <f t="array" ref="I11">IFERROR(
 INDEX(Master!Q$2:Q$272,
  SMALL(
   IF(EXACT(Master!$M$2:$M$272,Rosters!$A$1),
    ROW(Master!Q$2:Q$272)-ROW(Master!Q$2)+1
    ),
   ROWS(Master!Q$2:'Master'!Q10)
  )
 ),"")</f>
        <v>jenbobcat@gmail.com</v>
      </c>
    </row>
    <row r="12" spans="1:9" x14ac:dyDescent="0.25">
      <c r="A12" s="7">
        <v>10</v>
      </c>
      <c r="B12" s="60" t="str">
        <f t="array" ref="B12">IFERROR(
 INDEX(Master!C$2:C$272,
  SMALL(
   IF(EXACT(Master!$M$2:$M$272,Rosters!$A$1),
    ROW(Master!C$2:C$272)-ROW(Master!C$2)+1
    ),
   ROWS(Master!C$2:'Master'!C11)
  )
 ),"")</f>
        <v>Julianne</v>
      </c>
      <c r="C12" s="8" t="str">
        <f t="array" ref="C12">IFERROR(
INDEX(Master!D$2:D$272,
SMALL(
IF(EXACT(Master!$M$2:$M$272,Rosters!$A$1),
ROW(Master!D$2:D$272)-ROW(Master!D$2)+1
),
ROWS(Master!D$2:'Master'!D11)
)
),"")</f>
        <v>Gillespie</v>
      </c>
      <c r="D12" s="7">
        <f t="array" aca="1" ref="D12" ca="1">IFERROR(
 INDEX(Master!O$2:O$272,
  SMALL(
   IF(EXACT(Master!$M$2:$M$272,Rosters!$A$1),
    ROW(Master!O$2:O$272)-ROW(Master!O$2)+1
    ),
   ROWS(Master!O$2:'Master'!O11)
  )
 ),"")</f>
        <v>30</v>
      </c>
      <c r="E12" s="8" t="str">
        <f t="array" ref="E12">IFERROR(
 INDEX(Master!A$2:A$272,
  SMALL(
   IF(EXACT(Master!$M$2:$M$272,Rosters!$A$1),
    ROW(Master!A$2:A$272)-ROW(Master!A$2)+1
    ),
   ROWS(Master!A$2:'Master'!A11)
  )
 ),"")</f>
        <v>Mark/Lezlie</v>
      </c>
      <c r="F12" s="8" t="str">
        <f t="array" ref="F12">IFERROR(
INDEX(Master!B$2:B$272,
SMALL(
IF(EXACT(Master!$M$2:$M$272,Rosters!$A$1),
ROW(Master!B$2:B$272)-ROW(Master!B$2)+1
),
ROWS(Master!B$2:'Master'!B11)
)
),"")</f>
        <v>Gillespie</v>
      </c>
      <c r="G12" s="7">
        <f t="array" ref="G12">IFERROR(
 INDEX(Master!K$2:K$272,
  SMALL(
   IF(EXACT(Master!$M$2:$M$272,Rosters!$A$1),
    ROW(Master!K$2:K$272)-ROW(Master!K$2)+1
    ),
   ROWS(Master!K$2:'Master'!K11)
  )
 ),"")</f>
        <v>937</v>
      </c>
      <c r="H12" s="7" t="str">
        <f t="array" ref="H12">IFERROR(
INDEX(Master!L$2:L$272,
SMALL(
IF(EXACT(Master!$M$2:$M$272,Rosters!$A$1),
ROW(Master!L$2:L$272)-ROW(Master!L$2)+1
),
ROWS(Master!L$2:'Master'!L11)
)
),"")</f>
        <v>299-4124</v>
      </c>
      <c r="I12" s="8" t="str">
        <f t="array" ref="I12">IFERROR(
 INDEX(Master!Q$2:Q$272,
  SMALL(
   IF(EXACT(Master!$M$2:$M$272,Rosters!$A$1),
    ROW(Master!Q$2:Q$272)-ROW(Master!Q$2)+1
    ),
   ROWS(Master!Q$2:'Master'!Q11)
  )
 ),"")</f>
        <v>lezlie.gill@icloud.com</v>
      </c>
    </row>
    <row r="13" spans="1:9" x14ac:dyDescent="0.25">
      <c r="A13" s="7">
        <v>11</v>
      </c>
      <c r="B13" s="60" t="str">
        <f t="array" ref="B13">IFERROR(
 INDEX(Master!C$2:C$272,
  SMALL(
   IF(EXACT(Master!$M$2:$M$272,Rosters!$A$1),
    ROW(Master!C$2:C$272)-ROW(Master!C$2)+1
    ),
   ROWS(Master!C$2:'Master'!C12)
  )
 ),"")</f>
        <v>Neil</v>
      </c>
      <c r="C13" s="8" t="str">
        <f t="array" ref="C13">IFERROR(
INDEX(Master!D$2:D$272,
SMALL(
IF(EXACT(Master!$M$2:$M$272,Rosters!$A$1),
ROW(Master!D$2:D$272)-ROW(Master!D$2)+1
),
ROWS(Master!D$2:'Master'!D12)
)
),"")</f>
        <v>Heller</v>
      </c>
      <c r="D13" s="7">
        <f t="array" aca="1" ref="D13" ca="1">IFERROR(
 INDEX(Master!O$2:O$272,
  SMALL(
   IF(EXACT(Master!$M$2:$M$272,Rosters!$A$1),
    ROW(Master!O$2:O$272)-ROW(Master!O$2)+1
    ),
   ROWS(Master!O$2:'Master'!O12)
  )
 ),"")</f>
        <v>13</v>
      </c>
      <c r="E13" s="8" t="str">
        <f t="array" ref="E13">IFERROR(
 INDEX(Master!A$2:A$272,
  SMALL(
   IF(EXACT(Master!$M$2:$M$272,Rosters!$A$1),
    ROW(Master!A$2:A$272)-ROW(Master!A$2)+1
    ),
   ROWS(Master!A$2:'Master'!A12)
  )
 ),"")</f>
        <v>Nicole/Eric</v>
      </c>
      <c r="F13" s="8" t="str">
        <f t="array" ref="F13">IFERROR(
INDEX(Master!B$2:B$272,
SMALL(
IF(EXACT(Master!$M$2:$M$272,Rosters!$A$1),
ROW(Master!B$2:B$272)-ROW(Master!B$2)+1
),
ROWS(Master!B$2:'Master'!B12)
)
),"")</f>
        <v>Heller</v>
      </c>
      <c r="G13" s="7">
        <f t="array" ref="G13">IFERROR(
 INDEX(Master!K$2:K$272,
  SMALL(
   IF(EXACT(Master!$M$2:$M$272,Rosters!$A$1),
    ROW(Master!K$2:K$272)-ROW(Master!K$2)+1
    ),
   ROWS(Master!K$2:'Master'!K12)
  )
 ),"")</f>
        <v>937</v>
      </c>
      <c r="H13" s="7" t="str">
        <f t="array" ref="H13">IFERROR(
INDEX(Master!L$2:L$272,
SMALL(
IF(EXACT(Master!$M$2:$M$272,Rosters!$A$1),
ROW(Master!L$2:L$272)-ROW(Master!L$2)+1
),
ROWS(Master!L$2:'Master'!L12)
)
),"")</f>
        <v>293-9366</v>
      </c>
      <c r="I13" s="8" t="str">
        <f t="array" ref="I13">IFERROR(
 INDEX(Master!Q$2:Q$272,
  SMALL(
   IF(EXACT(Master!$M$2:$M$272,Rosters!$A$1),
    ROW(Master!Q$2:Q$272)-ROW(Master!Q$2)+1
    ),
   ROWS(Master!Q$2:'Master'!Q12)
  )
 ),"")</f>
        <v>nkheller@hotmail.com</v>
      </c>
    </row>
    <row r="14" spans="1:9" x14ac:dyDescent="0.25">
      <c r="A14" s="7">
        <v>12</v>
      </c>
      <c r="B14" s="60" t="str">
        <f t="array" ref="B14">IFERROR(
 INDEX(Master!C$2:C$272,
  SMALL(
   IF(EXACT(Master!$M$2:$M$272,Rosters!$A$1),
    ROW(Master!C$2:C$272)-ROW(Master!C$2)+1
    ),
   ROWS(Master!C$2:'Master'!C13)
  )
 ),"")</f>
        <v>Corey</v>
      </c>
      <c r="C14" s="8" t="str">
        <f t="array" ref="C14">IFERROR(
INDEX(Master!D$2:D$272,
SMALL(
IF(EXACT(Master!$M$2:$M$272,Rosters!$A$1),
ROW(Master!D$2:D$272)-ROW(Master!D$2)+1
),
ROWS(Master!D$2:'Master'!D13)
)
),"")</f>
        <v>Hume</v>
      </c>
      <c r="D14" s="7">
        <f t="array" aca="1" ref="D14" ca="1">IFERROR(
 INDEX(Master!O$2:O$272,
  SMALL(
   IF(EXACT(Master!$M$2:$M$272,Rosters!$A$1),
    ROW(Master!O$2:O$272)-ROW(Master!O$2)+1
    ),
   ROWS(Master!O$2:'Master'!O13)
  )
 ),"")</f>
        <v>29</v>
      </c>
      <c r="E14" s="8" t="str">
        <f t="array" ref="E14">IFERROR(
 INDEX(Master!A$2:A$272,
  SMALL(
   IF(EXACT(Master!$M$2:$M$272,Rosters!$A$1),
    ROW(Master!A$2:A$272)-ROW(Master!A$2)+1
    ),
   ROWS(Master!A$2:'Master'!A13)
  )
 ),"")</f>
        <v>Chris/Cara</v>
      </c>
      <c r="F14" s="8" t="str">
        <f t="array" ref="F14">IFERROR(
INDEX(Master!B$2:B$272,
SMALL(
IF(EXACT(Master!$M$2:$M$272,Rosters!$A$1),
ROW(Master!B$2:B$272)-ROW(Master!B$2)+1
),
ROWS(Master!B$2:'Master'!B13)
)
),"")</f>
        <v>Hume</v>
      </c>
      <c r="G14" s="7">
        <f t="array" ref="G14">IFERROR(
 INDEX(Master!K$2:K$272,
  SMALL(
   IF(EXACT(Master!$M$2:$M$272,Rosters!$A$1),
    ROW(Master!K$2:K$272)-ROW(Master!K$2)+1
    ),
   ROWS(Master!K$2:'Master'!K13)
  )
 ),"")</f>
        <v>937</v>
      </c>
      <c r="H14" s="7" t="str">
        <f t="array" ref="H14">IFERROR(
INDEX(Master!L$2:L$272,
SMALL(
IF(EXACT(Master!$M$2:$M$272,Rosters!$A$1),
ROW(Master!L$2:L$272)-ROW(Master!L$2)+1
),
ROWS(Master!L$2:'Master'!L13)
)
),"")</f>
        <v>426-6789</v>
      </c>
      <c r="I14" s="8" t="str">
        <f t="array" ref="I14">IFERROR(
 INDEX(Master!Q$2:Q$272,
  SMALL(
   IF(EXACT(Master!$M$2:$M$272,Rosters!$A$1),
    ROW(Master!Q$2:Q$272)-ROW(Master!Q$2)+1
    ),
   ROWS(Master!Q$2:'Master'!Q13)
  )
 ),"")</f>
        <v>cdhume@ameritech.net</v>
      </c>
    </row>
    <row r="15" spans="1:9" x14ac:dyDescent="0.25">
      <c r="A15" s="7">
        <v>13</v>
      </c>
      <c r="B15" s="60" t="str">
        <f t="array" ref="B15">IFERROR(
 INDEX(Master!C$2:C$272,
  SMALL(
   IF(EXACT(Master!$M$2:$M$272,Rosters!$A$1),
    ROW(Master!C$2:C$272)-ROW(Master!C$2)+1
    ),
   ROWS(Master!C$2:'Master'!C14)
  )
 ),"")</f>
        <v>Skylar</v>
      </c>
      <c r="C15" s="8" t="str">
        <f t="array" ref="C15">IFERROR(
INDEX(Master!D$2:D$272,
SMALL(
IF(EXACT(Master!$M$2:$M$272,Rosters!$A$1),
ROW(Master!D$2:D$272)-ROW(Master!D$2)+1
),
ROWS(Master!D$2:'Master'!D14)
)
),"")</f>
        <v>Hurley</v>
      </c>
      <c r="D15" s="7">
        <f t="array" aca="1" ref="D15" ca="1">IFERROR(
 INDEX(Master!O$2:O$272,
  SMALL(
   IF(EXACT(Master!$M$2:$M$272,Rosters!$A$1),
    ROW(Master!O$2:O$272)-ROW(Master!O$2)+1
    ),
   ROWS(Master!O$2:'Master'!O14)
  )
 ),"")</f>
        <v>13</v>
      </c>
      <c r="E15" s="8" t="str">
        <f t="array" ref="E15">IFERROR(
 INDEX(Master!A$2:A$272,
  SMALL(
   IF(EXACT(Master!$M$2:$M$272,Rosters!$A$1),
    ROW(Master!A$2:A$272)-ROW(Master!A$2)+1
    ),
   ROWS(Master!A$2:'Master'!A14)
  )
 ),"")</f>
        <v>Taylor</v>
      </c>
      <c r="F15" s="8" t="str">
        <f t="array" ref="F15">IFERROR(
INDEX(Master!B$2:B$272,
SMALL(
IF(EXACT(Master!$M$2:$M$272,Rosters!$A$1),
ROW(Master!B$2:B$272)-ROW(Master!B$2)+1
),
ROWS(Master!B$2:'Master'!B14)
)
),"")</f>
        <v>Hurley</v>
      </c>
      <c r="G15" s="7">
        <f t="array" ref="G15">IFERROR(
 INDEX(Master!K$2:K$272,
  SMALL(
   IF(EXACT(Master!$M$2:$M$272,Rosters!$A$1),
    ROW(Master!K$2:K$272)-ROW(Master!K$2)+1
    ),
   ROWS(Master!K$2:'Master'!K14)
  )
 ),"")</f>
        <v>937</v>
      </c>
      <c r="H15" s="7" t="str">
        <f t="array" ref="H15">IFERROR(
INDEX(Master!L$2:L$272,
SMALL(
IF(EXACT(Master!$M$2:$M$272,Rosters!$A$1),
ROW(Master!L$2:L$272)-ROW(Master!L$2)+1
),
ROWS(Master!L$2:'Master'!L14)
)
),"")</f>
        <v>901-2576</v>
      </c>
      <c r="I15" s="8" t="str">
        <f t="array" ref="I15">IFERROR(
 INDEX(Master!Q$2:Q$272,
  SMALL(
   IF(EXACT(Master!$M$2:$M$272,Rosters!$A$1),
    ROW(Master!Q$2:Q$272)-ROW(Master!Q$2)+1
    ),
   ROWS(Master!Q$2:'Master'!Q14)
  )
 ),"")</f>
        <v>taylor.hurley92@yahoo.com</v>
      </c>
    </row>
    <row r="16" spans="1:9" x14ac:dyDescent="0.25">
      <c r="A16" s="7">
        <v>14</v>
      </c>
      <c r="B16" s="60" t="str">
        <f t="array" ref="B16">IFERROR(
 INDEX(Master!C$2:C$272,
  SMALL(
   IF(EXACT(Master!$M$2:$M$272,Rosters!$A$1),
    ROW(Master!C$2:C$272)-ROW(Master!C$2)+1
    ),
   ROWS(Master!C$2:'Master'!C15)
  )
 ),"")</f>
        <v>Korey</v>
      </c>
      <c r="C16" s="8" t="str">
        <f t="array" ref="C16">IFERROR(
INDEX(Master!D$2:D$272,
SMALL(
IF(EXACT(Master!$M$2:$M$272,Rosters!$A$1),
ROW(Master!D$2:D$272)-ROW(Master!D$2)+1
),
ROWS(Master!D$2:'Master'!D15)
)
),"")</f>
        <v xml:space="preserve">Joseph </v>
      </c>
      <c r="D16" s="7">
        <f t="array" aca="1" ref="D16" ca="1">IFERROR(
 INDEX(Master!O$2:O$272,
  SMALL(
   IF(EXACT(Master!$M$2:$M$272,Rosters!$A$1),
    ROW(Master!O$2:O$272)-ROW(Master!O$2)+1
    ),
   ROWS(Master!O$2:'Master'!O15)
  )
 ),"")</f>
        <v>32</v>
      </c>
      <c r="E16" s="8" t="str">
        <f t="array" ref="E16">IFERROR(
 INDEX(Master!A$2:A$272,
  SMALL(
   IF(EXACT(Master!$M$2:$M$272,Rosters!$A$1),
    ROW(Master!A$2:A$272)-ROW(Master!A$2)+1
    ),
   ROWS(Master!A$2:'Master'!A15)
  )
 ),"")</f>
        <v>Christina</v>
      </c>
      <c r="F16" s="8" t="str">
        <f t="array" ref="F16">IFERROR(
INDEX(Master!B$2:B$272,
SMALL(
IF(EXACT(Master!$M$2:$M$272,Rosters!$A$1),
ROW(Master!B$2:B$272)-ROW(Master!B$2)+1
),
ROWS(Master!B$2:'Master'!B15)
)
),"")</f>
        <v>Joseph</v>
      </c>
      <c r="G16" s="7">
        <f t="array" ref="G16">IFERROR(
 INDEX(Master!K$2:K$272,
  SMALL(
   IF(EXACT(Master!$M$2:$M$272,Rosters!$A$1),
    ROW(Master!K$2:K$272)-ROW(Master!K$2)+1
    ),
   ROWS(Master!K$2:'Master'!K15)
  )
 ),"")</f>
        <v>513</v>
      </c>
      <c r="H16" s="7" t="str">
        <f t="array" ref="H16">IFERROR(
INDEX(Master!L$2:L$272,
SMALL(
IF(EXACT(Master!$M$2:$M$272,Rosters!$A$1),
ROW(Master!L$2:L$272)-ROW(Master!L$2)+1
),
ROWS(Master!L$2:'Master'!L15)
)
),"")</f>
        <v>464-3212</v>
      </c>
      <c r="I16" s="8" t="str">
        <f t="array" ref="I16">IFERROR(
 INDEX(Master!Q$2:Q$272,
  SMALL(
   IF(EXACT(Master!$M$2:$M$272,Rosters!$A$1),
    ROW(Master!Q$2:Q$272)-ROW(Master!Q$2)+1
    ),
   ROWS(Master!Q$2:'Master'!Q15)
  )
 ),"")</f>
        <v>christyfacebook420420@gmail.com</v>
      </c>
    </row>
    <row r="17" spans="1:9" x14ac:dyDescent="0.25">
      <c r="A17" s="7">
        <v>15</v>
      </c>
      <c r="B17" s="60" t="str">
        <f t="array" ref="B17">IFERROR(
 INDEX(Master!C$2:C$272,
  SMALL(
   IF(EXACT(Master!$M$2:$M$272,Rosters!$A$1),
    ROW(Master!C$2:C$272)-ROW(Master!C$2)+1
    ),
   ROWS(Master!C$2:'Master'!C16)
  )
 ),"")</f>
        <v>Trent</v>
      </c>
      <c r="C17" s="8" t="str">
        <f t="array" ref="C17">IFERROR(
INDEX(Master!D$2:D$272,
SMALL(
IF(EXACT(Master!$M$2:$M$272,Rosters!$A$1),
ROW(Master!D$2:D$272)-ROW(Master!D$2)+1
),
ROWS(Master!D$2:'Master'!D16)
)
),"")</f>
        <v>Kapfhammer</v>
      </c>
      <c r="D17" s="7">
        <f t="array" aca="1" ref="D17" ca="1">IFERROR(
 INDEX(Master!O$2:O$272,
  SMALL(
   IF(EXACT(Master!$M$2:$M$272,Rosters!$A$1),
    ROW(Master!O$2:O$272)-ROW(Master!O$2)+1
    ),
   ROWS(Master!O$2:'Master'!O16)
  )
 ),"")</f>
        <v>12</v>
      </c>
      <c r="E17" s="8" t="str">
        <f t="array" ref="E17">IFERROR(
 INDEX(Master!A$2:A$272,
  SMALL(
   IF(EXACT(Master!$M$2:$M$272,Rosters!$A$1),
    ROW(Master!A$2:A$272)-ROW(Master!A$2)+1
    ),
   ROWS(Master!A$2:'Master'!A16)
  )
 ),"")</f>
        <v>Astrid</v>
      </c>
      <c r="F17" s="8" t="str">
        <f t="array" ref="F17">IFERROR(
INDEX(Master!B$2:B$272,
SMALL(
IF(EXACT(Master!$M$2:$M$272,Rosters!$A$1),
ROW(Master!B$2:B$272)-ROW(Master!B$2)+1
),
ROWS(Master!B$2:'Master'!B16)
)
),"")</f>
        <v>Kapfhammer</v>
      </c>
      <c r="G17" s="7">
        <f t="array" ref="G17">IFERROR(
 INDEX(Master!K$2:K$272,
  SMALL(
   IF(EXACT(Master!$M$2:$M$272,Rosters!$A$1),
    ROW(Master!K$2:K$272)-ROW(Master!K$2)+1
    ),
   ROWS(Master!K$2:'Master'!K16)
  )
 ),"")</f>
        <v>937</v>
      </c>
      <c r="H17" s="7" t="str">
        <f t="array" ref="H17">IFERROR(
INDEX(Master!L$2:L$272,
SMALL(
IF(EXACT(Master!$M$2:$M$272,Rosters!$A$1),
ROW(Master!L$2:L$272)-ROW(Master!L$2)+1
),
ROWS(Master!L$2:'Master'!L16)
)
),"")</f>
        <v>430-4636</v>
      </c>
      <c r="I17" s="8" t="str">
        <f t="array" ref="I17">IFERROR(
 INDEX(Master!Q$2:Q$272,
  SMALL(
   IF(EXACT(Master!$M$2:$M$272,Rosters!$A$1),
    ROW(Master!Q$2:Q$272)-ROW(Master!Q$2)+1
    ),
   ROWS(Master!Q$2:'Master'!Q16)
  )
 ),"")</f>
        <v>astridkap3@gmail.com</v>
      </c>
    </row>
    <row r="18" spans="1:9" x14ac:dyDescent="0.25">
      <c r="A18" s="7">
        <v>16</v>
      </c>
      <c r="B18" s="60" t="str">
        <f t="array" ref="B18">IFERROR(
 INDEX(Master!C$2:C$272,
  SMALL(
   IF(EXACT(Master!$M$2:$M$272,Rosters!$A$1),
    ROW(Master!C$2:C$272)-ROW(Master!C$2)+1
    ),
   ROWS(Master!C$2:'Master'!C17)
  )
 ),"")</f>
        <v>Jayla</v>
      </c>
      <c r="C18" s="8" t="str">
        <f t="array" ref="C18">IFERROR(
INDEX(Master!D$2:D$272,
SMALL(
IF(EXACT(Master!$M$2:$M$272,Rosters!$A$1),
ROW(Master!D$2:D$272)-ROW(Master!D$2)+1
),
ROWS(Master!D$2:'Master'!D17)
)
),"")</f>
        <v>Miller</v>
      </c>
      <c r="D18" s="7">
        <f t="array" aca="1" ref="D18" ca="1">IFERROR(
 INDEX(Master!O$2:O$272,
  SMALL(
   IF(EXACT(Master!$M$2:$M$272,Rosters!$A$1),
    ROW(Master!O$2:O$272)-ROW(Master!O$2)+1
    ),
   ROWS(Master!O$2:'Master'!O17)
  )
 ),"")</f>
        <v>20</v>
      </c>
      <c r="E18" s="8" t="str">
        <f t="array" ref="E18">IFERROR(
 INDEX(Master!A$2:A$272,
  SMALL(
   IF(EXACT(Master!$M$2:$M$272,Rosters!$A$1),
    ROW(Master!A$2:A$272)-ROW(Master!A$2)+1
    ),
   ROWS(Master!A$2:'Master'!A17)
  )
 ),"")</f>
        <v>Deborah</v>
      </c>
      <c r="F18" s="8" t="str">
        <f t="array" ref="F18">IFERROR(
INDEX(Master!B$2:B$272,
SMALL(
IF(EXACT(Master!$M$2:$M$272,Rosters!$A$1),
ROW(Master!B$2:B$272)-ROW(Master!B$2)+1
),
ROWS(Master!B$2:'Master'!B17)
)
),"")</f>
        <v>Miller</v>
      </c>
      <c r="G18" s="7">
        <f t="array" ref="G18">IFERROR(
 INDEX(Master!K$2:K$272,
  SMALL(
   IF(EXACT(Master!$M$2:$M$272,Rosters!$A$1),
    ROW(Master!K$2:K$272)-ROW(Master!K$2)+1
    ),
   ROWS(Master!K$2:'Master'!K17)
  )
 ),"")</f>
        <v>513</v>
      </c>
      <c r="H18" s="7" t="str">
        <f t="array" ref="H18">IFERROR(
INDEX(Master!L$2:L$272,
SMALL(
IF(EXACT(Master!$M$2:$M$272,Rosters!$A$1),
ROW(Master!L$2:L$272)-ROW(Master!L$2)+1
),
ROWS(Master!L$2:'Master'!L17)
)
),"")</f>
        <v>673-9062</v>
      </c>
      <c r="I18" s="8" t="str">
        <f t="array" ref="I18">IFERROR(
 INDEX(Master!Q$2:Q$272,
  SMALL(
   IF(EXACT(Master!$M$2:$M$272,Rosters!$A$1),
    ROW(Master!Q$2:Q$272)-ROW(Master!Q$2)+1
    ),
   ROWS(Master!Q$2:'Master'!Q17)
  )
 ),"")</f>
        <v>dgayle1@hotmail.com</v>
      </c>
    </row>
    <row r="19" spans="1:9" x14ac:dyDescent="0.25">
      <c r="A19" s="7">
        <v>17</v>
      </c>
      <c r="B19" s="60" t="str">
        <f t="array" ref="B19">IFERROR(
 INDEX(Master!C$2:C$272,
  SMALL(
   IF(EXACT(Master!$M$2:$M$272,Rosters!$A$1),
    ROW(Master!C$2:C$272)-ROW(Master!C$2)+1
    ),
   ROWS(Master!C$2:'Master'!C18)
  )
 ),"")</f>
        <v>Owen</v>
      </c>
      <c r="C19" s="8" t="str">
        <f t="array" ref="C19">IFERROR(
INDEX(Master!D$2:D$272,
SMALL(
IF(EXACT(Master!$M$2:$M$272,Rosters!$A$1),
ROW(Master!D$2:D$272)-ROW(Master!D$2)+1
),
ROWS(Master!D$2:'Master'!D18)
)
),"")</f>
        <v>Moore</v>
      </c>
      <c r="D19" s="7">
        <f t="array" aca="1" ref="D19" ca="1">IFERROR(
 INDEX(Master!O$2:O$272,
  SMALL(
   IF(EXACT(Master!$M$2:$M$272,Rosters!$A$1),
    ROW(Master!O$2:O$272)-ROW(Master!O$2)+1
    ),
   ROWS(Master!O$2:'Master'!O18)
  )
 ),"")</f>
        <v>11</v>
      </c>
      <c r="E19" s="8" t="str">
        <f t="array" ref="E19">IFERROR(
 INDEX(Master!A$2:A$272,
  SMALL(
   IF(EXACT(Master!$M$2:$M$272,Rosters!$A$1),
    ROW(Master!A$2:A$272)-ROW(Master!A$2)+1
    ),
   ROWS(Master!A$2:'Master'!A18)
  )
 ),"")</f>
        <v>Jen</v>
      </c>
      <c r="F19" s="8" t="str">
        <f t="array" ref="F19">IFERROR(
INDEX(Master!B$2:B$272,
SMALL(
IF(EXACT(Master!$M$2:$M$272,Rosters!$A$1),
ROW(Master!B$2:B$272)-ROW(Master!B$2)+1
),
ROWS(Master!B$2:'Master'!B18)
)
),"")</f>
        <v>Moore</v>
      </c>
      <c r="G19" s="7">
        <f t="array" ref="G19">IFERROR(
 INDEX(Master!K$2:K$272,
  SMALL(
   IF(EXACT(Master!$M$2:$M$272,Rosters!$A$1),
    ROW(Master!K$2:K$272)-ROW(Master!K$2)+1
    ),
   ROWS(Master!K$2:'Master'!K18)
  )
 ),"")</f>
        <v>937</v>
      </c>
      <c r="H19" s="7" t="str">
        <f t="array" ref="H19">IFERROR(
INDEX(Master!L$2:L$272,
SMALL(
IF(EXACT(Master!$M$2:$M$272,Rosters!$A$1),
ROW(Master!L$2:L$272)-ROW(Master!L$2)+1
),
ROWS(Master!L$2:'Master'!L18)
)
),"")</f>
        <v>205-4651</v>
      </c>
      <c r="I19" s="8" t="str">
        <f t="array" ref="I19">IFERROR(
 INDEX(Master!Q$2:Q$272,
  SMALL(
   IF(EXACT(Master!$M$2:$M$272,Rosters!$A$1),
    ROW(Master!Q$2:Q$272)-ROW(Master!Q$2)+1
    ),
   ROWS(Master!Q$2:'Master'!Q18)
  )
 ),"")</f>
        <v>jenandjeremymoore@gmail.com</v>
      </c>
    </row>
    <row r="20" spans="1:9" x14ac:dyDescent="0.25">
      <c r="A20" s="7">
        <v>18</v>
      </c>
      <c r="B20" s="60" t="str">
        <f t="array" ref="B20">IFERROR(
 INDEX(Master!C$2:C$272,
  SMALL(
   IF(EXACT(Master!$M$2:$M$272,Rosters!$A$1),
    ROW(Master!C$2:C$272)-ROW(Master!C$2)+1
    ),
   ROWS(Master!C$2:'Master'!C19)
  )
 ),"")</f>
        <v>Jaiven</v>
      </c>
      <c r="C20" s="8" t="str">
        <f t="array" ref="C20">IFERROR(
INDEX(Master!D$2:D$272,
SMALL(
IF(EXACT(Master!$M$2:$M$272,Rosters!$A$1),
ROW(Master!D$2:D$272)-ROW(Master!D$2)+1
),
ROWS(Master!D$2:'Master'!D19)
)
),"")</f>
        <v>Pattson</v>
      </c>
      <c r="D20" s="7">
        <f t="array" aca="1" ref="D20" ca="1">IFERROR(
 INDEX(Master!O$2:O$272,
  SMALL(
   IF(EXACT(Master!$M$2:$M$272,Rosters!$A$1),
    ROW(Master!O$2:O$272)-ROW(Master!O$2)+1
    ),
   ROWS(Master!O$2:'Master'!O19)
  )
 ),"")</f>
        <v>15</v>
      </c>
      <c r="E20" s="8" t="str">
        <f t="array" ref="E20">IFERROR(
 INDEX(Master!A$2:A$272,
  SMALL(
   IF(EXACT(Master!$M$2:$M$272,Rosters!$A$1),
    ROW(Master!A$2:A$272)-ROW(Master!A$2)+1
    ),
   ROWS(Master!A$2:'Master'!A19)
  )
 ),"")</f>
        <v>Shayna</v>
      </c>
      <c r="F20" s="8" t="str">
        <f t="array" ref="F20">IFERROR(
INDEX(Master!B$2:B$272,
SMALL(
IF(EXACT(Master!$M$2:$M$272,Rosters!$A$1),
ROW(Master!B$2:B$272)-ROW(Master!B$2)+1
),
ROWS(Master!B$2:'Master'!B19)
)
),"")</f>
        <v>Boyd</v>
      </c>
      <c r="G20" s="7">
        <f t="array" ref="G20">IFERROR(
 INDEX(Master!K$2:K$272,
  SMALL(
   IF(EXACT(Master!$M$2:$M$272,Rosters!$A$1),
    ROW(Master!K$2:K$272)-ROW(Master!K$2)+1
    ),
   ROWS(Master!K$2:'Master'!K19)
  )
 ),"")</f>
        <v>937</v>
      </c>
      <c r="H20" s="7" t="str">
        <f t="array" ref="H20">IFERROR(
INDEX(Master!L$2:L$272,
SMALL(
IF(EXACT(Master!$M$2:$M$272,Rosters!$A$1),
ROW(Master!L$2:L$272)-ROW(Master!L$2)+1
),
ROWS(Master!L$2:'Master'!L19)
)
),"")</f>
        <v>670-9003</v>
      </c>
      <c r="I20" s="8" t="str">
        <f t="array" ref="I20">IFERROR(
 INDEX(Master!Q$2:Q$272,
  SMALL(
   IF(EXACT(Master!$M$2:$M$272,Rosters!$A$1),
    ROW(Master!Q$2:Q$272)-ROW(Master!Q$2)+1
    ),
   ROWS(Master!Q$2:'Master'!Q19)
  )
 ),"")</f>
        <v>shayb2011wsu@gmail.com</v>
      </c>
    </row>
    <row r="21" spans="1:9" x14ac:dyDescent="0.25">
      <c r="A21" s="7">
        <v>19</v>
      </c>
      <c r="B21" s="60" t="str">
        <f t="array" ref="B21">IFERROR(
 INDEX(Master!C$2:C$272,
  SMALL(
   IF(EXACT(Master!$M$2:$M$272,Rosters!$A$1),
    ROW(Master!C$2:C$272)-ROW(Master!C$2)+1
    ),
   ROWS(Master!C$2:'Master'!C20)
  )
 ),"")</f>
        <v>David</v>
      </c>
      <c r="C21" s="8" t="str">
        <f t="array" ref="C21">IFERROR(
INDEX(Master!D$2:D$272,
SMALL(
IF(EXACT(Master!$M$2:$M$272,Rosters!$A$1),
ROW(Master!D$2:D$272)-ROW(Master!D$2)+1
),
ROWS(Master!D$2:'Master'!D20)
)
),"")</f>
        <v>Sauer</v>
      </c>
      <c r="D21" s="7">
        <f t="array" aca="1" ref="D21" ca="1">IFERROR(
 INDEX(Master!O$2:O$272,
  SMALL(
   IF(EXACT(Master!$M$2:$M$272,Rosters!$A$1),
    ROW(Master!O$2:O$272)-ROW(Master!O$2)+1
    ),
   ROWS(Master!O$2:'Master'!O20)
  )
 ),"")</f>
        <v>19</v>
      </c>
      <c r="E21" s="8" t="str">
        <f t="array" ref="E21">IFERROR(
 INDEX(Master!A$2:A$272,
  SMALL(
   IF(EXACT(Master!$M$2:$M$272,Rosters!$A$1),
    ROW(Master!A$2:A$272)-ROW(Master!A$2)+1
    ),
   ROWS(Master!A$2:'Master'!A20)
  )
 ),"")</f>
        <v>Carol/Bill</v>
      </c>
      <c r="F21" s="8" t="str">
        <f t="array" ref="F21">IFERROR(
INDEX(Master!B$2:B$272,
SMALL(
IF(EXACT(Master!$M$2:$M$272,Rosters!$A$1),
ROW(Master!B$2:B$272)-ROW(Master!B$2)+1
),
ROWS(Master!B$2:'Master'!B20)
)
),"")</f>
        <v>Sauer</v>
      </c>
      <c r="G21" s="7">
        <f t="array" ref="G21">IFERROR(
 INDEX(Master!K$2:K$272,
  SMALL(
   IF(EXACT(Master!$M$2:$M$272,Rosters!$A$1),
    ROW(Master!K$2:K$272)-ROW(Master!K$2)+1
    ),
   ROWS(Master!K$2:'Master'!K20)
  )
 ),"")</f>
        <v>937</v>
      </c>
      <c r="H21" s="7" t="str">
        <f t="array" ref="H21">IFERROR(
INDEX(Master!L$2:L$272,
SMALL(
IF(EXACT(Master!$M$2:$M$272,Rosters!$A$1),
ROW(Master!L$2:L$272)-ROW(Master!L$2)+1
),
ROWS(Master!L$2:'Master'!L20)
)
),"")</f>
        <v>395-0502</v>
      </c>
      <c r="I21" s="8" t="str">
        <f t="array" ref="I21">IFERROR(
 INDEX(Master!Q$2:Q$272,
  SMALL(
   IF(EXACT(Master!$M$2:$M$272,Rosters!$A$1),
    ROW(Master!Q$2:Q$272)-ROW(Master!Q$2)+1
    ),
   ROWS(Master!Q$2:'Master'!Q20)
  )
 ),"")</f>
        <v>sauer67carol@gmail.com</v>
      </c>
    </row>
    <row r="22" spans="1:9" x14ac:dyDescent="0.25">
      <c r="A22" s="7">
        <v>20</v>
      </c>
      <c r="B22" s="60" t="str">
        <f t="array" ref="B22">IFERROR(
 INDEX(Master!C$2:C$272,
  SMALL(
   IF(EXACT(Master!$M$2:$M$272,Rosters!$A$1),
    ROW(Master!C$2:C$272)-ROW(Master!C$2)+1
    ),
   ROWS(Master!C$2:'Master'!C21)
  )
 ),"")</f>
        <v>Jessica</v>
      </c>
      <c r="C22" s="8" t="str">
        <f t="array" ref="C22">IFERROR(
INDEX(Master!D$2:D$272,
SMALL(
IF(EXACT(Master!$M$2:$M$272,Rosters!$A$1),
ROW(Master!D$2:D$272)-ROW(Master!D$2)+1
),
ROWS(Master!D$2:'Master'!D21)
)
),"")</f>
        <v>Savage</v>
      </c>
      <c r="D22" s="7">
        <f t="array" aca="1" ref="D22" ca="1">IFERROR(
 INDEX(Master!O$2:O$272,
  SMALL(
   IF(EXACT(Master!$M$2:$M$272,Rosters!$A$1),
    ROW(Master!O$2:O$272)-ROW(Master!O$2)+1
    ),
   ROWS(Master!O$2:'Master'!O21)
  )
 ),"")</f>
        <v>34</v>
      </c>
      <c r="E22" s="8" t="str">
        <f t="array" ref="E22">IFERROR(
 INDEX(Master!A$2:A$272,
  SMALL(
   IF(EXACT(Master!$M$2:$M$272,Rosters!$A$1),
    ROW(Master!A$2:A$272)-ROW(Master!A$2)+1
    ),
   ROWS(Master!A$2:'Master'!A21)
  )
 ),"")</f>
        <v xml:space="preserve">Brenda </v>
      </c>
      <c r="F22" s="8" t="str">
        <f t="array" ref="F22">IFERROR(
INDEX(Master!B$2:B$272,
SMALL(
IF(EXACT(Master!$M$2:$M$272,Rosters!$A$1),
ROW(Master!B$2:B$272)-ROW(Master!B$2)+1
),
ROWS(Master!B$2:'Master'!B21)
)
),"")</f>
        <v>Savage</v>
      </c>
      <c r="G22" s="7">
        <f t="array" ref="G22">IFERROR(
 INDEX(Master!K$2:K$272,
  SMALL(
   IF(EXACT(Master!$M$2:$M$272,Rosters!$A$1),
    ROW(Master!K$2:K$272)-ROW(Master!K$2)+1
    ),
   ROWS(Master!K$2:'Master'!K21)
  )
 ),"")</f>
        <v>937</v>
      </c>
      <c r="H22" s="7" t="str">
        <f t="array" ref="H22">IFERROR(
INDEX(Master!L$2:L$272,
SMALL(
IF(EXACT(Master!$M$2:$M$272,Rosters!$A$1),
ROW(Master!L$2:L$272)-ROW(Master!L$2)+1
),
ROWS(Master!L$2:'Master'!L21)
)
),"")</f>
        <v>608-3045</v>
      </c>
      <c r="I22" s="8" t="str">
        <f t="array" ref="I22">IFERROR(
 INDEX(Master!Q$2:Q$272,
  SMALL(
   IF(EXACT(Master!$M$2:$M$272,Rosters!$A$1),
    ROW(Master!Q$2:Q$272)-ROW(Master!Q$2)+1
    ),
   ROWS(Master!Q$2:'Master'!Q21)
  )
 ),"")</f>
        <v>bsavage1@mail.com</v>
      </c>
    </row>
    <row r="23" spans="1:9" x14ac:dyDescent="0.25">
      <c r="A23" s="7">
        <v>21</v>
      </c>
      <c r="B23" s="60" t="str">
        <f t="array" ref="B23">IFERROR(
 INDEX(Master!C$2:C$272,
  SMALL(
   IF(EXACT(Master!$M$2:$M$272,Rosters!$A$1),
    ROW(Master!C$2:C$272)-ROW(Master!C$2)+1
    ),
   ROWS(Master!C$2:'Master'!C22)
  )
 ),"")</f>
        <v xml:space="preserve">Ryan </v>
      </c>
      <c r="C23" s="8" t="str">
        <f t="array" ref="C23">IFERROR(
INDEX(Master!D$2:D$272,
SMALL(
IF(EXACT(Master!$M$2:$M$272,Rosters!$A$1),
ROW(Master!D$2:D$272)-ROW(Master!D$2)+1
),
ROWS(Master!D$2:'Master'!D22)
)
),"")</f>
        <v>Shockley</v>
      </c>
      <c r="D23" s="7">
        <f t="array" aca="1" ref="D23" ca="1">IFERROR(
 INDEX(Master!O$2:O$272,
  SMALL(
   IF(EXACT(Master!$M$2:$M$272,Rosters!$A$1),
    ROW(Master!O$2:O$272)-ROW(Master!O$2)+1
    ),
   ROWS(Master!O$2:'Master'!O22)
  )
 ),"")</f>
        <v>28</v>
      </c>
      <c r="E23" s="8" t="str">
        <f t="array" ref="E23">IFERROR(
 INDEX(Master!A$2:A$272,
  SMALL(
   IF(EXACT(Master!$M$2:$M$272,Rosters!$A$1),
    ROW(Master!A$2:A$272)-ROW(Master!A$2)+1
    ),
   ROWS(Master!A$2:'Master'!A22)
  )
 ),"")</f>
        <v>Bill/Neej</v>
      </c>
      <c r="F23" s="8" t="str">
        <f t="array" ref="F23">IFERROR(
INDEX(Master!B$2:B$272,
SMALL(
IF(EXACT(Master!$M$2:$M$272,Rosters!$A$1),
ROW(Master!B$2:B$272)-ROW(Master!B$2)+1
),
ROWS(Master!B$2:'Master'!B22)
)
),"")</f>
        <v>Shockley</v>
      </c>
      <c r="G23" s="7">
        <f t="array" ref="G23">IFERROR(
 INDEX(Master!K$2:K$272,
  SMALL(
   IF(EXACT(Master!$M$2:$M$272,Rosters!$A$1),
    ROW(Master!K$2:K$272)-ROW(Master!K$2)+1
    ),
   ROWS(Master!K$2:'Master'!K22)
  )
 ),"")</f>
        <v>937</v>
      </c>
      <c r="H23" s="7" t="str">
        <f t="array" ref="H23">IFERROR(
INDEX(Master!L$2:L$272,
SMALL(
IF(EXACT(Master!$M$2:$M$272,Rosters!$A$1),
ROW(Master!L$2:L$272)-ROW(Master!L$2)+1
),
ROWS(Master!L$2:'Master'!L22)
)
),"")</f>
        <v>673-1109</v>
      </c>
      <c r="I23" s="8" t="str">
        <f t="array" ref="I23">IFERROR(
 INDEX(Master!Q$2:Q$272,
  SMALL(
   IF(EXACT(Master!$M$2:$M$272,Rosters!$A$1),
    ROW(Master!Q$2:Q$272)-ROW(Master!Q$2)+1
    ),
   ROWS(Master!Q$2:'Master'!Q22)
  )
 ),"")</f>
        <v>neejmescher@gmail.com</v>
      </c>
    </row>
    <row r="24" spans="1:9" x14ac:dyDescent="0.25">
      <c r="A24" s="7">
        <v>22</v>
      </c>
      <c r="B24" s="60" t="str">
        <f t="array" ref="B24">IFERROR(
 INDEX(Master!C$2:C$272,
  SMALL(
   IF(EXACT(Master!$M$2:$M$272,Rosters!$A$1),
    ROW(Master!C$2:C$272)-ROW(Master!C$2)+1
    ),
   ROWS(Master!C$2:'Master'!C23)
  )
 ),"")</f>
        <v>Stormie</v>
      </c>
      <c r="C24" s="8" t="str">
        <f t="array" ref="C24">IFERROR(
INDEX(Master!D$2:D$272,
SMALL(
IF(EXACT(Master!$M$2:$M$272,Rosters!$A$1),
ROW(Master!D$2:D$272)-ROW(Master!D$2)+1
),
ROWS(Master!D$2:'Master'!D23)
)
),"")</f>
        <v>Smith</v>
      </c>
      <c r="D24" s="7">
        <f t="array" aca="1" ref="D24" ca="1">IFERROR(
 INDEX(Master!O$2:O$272,
  SMALL(
   IF(EXACT(Master!$M$2:$M$272,Rosters!$A$1),
    ROW(Master!O$2:O$272)-ROW(Master!O$2)+1
    ),
   ROWS(Master!O$2:'Master'!O23)
  )
 ),"")</f>
        <v>50</v>
      </c>
      <c r="E24" s="8" t="str">
        <f t="array" ref="E24">IFERROR(
 INDEX(Master!A$2:A$272,
  SMALL(
   IF(EXACT(Master!$M$2:$M$272,Rosters!$A$1),
    ROW(Master!A$2:A$272)-ROW(Master!A$2)+1
    ),
   ROWS(Master!A$2:'Master'!A23)
  )
 ),"")</f>
        <v>Michelle</v>
      </c>
      <c r="F24" s="8" t="str">
        <f t="array" ref="F24">IFERROR(
INDEX(Master!B$2:B$272,
SMALL(
IF(EXACT(Master!$M$2:$M$272,Rosters!$A$1),
ROW(Master!B$2:B$272)-ROW(Master!B$2)+1
),
ROWS(Master!B$2:'Master'!B23)
)
),"")</f>
        <v>Hoefler</v>
      </c>
      <c r="G24" s="7">
        <f t="array" ref="G24">IFERROR(
 INDEX(Master!K$2:K$272,
  SMALL(
   IF(EXACT(Master!$M$2:$M$272,Rosters!$A$1),
    ROW(Master!K$2:K$272)-ROW(Master!K$2)+1
    ),
   ROWS(Master!K$2:'Master'!K23)
  )
 ),"")</f>
        <v>326</v>
      </c>
      <c r="H24" s="7" t="str">
        <f t="array" ref="H24">IFERROR(
INDEX(Master!L$2:L$272,
SMALL(
IF(EXACT(Master!$M$2:$M$272,Rosters!$A$1),
ROW(Master!L$2:L$272)-ROW(Master!L$2)+1
),
ROWS(Master!L$2:'Master'!L23)
)
),"")</f>
        <v>202-4006</v>
      </c>
      <c r="I24" s="8" t="str">
        <f t="array" ref="I24">IFERROR(
 INDEX(Master!Q$2:Q$272,
  SMALL(
   IF(EXACT(Master!$M$2:$M$272,Rosters!$A$1),
    ROW(Master!Q$2:Q$272)-ROW(Master!Q$2)+1
    ),
   ROWS(Master!Q$2:'Master'!Q23)
  )
 ),"")</f>
        <v>michellehoefler29@gmail.com</v>
      </c>
    </row>
    <row r="25" spans="1:9" x14ac:dyDescent="0.25">
      <c r="A25" s="7">
        <v>23</v>
      </c>
      <c r="B25" s="60" t="str">
        <f t="array" ref="B25">IFERROR(
 INDEX(Master!C$2:C$272,
  SMALL(
   IF(EXACT(Master!$M$2:$M$272,Rosters!$A$1),
    ROW(Master!C$2:C$272)-ROW(Master!C$2)+1
    ),
   ROWS(Master!C$2:'Master'!C24)
  )
 ),"")</f>
        <v>Leondo</v>
      </c>
      <c r="C25" s="8" t="str">
        <f t="array" ref="C25">IFERROR(
INDEX(Master!D$2:D$272,
SMALL(
IF(EXACT(Master!$M$2:$M$272,Rosters!$A$1),
ROW(Master!D$2:D$272)-ROW(Master!D$2)+1
),
ROWS(Master!D$2:'Master'!D24)
)
),"")</f>
        <v>Stanziano</v>
      </c>
      <c r="D25" s="7">
        <f t="array" aca="1" ref="D25" ca="1">IFERROR(
 INDEX(Master!O$2:O$272,
  SMALL(
   IF(EXACT(Master!$M$2:$M$272,Rosters!$A$1),
    ROW(Master!O$2:O$272)-ROW(Master!O$2)+1
    ),
   ROWS(Master!O$2:'Master'!O24)
  )
 ),"")</f>
        <v>25</v>
      </c>
      <c r="E25" s="8" t="str">
        <f t="array" ref="E25">IFERROR(
 INDEX(Master!A$2:A$272,
  SMALL(
   IF(EXACT(Master!$M$2:$M$272,Rosters!$A$1),
    ROW(Master!A$2:A$272)-ROW(Master!A$2)+1
    ),
   ROWS(Master!A$2:'Master'!A24)
  )
 ),"")</f>
        <v>Douglas</v>
      </c>
      <c r="F25" s="8" t="str">
        <f t="array" ref="F25">IFERROR(
INDEX(Master!B$2:B$272,
SMALL(
IF(EXACT(Master!$M$2:$M$272,Rosters!$A$1),
ROW(Master!B$2:B$272)-ROW(Master!B$2)+1
),
ROWS(Master!B$2:'Master'!B24)
)
),"")</f>
        <v>Stanziano</v>
      </c>
      <c r="G25" s="7">
        <f t="array" ref="G25">IFERROR(
 INDEX(Master!K$2:K$272,
  SMALL(
   IF(EXACT(Master!$M$2:$M$272,Rosters!$A$1),
    ROW(Master!K$2:K$272)-ROW(Master!K$2)+1
    ),
   ROWS(Master!K$2:'Master'!K24)
  )
 ),"")</f>
        <v>937</v>
      </c>
      <c r="H25" s="7" t="str">
        <f t="array" ref="H25">IFERROR(
INDEX(Master!L$2:L$272,
SMALL(
IF(EXACT(Master!$M$2:$M$272,Rosters!$A$1),
ROW(Master!L$2:L$272)-ROW(Master!L$2)+1
),
ROWS(Master!L$2:'Master'!L24)
)
),"")</f>
        <v>299-3021</v>
      </c>
      <c r="I25" s="8" t="str">
        <f t="array" ref="I25">IFERROR(
 INDEX(Master!Q$2:Q$272,
  SMALL(
   IF(EXACT(Master!$M$2:$M$272,Rosters!$A$1),
    ROW(Master!Q$2:Q$272)-ROW(Master!Q$2)+1
    ),
   ROWS(Master!Q$2:'Master'!Q24)
  )
 ),"")</f>
        <v>dougstanziano@yahoo.com</v>
      </c>
    </row>
    <row r="26" spans="1:9" x14ac:dyDescent="0.25">
      <c r="A26" s="7">
        <v>24</v>
      </c>
      <c r="B26" s="60" t="str">
        <f t="array" ref="B26">IFERROR(
 INDEX(Master!C$2:C$272,
  SMALL(
   IF(EXACT(Master!$M$2:$M$272,Rosters!$A$1),
    ROW(Master!C$2:C$272)-ROW(Master!C$2)+1
    ),
   ROWS(Master!C$2:'Master'!C25)
  )
 ),"")</f>
        <v>Payton</v>
      </c>
      <c r="C26" s="8" t="str">
        <f t="array" ref="C26">IFERROR(
INDEX(Master!D$2:D$272,
SMALL(
IF(EXACT(Master!$M$2:$M$272,Rosters!$A$1),
ROW(Master!D$2:D$272)-ROW(Master!D$2)+1
),
ROWS(Master!D$2:'Master'!D25)
)
),"")</f>
        <v>Thomas</v>
      </c>
      <c r="D26" s="7">
        <f t="array" aca="1" ref="D26" ca="1">IFERROR(
 INDEX(Master!O$2:O$272,
  SMALL(
   IF(EXACT(Master!$M$2:$M$272,Rosters!$A$1),
    ROW(Master!O$2:O$272)-ROW(Master!O$2)+1
    ),
   ROWS(Master!O$2:'Master'!O25)
  )
 ),"")</f>
        <v>13</v>
      </c>
      <c r="E26" s="8" t="str">
        <f t="array" ref="E26">IFERROR(
 INDEX(Master!A$2:A$272,
  SMALL(
   IF(EXACT(Master!$M$2:$M$272,Rosters!$A$1),
    ROW(Master!A$2:A$272)-ROW(Master!A$2)+1
    ),
   ROWS(Master!A$2:'Master'!A25)
  )
 ),"")</f>
        <v>Sara</v>
      </c>
      <c r="F26" s="8" t="str">
        <f t="array" ref="F26">IFERROR(
INDEX(Master!B$2:B$272,
SMALL(
IF(EXACT(Master!$M$2:$M$272,Rosters!$A$1),
ROW(Master!B$2:B$272)-ROW(Master!B$2)+1
),
ROWS(Master!B$2:'Master'!B25)
)
),"")</f>
        <v>Thomas</v>
      </c>
      <c r="G26" s="7">
        <f t="array" ref="G26">IFERROR(
 INDEX(Master!K$2:K$272,
  SMALL(
   IF(EXACT(Master!$M$2:$M$272,Rosters!$A$1),
    ROW(Master!K$2:K$272)-ROW(Master!K$2)+1
    ),
   ROWS(Master!K$2:'Master'!K25)
  )
 ),"")</f>
        <v>937</v>
      </c>
      <c r="H26" s="7" t="str">
        <f t="array" ref="H26">IFERROR(
INDEX(Master!L$2:L$272,
SMALL(
IF(EXACT(Master!$M$2:$M$272,Rosters!$A$1),
ROW(Master!L$2:L$272)-ROW(Master!L$2)+1
),
ROWS(Master!L$2:'Master'!L25)
)
),"")</f>
        <v>270-5211</v>
      </c>
      <c r="I26" s="8" t="str">
        <f t="array" ref="I26">IFERROR(
 INDEX(Master!Q$2:Q$272,
  SMALL(
   IF(EXACT(Master!$M$2:$M$272,Rosters!$A$1),
    ROW(Master!Q$2:Q$272)-ROW(Master!Q$2)+1
    ),
   ROWS(Master!Q$2:'Master'!Q25)
  )
 ),"")</f>
        <v>sarathomas727@gmail.com</v>
      </c>
    </row>
    <row r="27" spans="1:9" x14ac:dyDescent="0.25">
      <c r="A27" s="7"/>
      <c r="B27" s="60" t="str">
        <f t="array" ref="B27">IFERROR(
 INDEX(Master!C$2:C$272,
  SMALL(
   IF(EXACT(Master!$M$2:$M$272,Rosters!$A$1),
    ROW(Master!C$2:C$272)-ROW(Master!C$2)+1
    ),
   ROWS(Master!C$2:'Master'!C26)
  )
 ),"")</f>
        <v/>
      </c>
      <c r="C27" s="8" t="str">
        <f t="array" ref="C27">IFERROR(
INDEX(Master!D$2:D$272,
SMALL(
IF(EXACT(Master!$M$2:$M$272,Rosters!$A$1),
ROW(Master!D$2:D$272)-ROW(Master!D$2)+1
),
ROWS(Master!D$2:'Master'!D26)
)
),"")</f>
        <v/>
      </c>
      <c r="D27" s="7" t="str">
        <f t="array" ref="D27">IFERROR(
 INDEX(Master!O$2:O$272,
  SMALL(
   IF(EXACT(Master!$M$2:$M$272,Rosters!$A$1),
    ROW(Master!O$2:O$272)-ROW(Master!O$2)+1
    ),
   ROWS(Master!O$2:'Master'!O26)
  )
 ),"")</f>
        <v/>
      </c>
      <c r="E27" s="8" t="str">
        <f t="array" ref="E27">IFERROR(
 INDEX(Master!A$2:A$272,
  SMALL(
   IF(EXACT(Master!$M$2:$M$272,Rosters!$A$1),
    ROW(Master!A$2:A$272)-ROW(Master!A$2)+1
    ),
   ROWS(Master!A$2:'Master'!A26)
  )
 ),"")</f>
        <v/>
      </c>
      <c r="F27" s="8" t="str">
        <f t="array" ref="F27">IFERROR(
INDEX(Master!B$2:B$272,
SMALL(
IF(EXACT(Master!$M$2:$M$272,Rosters!$A$1),
ROW(Master!B$2:B$272)-ROW(Master!B$2)+1
),
ROWS(Master!B$2:'Master'!B26)
)
),"")</f>
        <v/>
      </c>
      <c r="G27" s="7" t="str">
        <f t="array" ref="G27">IFERROR(
 INDEX(Master!K$2:K$272,
  SMALL(
   IF(EXACT(Master!$M$2:$M$272,Rosters!$A$1),
    ROW(Master!K$2:K$272)-ROW(Master!K$2)+1
    ),
   ROWS(Master!K$2:'Master'!K26)
  )
 ),"")</f>
        <v/>
      </c>
      <c r="H27" s="7" t="str">
        <f t="array" ref="H27">IFERROR(
INDEX(Master!L$2:L$272,
SMALL(
IF(EXACT(Master!$M$2:$M$272,Rosters!$A$1),
ROW(Master!L$2:L$272)-ROW(Master!L$2)+1
),
ROWS(Master!L$2:'Master'!L26)
)
),"")</f>
        <v/>
      </c>
      <c r="I27" s="8" t="str">
        <f t="array" ref="I27">IFERROR(
 INDEX(Master!Q$2:Q$272,
  SMALL(
   IF(EXACT(Master!$M$2:$M$272,Rosters!$A$1),
    ROW(Master!Q$2:Q$272)-ROW(Master!Q$2)+1
    ),
   ROWS(Master!Q$2:'Master'!Q26)
  )
 ),"")</f>
        <v/>
      </c>
    </row>
    <row r="28" spans="1:9" x14ac:dyDescent="0.25">
      <c r="A28" s="7" t="str">
        <f>IF($B28&lt;&gt;"",$A27+1,"")</f>
        <v/>
      </c>
      <c r="B28" s="60" t="str">
        <f t="array" ref="B28">IFERROR(
 INDEX(Master!C$2:C$272,
  SMALL(
   IF(EXACT(Master!$M$2:$M$272,Rosters!$A$1),
    ROW(Master!C$2:C$272)-ROW(Master!C$2)+1
    ),
   ROWS(Master!C$2:'Master'!C27)
  )
 ),"")</f>
        <v/>
      </c>
      <c r="C28" s="8" t="str">
        <f t="array" ref="C28">IFERROR(
INDEX(Master!D$2:D$272,
SMALL(
IF(EXACT(Master!$M$2:$M$272,Rosters!$A$1),
ROW(Master!D$2:D$272)-ROW(Master!D$2)+1
),
ROWS(Master!D$2:'Master'!D27)
)
),"")</f>
        <v/>
      </c>
      <c r="D28" s="7" t="str">
        <f t="array" ref="D28">IFERROR(
 INDEX(Master!O$2:O$272,
  SMALL(
   IF(EXACT(Master!$M$2:$M$272,Rosters!$A$1),
    ROW(Master!O$2:O$272)-ROW(Master!O$2)+1
    ),
   ROWS(Master!O$2:'Master'!O27)
  )
 ),"")</f>
        <v/>
      </c>
      <c r="E28" s="8" t="str">
        <f t="array" ref="E28">IFERROR(
 INDEX(Master!A$2:A$272,
  SMALL(
   IF(EXACT(Master!$M$2:$M$272,Rosters!$A$1),
    ROW(Master!A$2:A$272)-ROW(Master!A$2)+1
    ),
   ROWS(Master!A$2:'Master'!A27)
  )
 ),"")</f>
        <v/>
      </c>
      <c r="F28" s="8" t="str">
        <f t="array" ref="F28">IFERROR(
INDEX(Master!B$2:B$272,
SMALL(
IF(EXACT(Master!$M$2:$M$272,Rosters!$A$1),
ROW(Master!B$2:B$272)-ROW(Master!B$2)+1
),
ROWS(Master!B$2:'Master'!B27)
)
),"")</f>
        <v/>
      </c>
      <c r="G28" s="7" t="str">
        <f t="array" ref="G28">IFERROR(
 INDEX(Master!K$2:K$272,
  SMALL(
   IF(EXACT(Master!$M$2:$M$272,Rosters!$A$1),
    ROW(Master!K$2:K$272)-ROW(Master!K$2)+1
    ),
   ROWS(Master!K$2:'Master'!K27)
  )
 ),"")</f>
        <v/>
      </c>
      <c r="H28" s="7" t="str">
        <f t="array" ref="H28">IFERROR(
INDEX(Master!L$2:L$272,
SMALL(
IF(EXACT(Master!$M$2:$M$272,Rosters!$A$1),
ROW(Master!L$2:L$272)-ROW(Master!L$2)+1
),
ROWS(Master!L$2:'Master'!L27)
)
),"")</f>
        <v/>
      </c>
      <c r="I28" s="8" t="str">
        <f t="array" ref="I28">IFERROR(
 INDEX(Master!Q$2:Q$272,
  SMALL(
   IF(EXACT(Master!$M$2:$M$272,Rosters!$A$1),
    ROW(Master!Q$2:Q$272)-ROW(Master!Q$2)+1
    ),
   ROWS(Master!Q$2:'Master'!Q27)
  )
 ),"")</f>
        <v/>
      </c>
    </row>
    <row r="29" spans="1:9" x14ac:dyDescent="0.25">
      <c r="A29" s="7" t="str">
        <f>IF($B29&lt;&gt;"",$A28+1,"")</f>
        <v/>
      </c>
      <c r="B29" s="60" t="str">
        <f t="array" ref="B29">IFERROR(
 INDEX(Master!C$2:C$272,
  SMALL(
   IF(EXACT(Master!$M$2:$M$272,Rosters!$A$1),
    ROW(Master!C$2:C$272)-ROW(Master!C$2)+1
    ),
   ROWS(Master!C$2:'Master'!C28)
  )
 ),"")</f>
        <v/>
      </c>
      <c r="C29" s="8" t="str">
        <f t="array" ref="C29">IFERROR(
INDEX(Master!D$2:D$272,
SMALL(
IF(EXACT(Master!$M$2:$M$272,Rosters!$A$1),
ROW(Master!D$2:D$272)-ROW(Master!D$2)+1
),
ROWS(Master!D$2:'Master'!D28)
)
),"")</f>
        <v/>
      </c>
      <c r="D29" s="7" t="str">
        <f t="array" ref="D29">IFERROR(
 INDEX(Master!O$2:O$272,
  SMALL(
   IF(EXACT(Master!$M$2:$M$272,Rosters!$A$1),
    ROW(Master!O$2:O$272)-ROW(Master!O$2)+1
    ),
   ROWS(Master!O$2:'Master'!O28)
  )
 ),"")</f>
        <v/>
      </c>
      <c r="E29" s="8" t="str">
        <f t="array" ref="E29">IFERROR(
 INDEX(Master!A$2:A$272,
  SMALL(
   IF(EXACT(Master!$M$2:$M$272,Rosters!$A$1),
    ROW(Master!A$2:A$272)-ROW(Master!A$2)+1
    ),
   ROWS(Master!A$2:'Master'!A28)
  )
 ),"")</f>
        <v/>
      </c>
      <c r="F29" s="8" t="str">
        <f t="array" ref="F29">IFERROR(
INDEX(Master!B$2:B$272,
SMALL(
IF(EXACT(Master!$M$2:$M$272,Rosters!$A$1),
ROW(Master!B$2:B$272)-ROW(Master!B$2)+1
),
ROWS(Master!B$2:'Master'!B28)
)
),"")</f>
        <v/>
      </c>
      <c r="G29" s="7" t="str">
        <f t="array" ref="G29">IFERROR(
 INDEX(Master!K$2:K$272,
  SMALL(
   IF(EXACT(Master!$M$2:$M$272,Rosters!$A$1),
    ROW(Master!K$2:K$272)-ROW(Master!K$2)+1
    ),
   ROWS(Master!K$2:'Master'!K28)
  )
 ),"")</f>
        <v/>
      </c>
      <c r="H29" s="7" t="str">
        <f t="array" ref="H29">IFERROR(
INDEX(Master!L$2:L$272,
SMALL(
IF(EXACT(Master!$M$2:$M$272,Rosters!$A$1),
ROW(Master!L$2:L$272)-ROW(Master!L$2)+1
),
ROWS(Master!L$2:'Master'!L28)
)
),"")</f>
        <v/>
      </c>
      <c r="I29" s="8" t="str">
        <f t="array" ref="I29">IFERROR(
 INDEX(Master!Q$2:Q$272,
  SMALL(
   IF(EXACT(Master!$M$2:$M$272,Rosters!$A$1),
    ROW(Master!Q$2:Q$272)-ROW(Master!Q$2)+1
    ),
   ROWS(Master!Q$2:'Master'!Q28)
  )
 ),"")</f>
        <v/>
      </c>
    </row>
    <row r="30" spans="1:9" x14ac:dyDescent="0.25">
      <c r="A30" s="7" t="str">
        <f>IF($B30&lt;&gt;"",$A29+1,"")</f>
        <v/>
      </c>
      <c r="B30" s="60" t="str">
        <f t="array" ref="B30">IFERROR(
 INDEX(Master!C$2:C$272,
  SMALL(
   IF(EXACT(Master!$M$2:$M$272,Rosters!$A$1),
    ROW(Master!C$2:C$272)-ROW(Master!C$2)+1
    ),
   ROWS(Master!C$2:'Master'!C29)
  )
 ),"")</f>
        <v/>
      </c>
      <c r="C30" s="8" t="str">
        <f t="array" ref="C30">IFERROR(
INDEX(Master!D$2:D$272,
SMALL(
IF(EXACT(Master!$M$2:$M$272,Rosters!$A$1),
ROW(Master!D$2:D$272)-ROW(Master!D$2)+1
),
ROWS(Master!D$2:'Master'!D29)
)
),"")</f>
        <v/>
      </c>
      <c r="D30" s="7" t="str">
        <f t="array" ref="D30">IFERROR(
 INDEX(Master!O$2:O$272,
  SMALL(
   IF(EXACT(Master!$M$2:$M$272,Rosters!$A$1),
    ROW(Master!O$2:O$272)-ROW(Master!O$2)+1
    ),
   ROWS(Master!O$2:'Master'!O29)
  )
 ),"")</f>
        <v/>
      </c>
      <c r="E30" s="8" t="str">
        <f t="array" ref="E30">IFERROR(
 INDEX(Master!A$2:A$272,
  SMALL(
   IF(EXACT(Master!$M$2:$M$272,Rosters!$A$1),
    ROW(Master!A$2:A$272)-ROW(Master!A$2)+1
    ),
   ROWS(Master!A$2:'Master'!A29)
  )
 ),"")</f>
        <v/>
      </c>
      <c r="F30" s="8" t="str">
        <f t="array" ref="F30">IFERROR(
INDEX(Master!B$2:B$272,
SMALL(
IF(EXACT(Master!$M$2:$M$272,Rosters!$A$1),
ROW(Master!B$2:B$272)-ROW(Master!B$2)+1
),
ROWS(Master!B$2:'Master'!B29)
)
),"")</f>
        <v/>
      </c>
      <c r="G30" s="7" t="str">
        <f t="array" ref="G30">IFERROR(
 INDEX(Master!K$2:K$272,
  SMALL(
   IF(EXACT(Master!$M$2:$M$272,Rosters!$A$1),
    ROW(Master!K$2:K$272)-ROW(Master!K$2)+1
    ),
   ROWS(Master!K$2:'Master'!K29)
  )
 ),"")</f>
        <v/>
      </c>
      <c r="H30" s="7" t="str">
        <f t="array" ref="H30">IFERROR(
INDEX(Master!L$2:L$272,
SMALL(
IF(EXACT(Master!$M$2:$M$272,Rosters!$A$1),
ROW(Master!L$2:L$272)-ROW(Master!L$2)+1
),
ROWS(Master!L$2:'Master'!L29)
)
),"")</f>
        <v/>
      </c>
      <c r="I30" s="8" t="str">
        <f t="array" ref="I30">IFERROR(
 INDEX(Master!Q$2:Q$272,
  SMALL(
   IF(EXACT(Master!$M$2:$M$272,Rosters!$A$1),
    ROW(Master!Q$2:Q$272)-ROW(Master!Q$2)+1
    ),
   ROWS(Master!Q$2:'Master'!Q29)
  )
 ),"")</f>
        <v/>
      </c>
    </row>
    <row r="31" spans="1:9" x14ac:dyDescent="0.25">
      <c r="A31" s="7" t="str">
        <f>IF($B31&lt;&gt;"",$A30+1,"")</f>
        <v/>
      </c>
      <c r="B31" s="60" t="str">
        <f t="array" ref="B31">IFERROR(
 INDEX(Master!C$2:C$272,
  SMALL(
   IF(EXACT(Master!$M$2:$M$272,Rosters!$A$1),
    ROW(Master!C$2:C$272)-ROW(Master!C$2)+1
    ),
   ROWS(Master!C$2:'Master'!C30)
  )
 ),"")</f>
        <v/>
      </c>
      <c r="C31" s="8" t="str">
        <f t="array" ref="C31">IFERROR(
INDEX(Master!D$2:D$272,
SMALL(
IF(EXACT(Master!$M$2:$M$272,Rosters!$A$1),
ROW(Master!D$2:D$272)-ROW(Master!D$2)+1
),
ROWS(Master!D$2:'Master'!D30)
)
),"")</f>
        <v/>
      </c>
      <c r="D31" s="7" t="str">
        <f t="array" ref="D31">IFERROR(
 INDEX(Master!O$2:O$272,
  SMALL(
   IF(EXACT(Master!$M$2:$M$272,Rosters!$A$1),
    ROW(Master!O$2:O$272)-ROW(Master!O$2)+1
    ),
   ROWS(Master!O$2:'Master'!O30)
  )
 ),"")</f>
        <v/>
      </c>
      <c r="E31" s="8" t="str">
        <f t="array" ref="E31">IFERROR(
 INDEX(Master!A$2:A$272,
  SMALL(
   IF(EXACT(Master!$M$2:$M$272,Rosters!$A$1),
    ROW(Master!A$2:A$272)-ROW(Master!A$2)+1
    ),
   ROWS(Master!A$2:'Master'!A30)
  )
 ),"")</f>
        <v/>
      </c>
      <c r="F31" s="8" t="str">
        <f t="array" ref="F31">IFERROR(
INDEX(Master!B$2:B$272,
SMALL(
IF(EXACT(Master!$M$2:$M$272,Rosters!$A$1),
ROW(Master!B$2:B$272)-ROW(Master!B$2)+1
),
ROWS(Master!B$2:'Master'!B30)
)
),"")</f>
        <v/>
      </c>
      <c r="G31" s="7" t="str">
        <f t="array" ref="G31">IFERROR(
 INDEX(Master!K$2:K$272,
  SMALL(
   IF(EXACT(Master!$M$2:$M$272,Rosters!$A$1),
    ROW(Master!K$2:K$272)-ROW(Master!K$2)+1
    ),
   ROWS(Master!K$2:'Master'!K30)
  )
 ),"")</f>
        <v/>
      </c>
      <c r="H31" s="7" t="str">
        <f t="array" ref="H31">IFERROR(
INDEX(Master!L$2:L$272,
SMALL(
IF(EXACT(Master!$M$2:$M$272,Rosters!$A$1),
ROW(Master!L$2:L$272)-ROW(Master!L$2)+1
),
ROWS(Master!L$2:'Master'!L30)
)
),"")</f>
        <v/>
      </c>
      <c r="I31" s="8" t="str">
        <f t="array" ref="I31">IFERROR(
 INDEX(Master!Q$2:Q$272,
  SMALL(
   IF(EXACT(Master!$M$2:$M$272,Rosters!$A$1),
    ROW(Master!Q$2:Q$272)-ROW(Master!Q$2)+1
    ),
   ROWS(Master!Q$2:'Master'!Q30)
  )
 ),"")</f>
        <v/>
      </c>
    </row>
    <row r="32" spans="1:9" ht="35.1" customHeight="1" x14ac:dyDescent="0.4">
      <c r="A32" s="3" t="s">
        <v>122</v>
      </c>
      <c r="B32" s="1"/>
      <c r="C32" s="1"/>
      <c r="D32" s="4"/>
      <c r="E32" s="1" t="s">
        <v>1478</v>
      </c>
      <c r="F32" s="1" t="s">
        <v>477</v>
      </c>
      <c r="G32" s="4"/>
      <c r="H32" s="4"/>
      <c r="I32" s="35">
        <f ca="1">TODAY()</f>
        <v>46195</v>
      </c>
    </row>
    <row r="33" spans="1:9" ht="31.5" customHeight="1" x14ac:dyDescent="0.25">
      <c r="B33" s="5" t="s">
        <v>103</v>
      </c>
      <c r="C33" s="5" t="s">
        <v>104</v>
      </c>
      <c r="D33" s="5" t="s">
        <v>1624</v>
      </c>
      <c r="E33" s="5" t="s">
        <v>105</v>
      </c>
      <c r="F33" s="5" t="s">
        <v>106</v>
      </c>
      <c r="G33" s="5" t="s">
        <v>107</v>
      </c>
      <c r="H33" s="5" t="s">
        <v>108</v>
      </c>
      <c r="I33" s="6" t="s">
        <v>1</v>
      </c>
    </row>
    <row r="34" spans="1:9" x14ac:dyDescent="0.25">
      <c r="A34" s="7">
        <v>1</v>
      </c>
      <c r="B34" s="8" t="str">
        <f t="array" ref="B34">IFERROR(
 INDEX(Master!C$2:C$272,
  SMALL(
   IF(EXACT(Master!$M$2:$M$272,Rosters!$A$32),
    ROW(Master!C$2:C$272)-ROW(Master!C$2)+1
    ),
   ROWS(Master!C$2:'Master'!C2)
  )
 ),"")</f>
        <v>Elena</v>
      </c>
      <c r="C34" s="8" t="str">
        <f t="array" ref="C34">IFERROR(
INDEX(Master!D$2:D$272,
SMALL(
IF(EXACT(Master!$M$2:$M$272,Rosters!$A$32),
ROW(Master!D$2:D$272)-ROW(Master!D$2)+1
),
ROWS(Master!D$2:'Master'!D2)
)
),"")</f>
        <v>Back</v>
      </c>
      <c r="D34" s="7">
        <f t="array" aca="1" ref="D34" ca="1">IFERROR(
 INDEX(Master!O$2:O$272,
  SMALL(
   IF(EXACT(Master!$M$2:$M$272,Rosters!$A$32),
    ROW(Master!O$2:O$272)-ROW(Master!O$2)+1
    ),
   ROWS(Master!O$2:'Master'!O2)
  )
 ),"")</f>
        <v>7</v>
      </c>
      <c r="E34" s="8" t="str">
        <f t="array" ref="E34">IFERROR(
 INDEX(Master!A$2:A$272,
  SMALL(
   IF(EXACT(Master!$M$2:$M$272,Rosters!$A$32),
    ROW(Master!A$2:A$272)-ROW(Master!A$2)+1
    ),
   ROWS(Master!A$2:'Master'!A2)
  )
 ),"")</f>
        <v>Amanda</v>
      </c>
      <c r="F34" s="8" t="str">
        <f t="array" ref="F34">IFERROR(
 INDEX(Master!B$2:B$272,
  SMALL(
   IF(EXACT(Master!$M$2:$M$272,Rosters!$A$32),
    ROW(Master!B$2:B$272)-ROW(Master!B$2)+1
    ),
   ROWS(Master!B$2:'Master'!B2)
  )
 ),"")</f>
        <v>Back</v>
      </c>
      <c r="G34" s="7">
        <f t="array" ref="G34">IFERROR(
 INDEX(Master!K$2:K$272,
  SMALL(
   IF(EXACT(Master!$M$2:$M$272,Rosters!$A$32),
    ROW(Master!K$2:K$272)-ROW(Master!K$2)+1
    ),
   ROWS(Master!K$2:'Master'!K2)
  )
 ),"")</f>
        <v>937</v>
      </c>
      <c r="H34" s="7" t="str">
        <f t="array" ref="H34">IFERROR(
 INDEX(Master!L$2:L$272,
  SMALL(
   IF(EXACT(Master!$M$2:$M$272,Rosters!$A$32),
    ROW(Master!L$2:L$272)-ROW(Master!L$2)+1
    ),
   ROWS(Master!L$2:'Master'!L2)
  )
 ),"")</f>
        <v>450-4566</v>
      </c>
      <c r="I34" s="8" t="str">
        <f t="array" ref="I34">IFERROR(
 INDEX(Master!Q$2:Q$272,
  SMALL(
   IF(EXACT(Master!$M$2:$M$272,Rosters!$A$32),
    ROW(Master!Q$2:Q$272)-ROW(Master!Q$2)+1
    ),
   ROWS(Master!Q$2:'Master'!Q2)
  )
 ),"")</f>
        <v>amandaback1016@yahoo.com</v>
      </c>
    </row>
    <row r="35" spans="1:9" x14ac:dyDescent="0.25">
      <c r="A35" s="7">
        <v>2</v>
      </c>
      <c r="B35" s="8" t="str">
        <f t="array" ref="B35">IFERROR(
 INDEX(Master!C$2:C$272,
  SMALL(
   IF(EXACT(Master!$M$2:$M$272,Rosters!$A$32),
    ROW(Master!C$2:C$272)-ROW(Master!C$2)+1
    ),
   ROWS(Master!C$2:'Master'!C3)
  )
 ),"")</f>
        <v>Everette</v>
      </c>
      <c r="C35" s="8" t="str">
        <f t="array" ref="C35">IFERROR(
INDEX(Master!D$2:D$272,
SMALL(
IF(EXACT(Master!$M$2:$M$272,Rosters!$A$32),
ROW(Master!D$2:D$272)-ROW(Master!D$2)+1
),
ROWS(Master!D$2:'Master'!D3)
)
),"")</f>
        <v>Bowman</v>
      </c>
      <c r="D35" s="7">
        <f t="array" aca="1" ref="D35" ca="1">IFERROR(
 INDEX(Master!O$2:O$272,
  SMALL(
   IF(EXACT(Master!$M$2:$M$272,Rosters!$A$32),
    ROW(Master!O$2:O$272)-ROW(Master!O$2)+1
    ),
   ROWS(Master!O$2:'Master'!O3)
  )
 ),"")</f>
        <v>12</v>
      </c>
      <c r="E35" s="8" t="str">
        <f t="array" ref="E35">IFERROR(
 INDEX(Master!A$2:A$272,
  SMALL(
   IF(EXACT(Master!$M$2:$M$272,Rosters!$A$32),
    ROW(Master!A$2:A$272)-ROW(Master!A$2)+1
    ),
   ROWS(Master!A$2:'Master'!A3)
  )
 ),"")</f>
        <v>Alicia</v>
      </c>
      <c r="F35" s="8" t="str">
        <f t="array" ref="F35">IFERROR(
 INDEX(Master!B$2:B$272,
  SMALL(
   IF(EXACT(Master!$M$2:$M$272,Rosters!$A$32),
    ROW(Master!B$2:B$272)-ROW(Master!B$2)+1
    ),
   ROWS(Master!B$2:'Master'!B3)
  )
 ),"")</f>
        <v>Bowman</v>
      </c>
      <c r="G35" s="7">
        <f t="array" ref="G35">IFERROR(
 INDEX(Master!K$2:K$272,
  SMALL(
   IF(EXACT(Master!$M$2:$M$272,Rosters!$A$32),
    ROW(Master!K$2:K$272)-ROW(Master!K$2)+1
    ),
   ROWS(Master!K$2:'Master'!K3)
  )
 ),"")</f>
        <v>202</v>
      </c>
      <c r="H35" s="7" t="str">
        <f t="array" ref="H35">IFERROR(
 INDEX(Master!L$2:L$272,
  SMALL(
   IF(EXACT(Master!$M$2:$M$272,Rosters!$A$32),
    ROW(Master!L$2:L$272)-ROW(Master!L$2)+1
    ),
   ROWS(Master!L$2:'Master'!L3)
  )
 ),"")</f>
        <v>770-8744</v>
      </c>
      <c r="I35" s="8" t="str">
        <f t="array" ref="I35">IFERROR(
 INDEX(Master!Q$2:Q$272,
  SMALL(
   IF(EXACT(Master!$M$2:$M$272,Rosters!$A$32),
    ROW(Master!Q$2:Q$272)-ROW(Master!Q$2)+1
    ),
   ROWS(Master!Q$2:'Master'!Q3)
  )
 ),"")</f>
        <v>aeh63@hotmail.com</v>
      </c>
    </row>
    <row r="36" spans="1:9" x14ac:dyDescent="0.25">
      <c r="A36" s="7">
        <v>3</v>
      </c>
      <c r="B36" s="8" t="str">
        <f t="array" ref="B36">IFERROR(
 INDEX(Master!C$2:C$272,
  SMALL(
   IF(EXACT(Master!$M$2:$M$272,Rosters!$A$32),
    ROW(Master!C$2:C$272)-ROW(Master!C$2)+1
    ),
   ROWS(Master!C$2:'Master'!C4)
  )
 ),"")</f>
        <v>Nolan</v>
      </c>
      <c r="C36" s="8" t="str">
        <f t="array" ref="C36">IFERROR(
INDEX(Master!D$2:D$272,
SMALL(
IF(EXACT(Master!$M$2:$M$272,Rosters!$A$32),
ROW(Master!D$2:D$272)-ROW(Master!D$2)+1
),
ROWS(Master!D$2:'Master'!D4)
)
),"")</f>
        <v>DeGrazia</v>
      </c>
      <c r="D36" s="7">
        <f t="array" aca="1" ref="D36" ca="1">IFERROR(
 INDEX(Master!O$2:O$272,
  SMALL(
   IF(EXACT(Master!$M$2:$M$272,Rosters!$A$32),
    ROW(Master!O$2:O$272)-ROW(Master!O$2)+1
    ),
   ROWS(Master!O$2:'Master'!O4)
  )
 ),"")</f>
        <v>5</v>
      </c>
      <c r="E36" s="8" t="str">
        <f t="array" ref="E36">IFERROR(
 INDEX(Master!A$2:A$272,
  SMALL(
   IF(EXACT(Master!$M$2:$M$272,Rosters!$A$32),
    ROW(Master!A$2:A$272)-ROW(Master!A$2)+1
    ),
   ROWS(Master!A$2:'Master'!A4)
  )
 ),"")</f>
        <v>Kolleen</v>
      </c>
      <c r="F36" s="8" t="str">
        <f t="array" ref="F36">IFERROR(
 INDEX(Master!B$2:B$272,
  SMALL(
   IF(EXACT(Master!$M$2:$M$272,Rosters!$A$32),
    ROW(Master!B$2:B$272)-ROW(Master!B$2)+1
    ),
   ROWS(Master!B$2:'Master'!B4)
  )
 ),"")</f>
        <v>DeGrazia</v>
      </c>
      <c r="G36" s="7">
        <f t="array" ref="G36">IFERROR(
 INDEX(Master!K$2:K$272,
  SMALL(
   IF(EXACT(Master!$M$2:$M$272,Rosters!$A$32),
    ROW(Master!K$2:K$272)-ROW(Master!K$2)+1
    ),
   ROWS(Master!K$2:'Master'!K4)
  )
 ),"")</f>
        <v>937</v>
      </c>
      <c r="H36" s="7" t="str">
        <f t="array" ref="H36">IFERROR(
 INDEX(Master!L$2:L$272,
  SMALL(
   IF(EXACT(Master!$M$2:$M$272,Rosters!$A$32),
    ROW(Master!L$2:L$272)-ROW(Master!L$2)+1
    ),
   ROWS(Master!L$2:'Master'!L4)
  )
 ),"")</f>
        <v>269-2644</v>
      </c>
      <c r="I36" s="8" t="str">
        <f t="array" ref="I36">IFERROR(
 INDEX(Master!Q$2:Q$272,
  SMALL(
   IF(EXACT(Master!$M$2:$M$272,Rosters!$A$32),
    ROW(Master!Q$2:Q$272)-ROW(Master!Q$2)+1
    ),
   ROWS(Master!Q$2:'Master'!Q4)
  )
 ),"")</f>
        <v>nicholas.degrazia@gmail.com</v>
      </c>
    </row>
    <row r="37" spans="1:9" x14ac:dyDescent="0.25">
      <c r="A37" s="7">
        <v>4</v>
      </c>
      <c r="B37" s="8" t="str">
        <f t="array" ref="B37">IFERROR(
 INDEX(Master!C$2:C$272,
  SMALL(
   IF(EXACT(Master!$M$2:$M$272,Rosters!$A$32),
    ROW(Master!C$2:C$272)-ROW(Master!C$2)+1
    ),
   ROWS(Master!C$2:'Master'!C5)
  )
 ),"")</f>
        <v>Mikey</v>
      </c>
      <c r="C37" s="8" t="str">
        <f t="array" ref="C37">IFERROR(
INDEX(Master!D$2:D$272,
SMALL(
IF(EXACT(Master!$M$2:$M$272,Rosters!$A$32),
ROW(Master!D$2:D$272)-ROW(Master!D$2)+1
),
ROWS(Master!D$2:'Master'!D5)
)
),"")</f>
        <v>Hoptry</v>
      </c>
      <c r="D37" s="7">
        <f t="array" aca="1" ref="D37" ca="1">IFERROR(
 INDEX(Master!O$2:O$272,
  SMALL(
   IF(EXACT(Master!$M$2:$M$272,Rosters!$A$32),
    ROW(Master!O$2:O$272)-ROW(Master!O$2)+1
    ),
   ROWS(Master!O$2:'Master'!O5)
  )
 ),"")</f>
        <v>10</v>
      </c>
      <c r="E37" s="8" t="str">
        <f t="array" ref="E37">IFERROR(
 INDEX(Master!A$2:A$272,
  SMALL(
   IF(EXACT(Master!$M$2:$M$272,Rosters!$A$32),
    ROW(Master!A$2:A$272)-ROW(Master!A$2)+1
    ),
   ROWS(Master!A$2:'Master'!A5)
  )
 ),"")</f>
        <v>Cassie</v>
      </c>
      <c r="F37" s="8" t="str">
        <f t="array" ref="F37">IFERROR(
 INDEX(Master!B$2:B$272,
  SMALL(
   IF(EXACT(Master!$M$2:$M$272,Rosters!$A$32),
    ROW(Master!B$2:B$272)-ROW(Master!B$2)+1
    ),
   ROWS(Master!B$2:'Master'!B5)
  )
 ),"")</f>
        <v>Hoptry</v>
      </c>
      <c r="G37" s="7">
        <f t="array" ref="G37">IFERROR(
 INDEX(Master!K$2:K$272,
  SMALL(
   IF(EXACT(Master!$M$2:$M$272,Rosters!$A$32),
    ROW(Master!K$2:K$272)-ROW(Master!K$2)+1
    ),
   ROWS(Master!K$2:'Master'!K5)
  )
 ),"")</f>
        <v>228</v>
      </c>
      <c r="H37" s="7" t="str">
        <f t="array" ref="H37">IFERROR(
 INDEX(Master!L$2:L$272,
  SMALL(
   IF(EXACT(Master!$M$2:$M$272,Rosters!$A$32),
    ROW(Master!L$2:L$272)-ROW(Master!L$2)+1
    ),
   ROWS(Master!L$2:'Master'!L5)
  )
 ),"")</f>
        <v>257-1816</v>
      </c>
      <c r="I37" s="8" t="str">
        <f t="array" ref="I37">IFERROR(
 INDEX(Master!Q$2:Q$272,
  SMALL(
   IF(EXACT(Master!$M$2:$M$272,Rosters!$A$32),
    ROW(Master!Q$2:Q$272)-ROW(Master!Q$2)+1
    ),
   ROWS(Master!Q$2:'Master'!Q5)
  )
 ),"")</f>
        <v>cassiehoptry@yahoo.com</v>
      </c>
    </row>
    <row r="38" spans="1:9" x14ac:dyDescent="0.25">
      <c r="A38" s="7">
        <v>5</v>
      </c>
      <c r="B38" s="8" t="str">
        <f t="array" ref="B38">IFERROR(
 INDEX(Master!C$2:C$272,
  SMALL(
   IF(EXACT(Master!$M$2:$M$272,Rosters!$A$32),
    ROW(Master!C$2:C$272)-ROW(Master!C$2)+1
    ),
   ROWS(Master!C$2:'Master'!C6)
  )
 ),"")</f>
        <v>Elliot</v>
      </c>
      <c r="C38" s="8" t="str">
        <f t="array" ref="C38">IFERROR(
INDEX(Master!D$2:D$272,
SMALL(
IF(EXACT(Master!$M$2:$M$272,Rosters!$A$32),
ROW(Master!D$2:D$272)-ROW(Master!D$2)+1
),
ROWS(Master!D$2:'Master'!D6)
)
),"")</f>
        <v>Ladd</v>
      </c>
      <c r="D38" s="7">
        <f t="array" aca="1" ref="D38" ca="1">IFERROR(
 INDEX(Master!O$2:O$272,
  SMALL(
   IF(EXACT(Master!$M$2:$M$272,Rosters!$A$32),
    ROW(Master!O$2:O$272)-ROW(Master!O$2)+1
    ),
   ROWS(Master!O$2:'Master'!O6)
  )
 ),"")</f>
        <v>9</v>
      </c>
      <c r="E38" s="8" t="str">
        <f t="array" ref="E38">IFERROR(
 INDEX(Master!A$2:A$272,
  SMALL(
   IF(EXACT(Master!$M$2:$M$272,Rosters!$A$32),
    ROW(Master!A$2:A$272)-ROW(Master!A$2)+1
    ),
   ROWS(Master!A$2:'Master'!A6)
  )
 ),"")</f>
        <v>Amber</v>
      </c>
      <c r="F38" s="8" t="str">
        <f t="array" ref="F38">IFERROR(
 INDEX(Master!B$2:B$272,
  SMALL(
   IF(EXACT(Master!$M$2:$M$272,Rosters!$A$32),
    ROW(Master!B$2:B$272)-ROW(Master!B$2)+1
    ),
   ROWS(Master!B$2:'Master'!B6)
  )
 ),"")</f>
        <v>Ladd</v>
      </c>
      <c r="G38" s="7">
        <f t="array" ref="G38">IFERROR(
 INDEX(Master!K$2:K$272,
  SMALL(
   IF(EXACT(Master!$M$2:$M$272,Rosters!$A$32),
    ROW(Master!K$2:K$272)-ROW(Master!K$2)+1
    ),
   ROWS(Master!K$2:'Master'!K6)
  )
 ),"")</f>
        <v>937</v>
      </c>
      <c r="H38" s="7" t="str">
        <f t="array" ref="H38">IFERROR(
 INDEX(Master!L$2:L$272,
  SMALL(
   IF(EXACT(Master!$M$2:$M$272,Rosters!$A$32),
    ROW(Master!L$2:L$272)-ROW(Master!L$2)+1
    ),
   ROWS(Master!L$2:'Master'!L6)
  )
 ),"")</f>
        <v>671-1190</v>
      </c>
      <c r="I38" s="8" t="str">
        <f t="array" ref="I38">IFERROR(
 INDEX(Master!Q$2:Q$272,
  SMALL(
   IF(EXACT(Master!$M$2:$M$272,Rosters!$A$32),
    ROW(Master!Q$2:Q$272)-ROW(Master!Q$2)+1
    ),
   ROWS(Master!Q$2:'Master'!Q6)
  )
 ),"")</f>
        <v>ah355305@ohio.edu</v>
      </c>
    </row>
    <row r="39" spans="1:9" x14ac:dyDescent="0.25">
      <c r="A39" s="7">
        <v>6</v>
      </c>
      <c r="B39" s="8" t="str">
        <f t="array" ref="B39">IFERROR(
 INDEX(Master!C$2:C$272,
  SMALL(
   IF(EXACT(Master!$M$2:$M$272,Rosters!$A$32),
    ROW(Master!C$2:C$272)-ROW(Master!C$2)+1
    ),
   ROWS(Master!C$2:'Master'!C7)
  )
 ),"")</f>
        <v>Cade</v>
      </c>
      <c r="C39" s="8" t="str">
        <f t="array" ref="C39">IFERROR(
INDEX(Master!D$2:D$272,
SMALL(
IF(EXACT(Master!$M$2:$M$272,Rosters!$A$32),
ROW(Master!D$2:D$272)-ROW(Master!D$2)+1
),
ROWS(Master!D$2:'Master'!D7)
)
),"")</f>
        <v>LaFontsee</v>
      </c>
      <c r="D39" s="7">
        <f t="array" aca="1" ref="D39" ca="1">IFERROR(
 INDEX(Master!O$2:O$272,
  SMALL(
   IF(EXACT(Master!$M$2:$M$272,Rosters!$A$32),
    ROW(Master!O$2:O$272)-ROW(Master!O$2)+1
    ),
   ROWS(Master!O$2:'Master'!O7)
  )
 ),"")</f>
        <v>9</v>
      </c>
      <c r="E39" s="8" t="str">
        <f t="array" ref="E39">IFERROR(
 INDEX(Master!A$2:A$272,
  SMALL(
   IF(EXACT(Master!$M$2:$M$272,Rosters!$A$32),
    ROW(Master!A$2:A$272)-ROW(Master!A$2)+1
    ),
   ROWS(Master!A$2:'Master'!A7)
  )
 ),"")</f>
        <v>Krystal</v>
      </c>
      <c r="F39" s="8" t="str">
        <f t="array" ref="F39">IFERROR(
 INDEX(Master!B$2:B$272,
  SMALL(
   IF(EXACT(Master!$M$2:$M$272,Rosters!$A$32),
    ROW(Master!B$2:B$272)-ROW(Master!B$2)+1
    ),
   ROWS(Master!B$2:'Master'!B7)
  )
 ),"")</f>
        <v>LaFontsee</v>
      </c>
      <c r="G39" s="7">
        <f t="array" ref="G39">IFERROR(
 INDEX(Master!K$2:K$272,
  SMALL(
   IF(EXACT(Master!$M$2:$M$272,Rosters!$A$32),
    ROW(Master!K$2:K$272)-ROW(Master!K$2)+1
    ),
   ROWS(Master!K$2:'Master'!K7)
  )
 ),"")</f>
        <v>209</v>
      </c>
      <c r="H39" s="7" t="str">
        <f t="array" ref="H39">IFERROR(
 INDEX(Master!L$2:L$272,
  SMALL(
   IF(EXACT(Master!$M$2:$M$272,Rosters!$A$32),
    ROW(Master!L$2:L$272)-ROW(Master!L$2)+1
    ),
   ROWS(Master!L$2:'Master'!L7)
  )
 ),"")</f>
        <v>604-3468</v>
      </c>
      <c r="I39" s="8" t="str">
        <f t="array" ref="I39">IFERROR(
 INDEX(Master!Q$2:Q$272,
  SMALL(
   IF(EXACT(Master!$M$2:$M$272,Rosters!$A$32),
    ROW(Master!Q$2:Q$272)-ROW(Master!Q$2)+1
    ),
   ROWS(Master!Q$2:'Master'!Q7)
  )
 ),"")</f>
        <v>klafontsee@gmail.com</v>
      </c>
    </row>
    <row r="40" spans="1:9" x14ac:dyDescent="0.25">
      <c r="A40" s="7">
        <v>7</v>
      </c>
      <c r="B40" s="8" t="str">
        <f t="array" ref="B40">IFERROR(
 INDEX(Master!C$2:C$272,
  SMALL(
   IF(EXACT(Master!$M$2:$M$272,Rosters!$A$32),
    ROW(Master!C$2:C$272)-ROW(Master!C$2)+1
    ),
   ROWS(Master!C$2:'Master'!C8)
  )
 ),"")</f>
        <v>Benji</v>
      </c>
      <c r="C40" s="8" t="str">
        <f t="array" ref="C40">IFERROR(
INDEX(Master!D$2:D$272,
SMALL(
IF(EXACT(Master!$M$2:$M$272,Rosters!$A$32),
ROW(Master!D$2:D$272)-ROW(Master!D$2)+1
),
ROWS(Master!D$2:'Master'!D8)
)
),"")</f>
        <v>Mezera</v>
      </c>
      <c r="D40" s="7">
        <f t="array" aca="1" ref="D40" ca="1">IFERROR(
 INDEX(Master!O$2:O$272,
  SMALL(
   IF(EXACT(Master!$M$2:$M$272,Rosters!$A$32),
    ROW(Master!O$2:O$272)-ROW(Master!O$2)+1
    ),
   ROWS(Master!O$2:'Master'!O8)
  )
 ),"")</f>
        <v>8</v>
      </c>
      <c r="E40" s="8" t="str">
        <f t="array" ref="E40">IFERROR(
 INDEX(Master!A$2:A$272,
  SMALL(
   IF(EXACT(Master!$M$2:$M$272,Rosters!$A$32),
    ROW(Master!A$2:A$272)-ROW(Master!A$2)+1
    ),
   ROWS(Master!A$2:'Master'!A8)
  )
 ),"")</f>
        <v>David</v>
      </c>
      <c r="F40" s="8" t="str">
        <f t="array" ref="F40">IFERROR(
 INDEX(Master!B$2:B$272,
  SMALL(
   IF(EXACT(Master!$M$2:$M$272,Rosters!$A$32),
    ROW(Master!B$2:B$272)-ROW(Master!B$2)+1
    ),
   ROWS(Master!B$2:'Master'!B8)
  )
 ),"")</f>
        <v>Dudgeon</v>
      </c>
      <c r="G40" s="7">
        <f t="array" ref="G40">IFERROR(
 INDEX(Master!K$2:K$272,
  SMALL(
   IF(EXACT(Master!$M$2:$M$272,Rosters!$A$32),
    ROW(Master!K$2:K$272)-ROW(Master!K$2)+1
    ),
   ROWS(Master!K$2:'Master'!K8)
  )
 ),"")</f>
        <v>937</v>
      </c>
      <c r="H40" s="7" t="str">
        <f t="array" ref="H40">IFERROR(
 INDEX(Master!L$2:L$272,
  SMALL(
   IF(EXACT(Master!$M$2:$M$272,Rosters!$A$32),
    ROW(Master!L$2:L$272)-ROW(Master!L$2)+1
    ),
   ROWS(Master!L$2:'Master'!L8)
  )
 ),"")</f>
        <v>830-2469</v>
      </c>
      <c r="I40" s="8" t="str">
        <f t="array" ref="I40">IFERROR(
 INDEX(Master!Q$2:Q$272,
  SMALL(
   IF(EXACT(Master!$M$2:$M$272,Rosters!$A$32),
    ROW(Master!Q$2:Q$272)-ROW(Master!Q$2)+1
    ),
   ROWS(Master!Q$2:'Master'!Q8)
  )
 ),"")</f>
        <v>david.dudgeon123@gmail.com</v>
      </c>
    </row>
    <row r="41" spans="1:9" x14ac:dyDescent="0.25">
      <c r="A41" s="7">
        <v>8</v>
      </c>
      <c r="B41" s="8" t="str">
        <f t="array" ref="B41">IFERROR(
 INDEX(Master!C$2:C$272,
  SMALL(
   IF(EXACT(Master!$M$2:$M$272,Rosters!$A$32),
    ROW(Master!C$2:C$272)-ROW(Master!C$2)+1
    ),
   ROWS(Master!C$2:'Master'!C9)
  )
 ),"")</f>
        <v>Dalton</v>
      </c>
      <c r="C41" s="8" t="str">
        <f t="array" ref="C41">IFERROR(
INDEX(Master!D$2:D$272,
SMALL(
IF(EXACT(Master!$M$2:$M$272,Rosters!$A$32),
ROW(Master!D$2:D$272)-ROW(Master!D$2)+1
),
ROWS(Master!D$2:'Master'!D9)
)
),"")</f>
        <v>Mitchell</v>
      </c>
      <c r="D41" s="7">
        <f t="array" aca="1" ref="D41" ca="1">IFERROR(
 INDEX(Master!O$2:O$272,
  SMALL(
   IF(EXACT(Master!$M$2:$M$272,Rosters!$A$32),
    ROW(Master!O$2:O$272)-ROW(Master!O$2)+1
    ),
   ROWS(Master!O$2:'Master'!O9)
  )
 ),"")</f>
        <v>9</v>
      </c>
      <c r="E41" s="8" t="str">
        <f t="array" ref="E41">IFERROR(
 INDEX(Master!A$2:A$272,
  SMALL(
   IF(EXACT(Master!$M$2:$M$272,Rosters!$A$32),
    ROW(Master!A$2:A$272)-ROW(Master!A$2)+1
    ),
   ROWS(Master!A$2:'Master'!A9)
  )
 ),"")</f>
        <v>Angela</v>
      </c>
      <c r="F41" s="8" t="str">
        <f t="array" ref="F41">IFERROR(
 INDEX(Master!B$2:B$272,
  SMALL(
   IF(EXACT(Master!$M$2:$M$272,Rosters!$A$32),
    ROW(Master!B$2:B$272)-ROW(Master!B$2)+1
    ),
   ROWS(Master!B$2:'Master'!B9)
  )
 ),"")</f>
        <v>Rogers</v>
      </c>
      <c r="G41" s="7">
        <f t="array" ref="G41">IFERROR(
 INDEX(Master!K$2:K$272,
  SMALL(
   IF(EXACT(Master!$M$2:$M$272,Rosters!$A$32),
    ROW(Master!K$2:K$272)-ROW(Master!K$2)+1
    ),
   ROWS(Master!K$2:'Master'!K9)
  )
 ),"")</f>
        <v>937</v>
      </c>
      <c r="H41" s="7" t="str">
        <f t="array" ref="H41">IFERROR(
 INDEX(Master!L$2:L$272,
  SMALL(
   IF(EXACT(Master!$M$2:$M$272,Rosters!$A$32),
    ROW(Master!L$2:L$272)-ROW(Master!L$2)+1
    ),
   ROWS(Master!L$2:'Master'!L9)
  )
 ),"")</f>
        <v>902-4468</v>
      </c>
      <c r="I41" s="8" t="str">
        <f t="array" ref="I41">IFERROR(
 INDEX(Master!Q$2:Q$272,
  SMALL(
   IF(EXACT(Master!$M$2:$M$272,Rosters!$A$32),
    ROW(Master!Q$2:Q$272)-ROW(Master!Q$2)+1
    ),
   ROWS(Master!Q$2:'Master'!Q9)
  )
 ),"")</f>
        <v>healingangel75@gmail.com</v>
      </c>
    </row>
    <row r="42" spans="1:9" x14ac:dyDescent="0.25">
      <c r="A42" s="7">
        <v>9</v>
      </c>
      <c r="B42" s="8" t="str">
        <f t="array" ref="B42">IFERROR(
 INDEX(Master!C$2:C$272,
  SMALL(
   IF(EXACT(Master!$M$2:$M$272,Rosters!$A$32),
    ROW(Master!C$2:C$272)-ROW(Master!C$2)+1
    ),
   ROWS(Master!C$2:'Master'!C10)
  )
 ),"")</f>
        <v>Benny</v>
      </c>
      <c r="C42" s="8" t="str">
        <f t="array" ref="C42">IFERROR(
INDEX(Master!D$2:D$272,
SMALL(
IF(EXACT(Master!$M$2:$M$272,Rosters!$A$32),
ROW(Master!D$2:D$272)-ROW(Master!D$2)+1
),
ROWS(Master!D$2:'Master'!D10)
)
),"")</f>
        <v>Pate</v>
      </c>
      <c r="D42" s="7">
        <f t="array" aca="1" ref="D42" ca="1">IFERROR(
 INDEX(Master!O$2:O$272,
  SMALL(
   IF(EXACT(Master!$M$2:$M$272,Rosters!$A$32),
    ROW(Master!O$2:O$272)-ROW(Master!O$2)+1
    ),
   ROWS(Master!O$2:'Master'!O10)
  )
 ),"")</f>
        <v>9</v>
      </c>
      <c r="E42" s="8" t="str">
        <f t="array" ref="E42">IFERROR(
 INDEX(Master!A$2:A$272,
  SMALL(
   IF(EXACT(Master!$M$2:$M$272,Rosters!$A$32),
    ROW(Master!A$2:A$272)-ROW(Master!A$2)+1
    ),
   ROWS(Master!A$2:'Master'!A10)
  )
 ),"")</f>
        <v>Erica</v>
      </c>
      <c r="F42" s="8" t="str">
        <f t="array" ref="F42">IFERROR(
 INDEX(Master!B$2:B$272,
  SMALL(
   IF(EXACT(Master!$M$2:$M$272,Rosters!$A$32),
    ROW(Master!B$2:B$272)-ROW(Master!B$2)+1
    ),
   ROWS(Master!B$2:'Master'!B10)
  )
 ),"")</f>
        <v>Reece</v>
      </c>
      <c r="G42" s="7">
        <f t="array" ref="G42">IFERROR(
 INDEX(Master!K$2:K$272,
  SMALL(
   IF(EXACT(Master!$M$2:$M$272,Rosters!$A$32),
    ROW(Master!K$2:K$272)-ROW(Master!K$2)+1
    ),
   ROWS(Master!K$2:'Master'!K10)
  )
 ),"")</f>
        <v>937</v>
      </c>
      <c r="H42" s="7" t="str">
        <f t="array" ref="H42">IFERROR(
 INDEX(Master!L$2:L$272,
  SMALL(
   IF(EXACT(Master!$M$2:$M$272,Rosters!$A$32),
    ROW(Master!L$2:L$272)-ROW(Master!L$2)+1
    ),
   ROWS(Master!L$2:'Master'!L10)
  )
 ),"")</f>
        <v>270-8637</v>
      </c>
      <c r="I42" s="8" t="str">
        <f t="array" ref="I42">IFERROR(
 INDEX(Master!Q$2:Q$272,
  SMALL(
   IF(EXACT(Master!$M$2:$M$272,Rosters!$A$32),
    ROW(Master!Q$2:Q$272)-ROW(Master!Q$2)+1
    ),
   ROWS(Master!Q$2:'Master'!Q10)
  )
 ),"")</f>
        <v>ericareece413@gmail.com</v>
      </c>
    </row>
    <row r="43" spans="1:9" x14ac:dyDescent="0.25">
      <c r="A43" s="7">
        <v>10</v>
      </c>
      <c r="B43" s="8" t="str">
        <f t="array" ref="B43">IFERROR(
 INDEX(Master!C$2:C$272,
  SMALL(
   IF(EXACT(Master!$M$2:$M$272,Rosters!$A$32),
    ROW(Master!C$2:C$272)-ROW(Master!C$2)+1
    ),
   ROWS(Master!C$2:'Master'!C11)
  )
 ),"")</f>
        <v>Isa</v>
      </c>
      <c r="C43" s="8" t="str">
        <f t="array" ref="C43">IFERROR(
INDEX(Master!D$2:D$272,
SMALL(
IF(EXACT(Master!$M$2:$M$272,Rosters!$A$32),
ROW(Master!D$2:D$272)-ROW(Master!D$2)+1
),
ROWS(Master!D$2:'Master'!D11)
)
),"")</f>
        <v>Rasheed</v>
      </c>
      <c r="D43" s="7">
        <f t="array" aca="1" ref="D43" ca="1">IFERROR(
 INDEX(Master!O$2:O$272,
  SMALL(
   IF(EXACT(Master!$M$2:$M$272,Rosters!$A$32),
    ROW(Master!O$2:O$272)-ROW(Master!O$2)+1
    ),
   ROWS(Master!O$2:'Master'!O11)
  )
 ),"")</f>
        <v>6</v>
      </c>
      <c r="E43" s="8" t="str">
        <f t="array" ref="E43">IFERROR(
 INDEX(Master!A$2:A$272,
  SMALL(
   IF(EXACT(Master!$M$2:$M$272,Rosters!$A$32),
    ROW(Master!A$2:A$272)-ROW(Master!A$2)+1
    ),
   ROWS(Master!A$2:'Master'!A11)
  )
 ),"")</f>
        <v>Asha</v>
      </c>
      <c r="F43" s="8" t="str">
        <f t="array" ref="F43">IFERROR(
 INDEX(Master!B$2:B$272,
  SMALL(
   IF(EXACT(Master!$M$2:$M$272,Rosters!$A$32),
    ROW(Master!B$2:B$272)-ROW(Master!B$2)+1
    ),
   ROWS(Master!B$2:'Master'!B11)
  )
 ),"")</f>
        <v>Rasheed</v>
      </c>
      <c r="G43" s="7">
        <f t="array" ref="G43">IFERROR(
 INDEX(Master!K$2:K$272,
  SMALL(
   IF(EXACT(Master!$M$2:$M$272,Rosters!$A$32),
    ROW(Master!K$2:K$272)-ROW(Master!K$2)+1
    ),
   ROWS(Master!K$2:'Master'!K11)
  )
 ),"")</f>
        <v>937</v>
      </c>
      <c r="H43" s="7" t="str">
        <f t="array" ref="H43">IFERROR(
 INDEX(Master!L$2:L$272,
  SMALL(
   IF(EXACT(Master!$M$2:$M$272,Rosters!$A$32),
    ROW(Master!L$2:L$272)-ROW(Master!L$2)+1
    ),
   ROWS(Master!L$2:'Master'!L11)
  )
 ),"")</f>
        <v>972-2182</v>
      </c>
      <c r="I43" s="8" t="str">
        <f t="array" ref="I43">IFERROR(
 INDEX(Master!Q$2:Q$272,
  SMALL(
   IF(EXACT(Master!$M$2:$M$272,Rosters!$A$32),
    ROW(Master!Q$2:Q$272)-ROW(Master!Q$2)+1
    ),
   ROWS(Master!Q$2:'Master'!Q11)
  )
 ),"")</f>
        <v>cmrussell44@gmail.com</v>
      </c>
    </row>
    <row r="44" spans="1:9" x14ac:dyDescent="0.25">
      <c r="A44" s="7">
        <v>11</v>
      </c>
      <c r="B44" s="8" t="str">
        <f t="array" ref="B44">IFERROR(
 INDEX(Master!C$2:C$272,
  SMALL(
   IF(EXACT(Master!$M$2:$M$272,Rosters!$A$32),
    ROW(Master!C$2:C$272)-ROW(Master!C$2)+1
    ),
   ROWS(Master!C$2:'Master'!C12)
  )
 ),"")</f>
        <v>Mason</v>
      </c>
      <c r="C44" s="8" t="str">
        <f t="array" ref="C44">IFERROR(
INDEX(Master!D$2:D$272,
SMALL(
IF(EXACT(Master!$M$2:$M$272,Rosters!$A$32),
ROW(Master!D$2:D$272)-ROW(Master!D$2)+1
),
ROWS(Master!D$2:'Master'!D12)
)
),"")</f>
        <v>Reed</v>
      </c>
      <c r="D44" s="7">
        <f t="array" aca="1" ref="D44" ca="1">IFERROR(
 INDEX(Master!O$2:O$272,
  SMALL(
   IF(EXACT(Master!$M$2:$M$272,Rosters!$A$32),
    ROW(Master!O$2:O$272)-ROW(Master!O$2)+1
    ),
   ROWS(Master!O$2:'Master'!O12)
  )
 ),"")</f>
        <v>6</v>
      </c>
      <c r="E44" s="8" t="str">
        <f t="array" ref="E44">IFERROR(
 INDEX(Master!A$2:A$272,
  SMALL(
   IF(EXACT(Master!$M$2:$M$272,Rosters!$A$32),
    ROW(Master!A$2:A$272)-ROW(Master!A$2)+1
    ),
   ROWS(Master!A$2:'Master'!A12)
  )
 ),"")</f>
        <v>Alice</v>
      </c>
      <c r="F44" s="8" t="str">
        <f t="array" ref="F44">IFERROR(
 INDEX(Master!B$2:B$272,
  SMALL(
   IF(EXACT(Master!$M$2:$M$272,Rosters!$A$32),
    ROW(Master!B$2:B$272)-ROW(Master!B$2)+1
    ),
   ROWS(Master!B$2:'Master'!B12)
  )
 ),"")</f>
        <v>Reed</v>
      </c>
      <c r="G44" s="7">
        <f t="array" ref="G44">IFERROR(
 INDEX(Master!K$2:K$272,
  SMALL(
   IF(EXACT(Master!$M$2:$M$272,Rosters!$A$32),
    ROW(Master!K$2:K$272)-ROW(Master!K$2)+1
    ),
   ROWS(Master!K$2:'Master'!K12)
  )
 ),"")</f>
        <v>513</v>
      </c>
      <c r="H44" s="7" t="str">
        <f t="array" ref="H44">IFERROR(
 INDEX(Master!L$2:L$272,
  SMALL(
   IF(EXACT(Master!$M$2:$M$272,Rosters!$A$32),
    ROW(Master!L$2:L$272)-ROW(Master!L$2)+1
    ),
   ROWS(Master!L$2:'Master'!L12)
  )
 ),"")</f>
        <v>504-8772</v>
      </c>
      <c r="I44" s="8" t="str">
        <f t="array" ref="I44">IFERROR(
 INDEX(Master!Q$2:Q$272,
  SMALL(
   IF(EXACT(Master!$M$2:$M$272,Rosters!$A$32),
    ROW(Master!Q$2:Q$272)-ROW(Master!Q$2)+1
    ),
   ROWS(Master!Q$2:'Master'!Q12)
  )
 ),"")</f>
        <v>alitomreed72@gmail.com</v>
      </c>
    </row>
    <row r="45" spans="1:9" x14ac:dyDescent="0.25">
      <c r="A45" s="7">
        <v>12</v>
      </c>
      <c r="B45" s="8" t="str">
        <f t="array" ref="B45">IFERROR(
 INDEX(Master!C$2:C$272,
  SMALL(
   IF(EXACT(Master!$M$2:$M$272,Rosters!$A$32),
    ROW(Master!C$2:C$272)-ROW(Master!C$2)+1
    ),
   ROWS(Master!C$2:'Master'!C13)
  )
 ),"")</f>
        <v>Noah</v>
      </c>
      <c r="C45" s="8" t="str">
        <f t="array" ref="C45">IFERROR(
INDEX(Master!D$2:D$272,
SMALL(
IF(EXACT(Master!$M$2:$M$272,Rosters!$A$32),
ROW(Master!D$2:D$272)-ROW(Master!D$2)+1
),
ROWS(Master!D$2:'Master'!D13)
)
),"")</f>
        <v>Rose</v>
      </c>
      <c r="D45" s="7">
        <f t="array" aca="1" ref="D45" ca="1">IFERROR(
 INDEX(Master!O$2:O$272,
  SMALL(
   IF(EXACT(Master!$M$2:$M$272,Rosters!$A$32),
    ROW(Master!O$2:O$272)-ROW(Master!O$2)+1
    ),
   ROWS(Master!O$2:'Master'!O13)
  )
 ),"")</f>
        <v>7</v>
      </c>
      <c r="E45" s="8" t="str">
        <f t="array" ref="E45">IFERROR(
 INDEX(Master!A$2:A$272,
  SMALL(
   IF(EXACT(Master!$M$2:$M$272,Rosters!$A$32),
    ROW(Master!A$2:A$272)-ROW(Master!A$2)+1
    ),
   ROWS(Master!A$2:'Master'!A13)
  )
 ),"")</f>
        <v>Kimberly</v>
      </c>
      <c r="F45" s="8" t="str">
        <f t="array" ref="F45">IFERROR(
 INDEX(Master!B$2:B$272,
  SMALL(
   IF(EXACT(Master!$M$2:$M$272,Rosters!$A$32),
    ROW(Master!B$2:B$272)-ROW(Master!B$2)+1
    ),
   ROWS(Master!B$2:'Master'!B13)
  )
 ),"")</f>
        <v>Rose</v>
      </c>
      <c r="G45" s="7">
        <f t="array" ref="G45">IFERROR(
 INDEX(Master!K$2:K$272,
  SMALL(
   IF(EXACT(Master!$M$2:$M$272,Rosters!$A$32),
    ROW(Master!K$2:K$272)-ROW(Master!K$2)+1
    ),
   ROWS(Master!K$2:'Master'!K13)
  )
 ),"")</f>
        <v>410</v>
      </c>
      <c r="H45" s="7" t="str">
        <f t="array" ref="H45">IFERROR(
 INDEX(Master!L$2:L$272,
  SMALL(
   IF(EXACT(Master!$M$2:$M$272,Rosters!$A$32),
    ROW(Master!L$2:L$272)-ROW(Master!L$2)+1
    ),
   ROWS(Master!L$2:'Master'!L13)
  )
 ),"")</f>
        <v>487-4825</v>
      </c>
      <c r="I45" s="8" t="str">
        <f t="array" ref="I45">IFERROR(
 INDEX(Master!Q$2:Q$272,
  SMALL(
   IF(EXACT(Master!$M$2:$M$272,Rosters!$A$32),
    ROW(Master!Q$2:Q$272)-ROW(Master!Q$2)+1
    ),
   ROWS(Master!Q$2:'Master'!Q13)
  )
 ),"")</f>
        <v>kimberlyrose@outlook.com</v>
      </c>
    </row>
    <row r="46" spans="1:9" x14ac:dyDescent="0.25">
      <c r="A46" s="7">
        <v>13</v>
      </c>
      <c r="B46" s="8" t="str">
        <f t="array" ref="B46">IFERROR(
 INDEX(Master!C$2:C$272,
  SMALL(
   IF(EXACT(Master!$M$2:$M$272,Rosters!$A$32),
    ROW(Master!C$2:C$272)-ROW(Master!C$2)+1
    ),
   ROWS(Master!C$2:'Master'!C14)
  )
 ),"")</f>
        <v>Jonathan</v>
      </c>
      <c r="C46" s="8" t="str">
        <f t="array" ref="C46">IFERROR(
INDEX(Master!D$2:D$272,
SMALL(
IF(EXACT(Master!$M$2:$M$272,Rosters!$A$32),
ROW(Master!D$2:D$272)-ROW(Master!D$2)+1
),
ROWS(Master!D$2:'Master'!D14)
)
),"")</f>
        <v>Sibole</v>
      </c>
      <c r="D46" s="7">
        <f t="array" aca="1" ref="D46" ca="1">IFERROR(
 INDEX(Master!O$2:O$272,
  SMALL(
   IF(EXACT(Master!$M$2:$M$272,Rosters!$A$32),
    ROW(Master!O$2:O$272)-ROW(Master!O$2)+1
    ),
   ROWS(Master!O$2:'Master'!O14)
  )
 ),"")</f>
        <v>8</v>
      </c>
      <c r="E46" s="8" t="str">
        <f t="array" ref="E46">IFERROR(
 INDEX(Master!A$2:A$272,
  SMALL(
   IF(EXACT(Master!$M$2:$M$272,Rosters!$A$32),
    ROW(Master!A$2:A$272)-ROW(Master!A$2)+1
    ),
   ROWS(Master!A$2:'Master'!A14)
  )
 ),"")</f>
        <v>Emily</v>
      </c>
      <c r="F46" s="8" t="str">
        <f t="array" ref="F46">IFERROR(
 INDEX(Master!B$2:B$272,
  SMALL(
   IF(EXACT(Master!$M$2:$M$272,Rosters!$A$32),
    ROW(Master!B$2:B$272)-ROW(Master!B$2)+1
    ),
   ROWS(Master!B$2:'Master'!B14)
  )
 ),"")</f>
        <v>Sibole</v>
      </c>
      <c r="G46" s="7">
        <f t="array" ref="G46">IFERROR(
 INDEX(Master!K$2:K$272,
  SMALL(
   IF(EXACT(Master!$M$2:$M$272,Rosters!$A$32),
    ROW(Master!K$2:K$272)-ROW(Master!K$2)+1
    ),
   ROWS(Master!K$2:'Master'!K14)
  )
 ),"")</f>
        <v>937</v>
      </c>
      <c r="H46" s="7" t="str">
        <f t="array" ref="H46">IFERROR(
 INDEX(Master!L$2:L$272,
  SMALL(
   IF(EXACT(Master!$M$2:$M$272,Rosters!$A$32),
    ROW(Master!L$2:L$272)-ROW(Master!L$2)+1
    ),
   ROWS(Master!L$2:'Master'!L14)
  )
 ),"")</f>
        <v>751-6067</v>
      </c>
      <c r="I46" s="8" t="str">
        <f t="array" ref="I46">IFERROR(
 INDEX(Master!Q$2:Q$272,
  SMALL(
   IF(EXACT(Master!$M$2:$M$272,Rosters!$A$32),
    ROW(Master!Q$2:Q$272)-ROW(Master!Q$2)+1
    ),
   ROWS(Master!Q$2:'Master'!Q14)
  )
 ),"")</f>
        <v>emily.sibole@gmail.com</v>
      </c>
    </row>
    <row r="47" spans="1:9" x14ac:dyDescent="0.25">
      <c r="A47" s="7">
        <v>14</v>
      </c>
      <c r="B47" s="8" t="str">
        <f t="array" ref="B47">IFERROR(
 INDEX(Master!C$2:C$272,
  SMALL(
   IF(EXACT(Master!$M$2:$M$272,Rosters!$A$32),
    ROW(Master!C$2:C$272)-ROW(Master!C$2)+1
    ),
   ROWS(Master!C$2:'Master'!C15)
  )
 ),"")</f>
        <v>Ian</v>
      </c>
      <c r="C47" s="8" t="str">
        <f t="array" ref="C47">IFERROR(
INDEX(Master!D$2:D$272,
SMALL(
IF(EXACT(Master!$M$2:$M$272,Rosters!$A$32),
ROW(Master!D$2:D$272)-ROW(Master!D$2)+1
),
ROWS(Master!D$2:'Master'!D15)
)
),"")</f>
        <v>Witucky</v>
      </c>
      <c r="D47" s="7">
        <f t="array" aca="1" ref="D47" ca="1">IFERROR(
 INDEX(Master!O$2:O$272,
  SMALL(
   IF(EXACT(Master!$M$2:$M$272,Rosters!$A$32),
    ROW(Master!O$2:O$272)-ROW(Master!O$2)+1
    ),
   ROWS(Master!O$2:'Master'!O15)
  )
 ),"")</f>
        <v>8</v>
      </c>
      <c r="E47" s="8" t="str">
        <f t="array" ref="E47">IFERROR(
 INDEX(Master!A$2:A$272,
  SMALL(
   IF(EXACT(Master!$M$2:$M$272,Rosters!$A$32),
    ROW(Master!A$2:A$272)-ROW(Master!A$2)+1
    ),
   ROWS(Master!A$2:'Master'!A15)
  )
 ),"")</f>
        <v>Zak</v>
      </c>
      <c r="F47" s="8" t="str">
        <f t="array" ref="F47">IFERROR(
 INDEX(Master!B$2:B$272,
  SMALL(
   IF(EXACT(Master!$M$2:$M$272,Rosters!$A$32),
    ROW(Master!B$2:B$272)-ROW(Master!B$2)+1
    ),
   ROWS(Master!B$2:'Master'!B15)
  )
 ),"")</f>
        <v>Witucky</v>
      </c>
      <c r="G47" s="7">
        <f t="array" ref="G47">IFERROR(
 INDEX(Master!K$2:K$272,
  SMALL(
   IF(EXACT(Master!$M$2:$M$272,Rosters!$A$32),
    ROW(Master!K$2:K$272)-ROW(Master!K$2)+1
    ),
   ROWS(Master!K$2:'Master'!K15)
  )
 ),"")</f>
        <v>937</v>
      </c>
      <c r="H47" s="7" t="str">
        <f t="array" ref="H47">IFERROR(
 INDEX(Master!L$2:L$272,
  SMALL(
   IF(EXACT(Master!$M$2:$M$272,Rosters!$A$32),
    ROW(Master!L$2:L$272)-ROW(Master!L$2)+1
    ),
   ROWS(Master!L$2:'Master'!L15)
  )
 ),"")</f>
        <v>694-9593</v>
      </c>
      <c r="I47" s="8" t="str">
        <f t="array" ref="I47">IFERROR(
 INDEX(Master!Q$2:Q$272,
  SMALL(
   IF(EXACT(Master!$M$2:$M$272,Rosters!$A$32),
    ROW(Master!Q$2:Q$272)-ROW(Master!Q$2)+1
    ),
   ROWS(Master!Q$2:'Master'!Q15)
  )
 ),"")</f>
        <v>zwitucky@gmail.com</v>
      </c>
    </row>
    <row r="48" spans="1:9" x14ac:dyDescent="0.25">
      <c r="A48" s="7">
        <v>15</v>
      </c>
      <c r="B48" s="8" t="str">
        <f t="array" ref="B48">IFERROR(
 INDEX(Master!C$2:C$272,
  SMALL(
   IF(EXACT(Master!$M$2:$M$272,Rosters!$A$32),
    ROW(Master!C$2:C$272)-ROW(Master!C$2)+1
    ),
   ROWS(Master!C$2:'Master'!C16)
  )
 ),"")</f>
        <v>Lucas</v>
      </c>
      <c r="C48" s="8" t="str">
        <f t="array" ref="C48">IFERROR(
INDEX(Master!D$2:D$272,
SMALL(
IF(EXACT(Master!$M$2:$M$272,Rosters!$A$32),
ROW(Master!D$2:D$272)-ROW(Master!D$2)+1
),
ROWS(Master!D$2:'Master'!D16)
)
),"")</f>
        <v>Zwiers</v>
      </c>
      <c r="D48" s="7">
        <f t="array" aca="1" ref="D48" ca="1">IFERROR(
 INDEX(Master!O$2:O$272,
  SMALL(
   IF(EXACT(Master!$M$2:$M$272,Rosters!$A$32),
    ROW(Master!O$2:O$272)-ROW(Master!O$2)+1
    ),
   ROWS(Master!O$2:'Master'!O16)
  )
 ),"")</f>
        <v>9</v>
      </c>
      <c r="E48" s="8" t="str">
        <f t="array" ref="E48">IFERROR(
 INDEX(Master!A$2:A$272,
  SMALL(
   IF(EXACT(Master!$M$2:$M$272,Rosters!$A$32),
    ROW(Master!A$2:A$272)-ROW(Master!A$2)+1
    ),
   ROWS(Master!A$2:'Master'!A16)
  )
 ),"")</f>
        <v>Jennifer</v>
      </c>
      <c r="F48" s="8" t="str">
        <f t="array" ref="F48">IFERROR(
 INDEX(Master!B$2:B$272,
  SMALL(
   IF(EXACT(Master!$M$2:$M$272,Rosters!$A$32),
    ROW(Master!B$2:B$272)-ROW(Master!B$2)+1
    ),
   ROWS(Master!B$2:'Master'!B16)
  )
 ),"")</f>
        <v>Zwiers</v>
      </c>
      <c r="G48" s="7">
        <f t="array" ref="G48">IFERROR(
 INDEX(Master!K$2:K$272,
  SMALL(
   IF(EXACT(Master!$M$2:$M$272,Rosters!$A$32),
    ROW(Master!K$2:K$272)-ROW(Master!K$2)+1
    ),
   ROWS(Master!K$2:'Master'!K16)
  )
 ),"")</f>
        <v>937</v>
      </c>
      <c r="H48" s="7" t="str">
        <f t="array" ref="H48">IFERROR(
 INDEX(Master!L$2:L$272,
  SMALL(
   IF(EXACT(Master!$M$2:$M$272,Rosters!$A$32),
    ROW(Master!L$2:L$272)-ROW(Master!L$2)+1
    ),
   ROWS(Master!L$2:'Master'!L16)
  )
 ),"")</f>
        <v>423-4989</v>
      </c>
      <c r="I48" s="8" t="str">
        <f t="array" ref="I48">IFERROR(
 INDEX(Master!Q$2:Q$272,
  SMALL(
   IF(EXACT(Master!$M$2:$M$272,Rosters!$A$32),
    ROW(Master!Q$2:Q$272)-ROW(Master!Q$2)+1
    ),
   ROWS(Master!Q$2:'Master'!Q16)
  )
 ),"")</f>
        <v>jzwiers@sthenryparish.com</v>
      </c>
    </row>
    <row r="49" spans="1:9" x14ac:dyDescent="0.25">
      <c r="A49" s="7"/>
      <c r="B49" s="8" t="str">
        <f t="array" ref="B49">IFERROR(
 INDEX(Master!C$2:C$272,
  SMALL(
   IF(EXACT(Master!$M$2:$M$272,Rosters!$A$32),
    ROW(Master!C$2:C$272)-ROW(Master!C$2)+1
    ),
   ROWS(Master!C$2:'Master'!C17)
  )
 ),"")</f>
        <v/>
      </c>
      <c r="C49" s="8" t="str">
        <f t="array" ref="C49">IFERROR(
INDEX(Master!D$2:D$272,
SMALL(
IF(EXACT(Master!$M$2:$M$272,Rosters!$A$32),
ROW(Master!D$2:D$272)-ROW(Master!D$2)+1
),
ROWS(Master!D$2:'Master'!D17)
)
),"")</f>
        <v/>
      </c>
      <c r="D49" s="7" t="str">
        <f t="array" ref="D49">IFERROR(
 INDEX(Master!O$2:O$272,
  SMALL(
   IF(EXACT(Master!$M$2:$M$272,Rosters!$A$32),
    ROW(Master!O$2:O$272)-ROW(Master!O$2)+1
    ),
   ROWS(Master!O$2:'Master'!O17)
  )
 ),"")</f>
        <v/>
      </c>
      <c r="E49" s="8" t="str">
        <f t="array" ref="E49">IFERROR(
 INDEX(Master!A$2:A$272,
  SMALL(
   IF(EXACT(Master!$M$2:$M$272,Rosters!$A$32),
    ROW(Master!A$2:A$272)-ROW(Master!A$2)+1
    ),
   ROWS(Master!A$2:'Master'!A17)
  )
 ),"")</f>
        <v/>
      </c>
      <c r="F49" s="8" t="str">
        <f t="array" ref="F49">IFERROR(
 INDEX(Master!B$2:B$272,
  SMALL(
   IF(EXACT(Master!$M$2:$M$272,Rosters!$A$32),
    ROW(Master!B$2:B$272)-ROW(Master!B$2)+1
    ),
   ROWS(Master!B$2:'Master'!B17)
  )
 ),"")</f>
        <v/>
      </c>
      <c r="G49" s="7" t="str">
        <f t="array" ref="G49">IFERROR(
 INDEX(Master!K$2:K$272,
  SMALL(
   IF(EXACT(Master!$M$2:$M$272,Rosters!$A$32),
    ROW(Master!K$2:K$272)-ROW(Master!K$2)+1
    ),
   ROWS(Master!K$2:'Master'!K17)
  )
 ),"")</f>
        <v/>
      </c>
      <c r="H49" s="7" t="str">
        <f t="array" ref="H49">IFERROR(
 INDEX(Master!L$2:L$272,
  SMALL(
   IF(EXACT(Master!$M$2:$M$272,Rosters!$A$32),
    ROW(Master!L$2:L$272)-ROW(Master!L$2)+1
    ),
   ROWS(Master!L$2:'Master'!L17)
  )
 ),"")</f>
        <v/>
      </c>
      <c r="I49" s="8" t="str">
        <f t="array" ref="I49">IFERROR(
 INDEX(Master!Q$2:Q$272,
  SMALL(
   IF(EXACT(Master!$M$2:$M$272,Rosters!$A$32),
    ROW(Master!Q$2:Q$272)-ROW(Master!Q$2)+1
    ),
   ROWS(Master!Q$2:'Master'!Q17)
  )
 ),"")</f>
        <v/>
      </c>
    </row>
    <row r="50" spans="1:9" x14ac:dyDescent="0.25">
      <c r="A50" s="7"/>
      <c r="B50" s="8" t="str">
        <f t="array" ref="B50">IFERROR(
 INDEX(Master!C$2:C$272,
  SMALL(
   IF(EXACT(Master!$M$2:$M$272,Rosters!$A$32),
    ROW(Master!C$2:C$272)-ROW(Master!C$2)+1
    ),
   ROWS(Master!C$2:'Master'!C18)
  )
 ),"")</f>
        <v/>
      </c>
      <c r="C50" s="8" t="str">
        <f t="array" ref="C50">IFERROR(
INDEX(Master!D$2:D$272,
SMALL(
IF(EXACT(Master!$M$2:$M$272,Rosters!$A$32),
ROW(Master!D$2:D$272)-ROW(Master!D$2)+1
),
ROWS(Master!D$2:'Master'!D18)
)
),"")</f>
        <v/>
      </c>
      <c r="D50" s="7" t="str">
        <f t="array" ref="D50">IFERROR(
 INDEX(Master!O$2:O$272,
  SMALL(
   IF(EXACT(Master!$M$2:$M$272,Rosters!$A$32),
    ROW(Master!O$2:O$272)-ROW(Master!O$2)+1
    ),
   ROWS(Master!O$2:'Master'!O18)
  )
 ),"")</f>
        <v/>
      </c>
      <c r="E50" s="8" t="str">
        <f t="array" ref="E50">IFERROR(
 INDEX(Master!A$2:A$272,
  SMALL(
   IF(EXACT(Master!$M$2:$M$272,Rosters!$A$32),
    ROW(Master!A$2:A$272)-ROW(Master!A$2)+1
    ),
   ROWS(Master!A$2:'Master'!A18)
  )
 ),"")</f>
        <v/>
      </c>
      <c r="F50" s="8" t="str">
        <f t="array" ref="F50">IFERROR(
 INDEX(Master!B$2:B$272,
  SMALL(
   IF(EXACT(Master!$M$2:$M$272,Rosters!$A$32),
    ROW(Master!B$2:B$272)-ROW(Master!B$2)+1
    ),
   ROWS(Master!B$2:'Master'!B18)
  )
 ),"")</f>
        <v/>
      </c>
      <c r="G50" s="7" t="str">
        <f t="array" ref="G50">IFERROR(
 INDEX(Master!K$2:K$272,
  SMALL(
   IF(EXACT(Master!$M$2:$M$272,Rosters!$A$32),
    ROW(Master!K$2:K$272)-ROW(Master!K$2)+1
    ),
   ROWS(Master!K$2:'Master'!K18)
  )
 ),"")</f>
        <v/>
      </c>
      <c r="H50" s="7" t="str">
        <f t="array" ref="H50">IFERROR(
 INDEX(Master!L$2:L$272,
  SMALL(
   IF(EXACT(Master!$M$2:$M$272,Rosters!$A$32),
    ROW(Master!L$2:L$272)-ROW(Master!L$2)+1
    ),
   ROWS(Master!L$2:'Master'!L18)
  )
 ),"")</f>
        <v/>
      </c>
      <c r="I50" s="8" t="str">
        <f t="array" ref="I50">IFERROR(
 INDEX(Master!Q$2:Q$272,
  SMALL(
   IF(EXACT(Master!$M$2:$M$272,Rosters!$A$32),
    ROW(Master!Q$2:Q$272)-ROW(Master!Q$2)+1
    ),
   ROWS(Master!Q$2:'Master'!Q18)
  )
 ),"")</f>
        <v/>
      </c>
    </row>
    <row r="51" spans="1:9" x14ac:dyDescent="0.25">
      <c r="A51" s="7" t="str">
        <f t="shared" ref="A51:A63" si="0">IF($B51&lt;&gt;"",$A50+1,"")</f>
        <v/>
      </c>
      <c r="B51" s="8" t="str">
        <f t="array" ref="B51">IFERROR(
 INDEX(Master!C$2:C$272,
  SMALL(
   IF(EXACT(Master!$M$2:$M$272,Rosters!$A$32),
    ROW(Master!C$2:C$272)-ROW(Master!C$2)+1
    ),
   ROWS(Master!C$2:'Master'!C19)
  )
 ),"")</f>
        <v/>
      </c>
      <c r="C51" s="8" t="str">
        <f t="array" ref="C51">IFERROR(
INDEX(Master!D$2:D$272,
SMALL(
IF(EXACT(Master!$M$2:$M$272,Rosters!$A$32),
ROW(Master!D$2:D$272)-ROW(Master!D$2)+1
),
ROWS(Master!D$2:'Master'!D19)
)
),"")</f>
        <v/>
      </c>
      <c r="D51" s="7" t="str">
        <f t="array" ref="D51">IFERROR(
 INDEX(Master!O$2:O$272,
  SMALL(
   IF(EXACT(Master!$M$2:$M$272,Rosters!$A$32),
    ROW(Master!O$2:O$272)-ROW(Master!O$2)+1
    ),
   ROWS(Master!O$2:'Master'!O19)
  )
 ),"")</f>
        <v/>
      </c>
      <c r="E51" s="8" t="str">
        <f t="array" ref="E51">IFERROR(
 INDEX(Master!A$2:A$272,
  SMALL(
   IF(EXACT(Master!$M$2:$M$272,Rosters!$A$32),
    ROW(Master!A$2:A$272)-ROW(Master!A$2)+1
    ),
   ROWS(Master!A$2:'Master'!A19)
  )
 ),"")</f>
        <v/>
      </c>
      <c r="F51" s="8" t="str">
        <f t="array" ref="F51">IFERROR(
 INDEX(Master!B$2:B$272,
  SMALL(
   IF(EXACT(Master!$M$2:$M$272,Rosters!$A$32),
    ROW(Master!B$2:B$272)-ROW(Master!B$2)+1
    ),
   ROWS(Master!B$2:'Master'!B19)
  )
 ),"")</f>
        <v/>
      </c>
      <c r="G51" s="7" t="str">
        <f t="array" ref="G51">IFERROR(
 INDEX(Master!K$2:K$272,
  SMALL(
   IF(EXACT(Master!$M$2:$M$272,Rosters!$A$32),
    ROW(Master!K$2:K$272)-ROW(Master!K$2)+1
    ),
   ROWS(Master!K$2:'Master'!K19)
  )
 ),"")</f>
        <v/>
      </c>
      <c r="H51" s="7" t="str">
        <f t="array" ref="H51">IFERROR(
 INDEX(Master!L$2:L$272,
  SMALL(
   IF(EXACT(Master!$M$2:$M$272,Rosters!$A$32),
    ROW(Master!L$2:L$272)-ROW(Master!L$2)+1
    ),
   ROWS(Master!L$2:'Master'!L19)
  )
 ),"")</f>
        <v/>
      </c>
      <c r="I51" s="8" t="str">
        <f t="array" ref="I51">IFERROR(
 INDEX(Master!Q$2:Q$272,
  SMALL(
   IF(EXACT(Master!$M$2:$M$272,Rosters!$A$32),
    ROW(Master!Q$2:Q$272)-ROW(Master!Q$2)+1
    ),
   ROWS(Master!Q$2:'Master'!Q19)
  )
 ),"")</f>
        <v/>
      </c>
    </row>
    <row r="52" spans="1:9" x14ac:dyDescent="0.25">
      <c r="A52" s="7" t="str">
        <f t="shared" si="0"/>
        <v/>
      </c>
      <c r="B52" s="8" t="str">
        <f t="array" ref="B52">IFERROR(
 INDEX(Master!C$2:C$272,
  SMALL(
   IF(EXACT(Master!$M$2:$M$272,Rosters!$A$32),
    ROW(Master!C$2:C$272)-ROW(Master!C$2)+1
    ),
   ROWS(Master!C$2:'Master'!C20)
  )
 ),"")</f>
        <v/>
      </c>
      <c r="C52" s="8" t="str">
        <f t="array" ref="C52">IFERROR(
INDEX(Master!D$2:D$272,
SMALL(
IF(EXACT(Master!$M$2:$M$272,Rosters!$A$32),
ROW(Master!D$2:D$272)-ROW(Master!D$2)+1
),
ROWS(Master!D$2:'Master'!D20)
)
),"")</f>
        <v/>
      </c>
      <c r="D52" s="7" t="str">
        <f t="array" ref="D52">IFERROR(
 INDEX(Master!O$2:O$272,
  SMALL(
   IF(EXACT(Master!$M$2:$M$272,Rosters!$A$32),
    ROW(Master!O$2:O$272)-ROW(Master!O$2)+1
    ),
   ROWS(Master!O$2:'Master'!O20)
  )
 ),"")</f>
        <v/>
      </c>
      <c r="E52" s="8" t="str">
        <f t="array" ref="E52">IFERROR(
 INDEX(Master!A$2:A$272,
  SMALL(
   IF(EXACT(Master!$M$2:$M$272,Rosters!$A$32),
    ROW(Master!A$2:A$272)-ROW(Master!A$2)+1
    ),
   ROWS(Master!A$2:'Master'!A20)
  )
 ),"")</f>
        <v/>
      </c>
      <c r="F52" s="8" t="str">
        <f t="array" ref="F52">IFERROR(
 INDEX(Master!B$2:B$272,
  SMALL(
   IF(EXACT(Master!$M$2:$M$272,Rosters!$A$32),
    ROW(Master!B$2:B$272)-ROW(Master!B$2)+1
    ),
   ROWS(Master!B$2:'Master'!B20)
  )
 ),"")</f>
        <v/>
      </c>
      <c r="G52" s="7" t="str">
        <f t="array" ref="G52">IFERROR(
 INDEX(Master!K$2:K$272,
  SMALL(
   IF(EXACT(Master!$M$2:$M$272,Rosters!$A$32),
    ROW(Master!K$2:K$272)-ROW(Master!K$2)+1
    ),
   ROWS(Master!K$2:'Master'!K20)
  )
 ),"")</f>
        <v/>
      </c>
      <c r="H52" s="7" t="str">
        <f t="array" ref="H52">IFERROR(
 INDEX(Master!L$2:L$272,
  SMALL(
   IF(EXACT(Master!$M$2:$M$272,Rosters!$A$32),
    ROW(Master!L$2:L$272)-ROW(Master!L$2)+1
    ),
   ROWS(Master!L$2:'Master'!L20)
  )
 ),"")</f>
        <v/>
      </c>
      <c r="I52" s="8" t="str">
        <f t="array" ref="I52">IFERROR(
 INDEX(Master!Q$2:Q$272,
  SMALL(
   IF(EXACT(Master!$M$2:$M$272,Rosters!$A$32),
    ROW(Master!Q$2:Q$272)-ROW(Master!Q$2)+1
    ),
   ROWS(Master!Q$2:'Master'!Q20)
  )
 ),"")</f>
        <v/>
      </c>
    </row>
    <row r="53" spans="1:9" x14ac:dyDescent="0.25">
      <c r="A53" s="7" t="str">
        <f t="shared" si="0"/>
        <v/>
      </c>
      <c r="B53" s="8" t="str">
        <f t="array" ref="B53">IFERROR(
 INDEX(Master!C$2:C$272,
  SMALL(
   IF(EXACT(Master!$M$2:$M$272,Rosters!$A$32),
    ROW(Master!C$2:C$272)-ROW(Master!C$2)+1
    ),
   ROWS(Master!C$2:'Master'!C21)
  )
 ),"")</f>
        <v/>
      </c>
      <c r="C53" s="8" t="str">
        <f t="array" ref="C53">IFERROR(
INDEX(Master!D$2:D$272,
SMALL(
IF(EXACT(Master!$M$2:$M$272,Rosters!$A$32),
ROW(Master!D$2:D$272)-ROW(Master!D$2)+1
),
ROWS(Master!D$2:'Master'!D21)
)
),"")</f>
        <v/>
      </c>
      <c r="D53" s="7" t="str">
        <f t="array" ref="D53">IFERROR(
 INDEX(Master!O$2:O$272,
  SMALL(
   IF(EXACT(Master!$M$2:$M$272,Rosters!$A$32),
    ROW(Master!O$2:O$272)-ROW(Master!O$2)+1
    ),
   ROWS(Master!O$2:'Master'!O21)
  )
 ),"")</f>
        <v/>
      </c>
      <c r="E53" s="8" t="str">
        <f t="array" ref="E53">IFERROR(
 INDEX(Master!A$2:A$272,
  SMALL(
   IF(EXACT(Master!$M$2:$M$272,Rosters!$A$32),
    ROW(Master!A$2:A$272)-ROW(Master!A$2)+1
    ),
   ROWS(Master!A$2:'Master'!A21)
  )
 ),"")</f>
        <v/>
      </c>
      <c r="F53" s="8" t="str">
        <f t="array" ref="F53">IFERROR(
 INDEX(Master!B$2:B$272,
  SMALL(
   IF(EXACT(Master!$M$2:$M$272,Rosters!$A$32),
    ROW(Master!B$2:B$272)-ROW(Master!B$2)+1
    ),
   ROWS(Master!B$2:'Master'!B21)
  )
 ),"")</f>
        <v/>
      </c>
      <c r="G53" s="7" t="str">
        <f t="array" ref="G53">IFERROR(
 INDEX(Master!K$2:K$272,
  SMALL(
   IF(EXACT(Master!$M$2:$M$272,Rosters!$A$32),
    ROW(Master!K$2:K$272)-ROW(Master!K$2)+1
    ),
   ROWS(Master!K$2:'Master'!K21)
  )
 ),"")</f>
        <v/>
      </c>
      <c r="H53" s="7" t="str">
        <f t="array" ref="H53">IFERROR(
 INDEX(Master!L$2:L$272,
  SMALL(
   IF(EXACT(Master!$M$2:$M$272,Rosters!$A$32),
    ROW(Master!L$2:L$272)-ROW(Master!L$2)+1
    ),
   ROWS(Master!L$2:'Master'!L21)
  )
 ),"")</f>
        <v/>
      </c>
      <c r="I53" s="8" t="str">
        <f t="array" ref="I53">IFERROR(
 INDEX(Master!Q$2:Q$272,
  SMALL(
   IF(EXACT(Master!$M$2:$M$272,Rosters!$A$32),
    ROW(Master!Q$2:Q$272)-ROW(Master!Q$2)+1
    ),
   ROWS(Master!Q$2:'Master'!Q21)
  )
 ),"")</f>
        <v/>
      </c>
    </row>
    <row r="54" spans="1:9" x14ac:dyDescent="0.25">
      <c r="A54" s="7" t="str">
        <f t="shared" si="0"/>
        <v/>
      </c>
      <c r="B54" s="8" t="str">
        <f t="array" ref="B54">IFERROR(
 INDEX(Master!C$2:C$272,
  SMALL(
   IF(EXACT(Master!$M$2:$M$272,Rosters!$A$32),
    ROW(Master!C$2:C$272)-ROW(Master!C$2)+1
    ),
   ROWS(Master!C$2:'Master'!C22)
  )
 ),"")</f>
        <v/>
      </c>
      <c r="C54" s="8" t="str">
        <f t="array" ref="C54">IFERROR(
INDEX(Master!D$2:D$272,
SMALL(
IF(EXACT(Master!$M$2:$M$272,Rosters!$A$32),
ROW(Master!D$2:D$272)-ROW(Master!D$2)+1
),
ROWS(Master!D$2:'Master'!D22)
)
),"")</f>
        <v/>
      </c>
      <c r="D54" s="7" t="str">
        <f t="array" ref="D54">IFERROR(
 INDEX(Master!O$2:O$272,
  SMALL(
   IF(EXACT(Master!$M$2:$M$272,Rosters!$A$32),
    ROW(Master!O$2:O$272)-ROW(Master!O$2)+1
    ),
   ROWS(Master!O$2:'Master'!O22)
  )
 ),"")</f>
        <v/>
      </c>
      <c r="E54" s="8" t="str">
        <f t="array" ref="E54">IFERROR(
 INDEX(Master!A$2:A$272,
  SMALL(
   IF(EXACT(Master!$M$2:$M$272,Rosters!$A$32),
    ROW(Master!A$2:A$272)-ROW(Master!A$2)+1
    ),
   ROWS(Master!A$2:'Master'!A22)
  )
 ),"")</f>
        <v/>
      </c>
      <c r="F54" s="8" t="str">
        <f t="array" ref="F54">IFERROR(
 INDEX(Master!B$2:B$272,
  SMALL(
   IF(EXACT(Master!$M$2:$M$272,Rosters!$A$32),
    ROW(Master!B$2:B$272)-ROW(Master!B$2)+1
    ),
   ROWS(Master!B$2:'Master'!B22)
  )
 ),"")</f>
        <v/>
      </c>
      <c r="G54" s="7" t="str">
        <f t="array" ref="G54">IFERROR(
 INDEX(Master!K$2:K$272,
  SMALL(
   IF(EXACT(Master!$M$2:$M$272,Rosters!$A$32),
    ROW(Master!K$2:K$272)-ROW(Master!K$2)+1
    ),
   ROWS(Master!K$2:'Master'!K22)
  )
 ),"")</f>
        <v/>
      </c>
      <c r="H54" s="7" t="str">
        <f t="array" ref="H54">IFERROR(
 INDEX(Master!L$2:L$272,
  SMALL(
   IF(EXACT(Master!$M$2:$M$272,Rosters!$A$32),
    ROW(Master!L$2:L$272)-ROW(Master!L$2)+1
    ),
   ROWS(Master!L$2:'Master'!L22)
  )
 ),"")</f>
        <v/>
      </c>
      <c r="I54" s="8" t="str">
        <f t="array" ref="I54">IFERROR(
 INDEX(Master!Q$2:Q$272,
  SMALL(
   IF(EXACT(Master!$M$2:$M$272,Rosters!$A$32),
    ROW(Master!Q$2:Q$272)-ROW(Master!Q$2)+1
    ),
   ROWS(Master!Q$2:'Master'!Q22)
  )
 ),"")</f>
        <v/>
      </c>
    </row>
    <row r="55" spans="1:9" x14ac:dyDescent="0.25">
      <c r="A55" s="7" t="str">
        <f t="shared" si="0"/>
        <v/>
      </c>
      <c r="B55" s="8" t="str">
        <f t="array" ref="B55">IFERROR(
 INDEX(Master!C$2:C$272,
  SMALL(
   IF(EXACT(Master!$M$2:$M$272,Rosters!$A$32),
    ROW(Master!C$2:C$272)-ROW(Master!C$2)+1
    ),
   ROWS(Master!C$2:'Master'!C23)
  )
 ),"")</f>
        <v/>
      </c>
      <c r="C55" s="8" t="str">
        <f t="array" ref="C55">IFERROR(
INDEX(Master!D$2:D$272,
SMALL(
IF(EXACT(Master!$M$2:$M$272,Rosters!$A$32),
ROW(Master!D$2:D$272)-ROW(Master!D$2)+1
),
ROWS(Master!D$2:'Master'!D23)
)
),"")</f>
        <v/>
      </c>
      <c r="D55" s="7" t="str">
        <f t="array" ref="D55">IFERROR(
 INDEX(Master!O$2:O$272,
  SMALL(
   IF(EXACT(Master!$M$2:$M$272,Rosters!$A$32),
    ROW(Master!O$2:O$272)-ROW(Master!O$2)+1
    ),
   ROWS(Master!O$2:'Master'!O23)
  )
 ),"")</f>
        <v/>
      </c>
      <c r="E55" s="8" t="str">
        <f t="array" ref="E55">IFERROR(
 INDEX(Master!A$2:A$272,
  SMALL(
   IF(EXACT(Master!$M$2:$M$272,Rosters!$A$32),
    ROW(Master!A$2:A$272)-ROW(Master!A$2)+1
    ),
   ROWS(Master!A$2:'Master'!A23)
  )
 ),"")</f>
        <v/>
      </c>
      <c r="F55" s="8" t="str">
        <f t="array" ref="F55">IFERROR(
 INDEX(Master!B$2:B$272,
  SMALL(
   IF(EXACT(Master!$M$2:$M$272,Rosters!$A$32),
    ROW(Master!B$2:B$272)-ROW(Master!B$2)+1
    ),
   ROWS(Master!B$2:'Master'!B23)
  )
 ),"")</f>
        <v/>
      </c>
      <c r="G55" s="7" t="str">
        <f t="array" ref="G55">IFERROR(
 INDEX(Master!K$2:K$272,
  SMALL(
   IF(EXACT(Master!$M$2:$M$272,Rosters!$A$32),
    ROW(Master!K$2:K$272)-ROW(Master!K$2)+1
    ),
   ROWS(Master!K$2:'Master'!K23)
  )
 ),"")</f>
        <v/>
      </c>
      <c r="H55" s="7" t="str">
        <f t="array" ref="H55">IFERROR(
 INDEX(Master!L$2:L$272,
  SMALL(
   IF(EXACT(Master!$M$2:$M$272,Rosters!$A$32),
    ROW(Master!L$2:L$272)-ROW(Master!L$2)+1
    ),
   ROWS(Master!L$2:'Master'!L23)
  )
 ),"")</f>
        <v/>
      </c>
      <c r="I55" s="8" t="str">
        <f t="array" ref="I55">IFERROR(
 INDEX(Master!Q$2:Q$272,
  SMALL(
   IF(EXACT(Master!$M$2:$M$272,Rosters!$A$32),
    ROW(Master!Q$2:Q$272)-ROW(Master!Q$2)+1
    ),
   ROWS(Master!Q$2:'Master'!Q23)
  )
 ),"")</f>
        <v/>
      </c>
    </row>
    <row r="56" spans="1:9" x14ac:dyDescent="0.25">
      <c r="A56" s="7" t="str">
        <f t="shared" si="0"/>
        <v/>
      </c>
      <c r="B56" s="8" t="str">
        <f t="array" ref="B56">IFERROR(
 INDEX(Master!C$2:C$272,
  SMALL(
   IF(EXACT(Master!$M$2:$M$272,Rosters!$A$32),
    ROW(Master!C$2:C$272)-ROW(Master!C$2)+1
    ),
   ROWS(Master!C$2:'Master'!C24)
  )
 ),"")</f>
        <v/>
      </c>
      <c r="C56" s="8" t="str">
        <f t="array" ref="C56">IFERROR(
INDEX(Master!D$2:D$272,
SMALL(
IF(EXACT(Master!$M$2:$M$272,Rosters!$A$32),
ROW(Master!D$2:D$272)-ROW(Master!D$2)+1
),
ROWS(Master!D$2:'Master'!D24)
)
),"")</f>
        <v/>
      </c>
      <c r="D56" s="7" t="str">
        <f t="array" ref="D56">IFERROR(
 INDEX(Master!O$2:O$272,
  SMALL(
   IF(EXACT(Master!$M$2:$M$272,Rosters!$A$32),
    ROW(Master!O$2:O$272)-ROW(Master!O$2)+1
    ),
   ROWS(Master!O$2:'Master'!O24)
  )
 ),"")</f>
        <v/>
      </c>
      <c r="E56" s="8" t="str">
        <f t="array" ref="E56">IFERROR(
 INDEX(Master!A$2:A$272,
  SMALL(
   IF(EXACT(Master!$M$2:$M$272,Rosters!$A$32),
    ROW(Master!A$2:A$272)-ROW(Master!A$2)+1
    ),
   ROWS(Master!A$2:'Master'!A24)
  )
 ),"")</f>
        <v/>
      </c>
      <c r="F56" s="8" t="str">
        <f t="array" ref="F56">IFERROR(
 INDEX(Master!B$2:B$272,
  SMALL(
   IF(EXACT(Master!$M$2:$M$272,Rosters!$A$32),
    ROW(Master!B$2:B$272)-ROW(Master!B$2)+1
    ),
   ROWS(Master!B$2:'Master'!B24)
  )
 ),"")</f>
        <v/>
      </c>
      <c r="G56" s="7" t="str">
        <f t="array" ref="G56">IFERROR(
 INDEX(Master!K$2:K$272,
  SMALL(
   IF(EXACT(Master!$M$2:$M$272,Rosters!$A$32),
    ROW(Master!K$2:K$272)-ROW(Master!K$2)+1
    ),
   ROWS(Master!K$2:'Master'!K24)
  )
 ),"")</f>
        <v/>
      </c>
      <c r="H56" s="7" t="str">
        <f t="array" ref="H56">IFERROR(
 INDEX(Master!L$2:L$272,
  SMALL(
   IF(EXACT(Master!$M$2:$M$272,Rosters!$A$32),
    ROW(Master!L$2:L$272)-ROW(Master!L$2)+1
    ),
   ROWS(Master!L$2:'Master'!L24)
  )
 ),"")</f>
        <v/>
      </c>
      <c r="I56" s="8" t="str">
        <f t="array" ref="I56">IFERROR(
 INDEX(Master!Q$2:Q$272,
  SMALL(
   IF(EXACT(Master!$M$2:$M$272,Rosters!$A$32),
    ROW(Master!Q$2:Q$272)-ROW(Master!Q$2)+1
    ),
   ROWS(Master!Q$2:'Master'!Q24)
  )
 ),"")</f>
        <v/>
      </c>
    </row>
    <row r="57" spans="1:9" x14ac:dyDescent="0.25">
      <c r="A57" s="7" t="str">
        <f t="shared" si="0"/>
        <v/>
      </c>
      <c r="B57" s="8" t="str">
        <f t="array" ref="B57">IFERROR(
 INDEX(Master!C$2:C$272,
  SMALL(
   IF(EXACT(Master!$M$2:$M$272,Rosters!$A$32),
    ROW(Master!C$2:C$272)-ROW(Master!C$2)+1
    ),
   ROWS(Master!C$2:'Master'!C25)
  )
 ),"")</f>
        <v/>
      </c>
      <c r="C57" s="8" t="str">
        <f t="array" ref="C57">IFERROR(
INDEX(Master!D$2:D$272,
SMALL(
IF(EXACT(Master!$M$2:$M$272,Rosters!$A$32),
ROW(Master!D$2:D$272)-ROW(Master!D$2)+1
),
ROWS(Master!D$2:'Master'!D25)
)
),"")</f>
        <v/>
      </c>
      <c r="D57" s="7" t="str">
        <f t="array" ref="D57">IFERROR(
 INDEX(Master!O$2:O$272,
  SMALL(
   IF(EXACT(Master!$M$2:$M$272,Rosters!$A$32),
    ROW(Master!O$2:O$272)-ROW(Master!O$2)+1
    ),
   ROWS(Master!O$2:'Master'!O25)
  )
 ),"")</f>
        <v/>
      </c>
      <c r="E57" s="8" t="str">
        <f t="array" ref="E57">IFERROR(
 INDEX(Master!A$2:A$272,
  SMALL(
   IF(EXACT(Master!$M$2:$M$272,Rosters!$A$32),
    ROW(Master!A$2:A$272)-ROW(Master!A$2)+1
    ),
   ROWS(Master!A$2:'Master'!A25)
  )
 ),"")</f>
        <v/>
      </c>
      <c r="F57" s="8" t="str">
        <f t="array" ref="F57">IFERROR(
 INDEX(Master!B$2:B$272,
  SMALL(
   IF(EXACT(Master!$M$2:$M$272,Rosters!$A$32),
    ROW(Master!B$2:B$272)-ROW(Master!B$2)+1
    ),
   ROWS(Master!B$2:'Master'!B25)
  )
 ),"")</f>
        <v/>
      </c>
      <c r="G57" s="7" t="str">
        <f t="array" ref="G57">IFERROR(
 INDEX(Master!K$2:K$272,
  SMALL(
   IF(EXACT(Master!$M$2:$M$272,Rosters!$A$32),
    ROW(Master!K$2:K$272)-ROW(Master!K$2)+1
    ),
   ROWS(Master!K$2:'Master'!K25)
  )
 ),"")</f>
        <v/>
      </c>
      <c r="H57" s="7" t="str">
        <f t="array" ref="H57">IFERROR(
 INDEX(Master!L$2:L$272,
  SMALL(
   IF(EXACT(Master!$M$2:$M$272,Rosters!$A$32),
    ROW(Master!L$2:L$272)-ROW(Master!L$2)+1
    ),
   ROWS(Master!L$2:'Master'!L25)
  )
 ),"")</f>
        <v/>
      </c>
      <c r="I57" s="8" t="str">
        <f t="array" ref="I57">IFERROR(
 INDEX(Master!Q$2:Q$272,
  SMALL(
   IF(EXACT(Master!$M$2:$M$272,Rosters!$A$32),
    ROW(Master!Q$2:Q$272)-ROW(Master!Q$2)+1
    ),
   ROWS(Master!Q$2:'Master'!Q25)
  )
 ),"")</f>
        <v/>
      </c>
    </row>
    <row r="58" spans="1:9" x14ac:dyDescent="0.25">
      <c r="A58" s="7" t="str">
        <f t="shared" si="0"/>
        <v/>
      </c>
      <c r="B58" s="8" t="str">
        <f t="array" ref="B58">IFERROR(
 INDEX(Master!C$2:C$272,
  SMALL(
   IF(EXACT(Master!$M$2:$M$272,Rosters!$A$32),
    ROW(Master!C$2:C$272)-ROW(Master!C$2)+1
    ),
   ROWS(Master!C$2:'Master'!C26)
  )
 ),"")</f>
        <v/>
      </c>
      <c r="C58" s="8" t="str">
        <f t="array" ref="C58">IFERROR(
INDEX(Master!D$2:D$272,
SMALL(
IF(EXACT(Master!$M$2:$M$272,Rosters!$A$32),
ROW(Master!D$2:D$272)-ROW(Master!D$2)+1
),
ROWS(Master!D$2:'Master'!D26)
)
),"")</f>
        <v/>
      </c>
      <c r="D58" s="7" t="str">
        <f t="array" ref="D58">IFERROR(
 INDEX(Master!O$2:O$272,
  SMALL(
   IF(EXACT(Master!$M$2:$M$272,Rosters!$A$32),
    ROW(Master!O$2:O$272)-ROW(Master!O$2)+1
    ),
   ROWS(Master!O$2:'Master'!O26)
  )
 ),"")</f>
        <v/>
      </c>
      <c r="E58" s="8" t="str">
        <f t="array" ref="E58">IFERROR(
 INDEX(Master!A$2:A$272,
  SMALL(
   IF(EXACT(Master!$M$2:$M$272,Rosters!$A$32),
    ROW(Master!A$2:A$272)-ROW(Master!A$2)+1
    ),
   ROWS(Master!A$2:'Master'!A26)
  )
 ),"")</f>
        <v/>
      </c>
      <c r="F58" s="8" t="str">
        <f t="array" ref="F58">IFERROR(
 INDEX(Master!B$2:B$272,
  SMALL(
   IF(EXACT(Master!$M$2:$M$272,Rosters!$A$32),
    ROW(Master!B$2:B$272)-ROW(Master!B$2)+1
    ),
   ROWS(Master!B$2:'Master'!B26)
  )
 ),"")</f>
        <v/>
      </c>
      <c r="G58" s="7" t="str">
        <f t="array" ref="G58">IFERROR(
 INDEX(Master!K$2:K$272,
  SMALL(
   IF(EXACT(Master!$M$2:$M$272,Rosters!$A$32),
    ROW(Master!K$2:K$272)-ROW(Master!K$2)+1
    ),
   ROWS(Master!K$2:'Master'!K26)
  )
 ),"")</f>
        <v/>
      </c>
      <c r="H58" s="7" t="str">
        <f t="array" ref="H58">IFERROR(
 INDEX(Master!L$2:L$272,
  SMALL(
   IF(EXACT(Master!$M$2:$M$272,Rosters!$A$32),
    ROW(Master!L$2:L$272)-ROW(Master!L$2)+1
    ),
   ROWS(Master!L$2:'Master'!L26)
  )
 ),"")</f>
        <v/>
      </c>
      <c r="I58" s="8" t="str">
        <f t="array" ref="I58">IFERROR(
 INDEX(Master!Q$2:Q$272,
  SMALL(
   IF(EXACT(Master!$M$2:$M$272,Rosters!$A$32),
    ROW(Master!Q$2:Q$272)-ROW(Master!Q$2)+1
    ),
   ROWS(Master!Q$2:'Master'!Q26)
  )
 ),"")</f>
        <v/>
      </c>
    </row>
    <row r="59" spans="1:9" x14ac:dyDescent="0.25">
      <c r="A59" s="7" t="str">
        <f t="shared" si="0"/>
        <v/>
      </c>
      <c r="B59" s="8" t="str">
        <f t="array" ref="B59">IFERROR(
 INDEX(Master!C$2:C$272,
  SMALL(
   IF(EXACT(Master!$M$2:$M$272,Rosters!$A$32),
    ROW(Master!C$2:C$272)-ROW(Master!C$2)+1
    ),
   ROWS(Master!C$2:'Master'!C27)
  )
 ),"")</f>
        <v/>
      </c>
      <c r="C59" s="8" t="str">
        <f t="array" ref="C59">IFERROR(
INDEX(Master!D$2:D$272,
SMALL(
IF(EXACT(Master!$M$2:$M$272,Rosters!$A$32),
ROW(Master!D$2:D$272)-ROW(Master!D$2)+1
),
ROWS(Master!D$2:'Master'!D27)
)
),"")</f>
        <v/>
      </c>
      <c r="D59" s="7" t="str">
        <f t="array" ref="D59">IFERROR(
 INDEX(Master!O$2:O$272,
  SMALL(
   IF(EXACT(Master!$M$2:$M$272,Rosters!$A$32),
    ROW(Master!O$2:O$272)-ROW(Master!O$2)+1
    ),
   ROWS(Master!O$2:'Master'!O27)
  )
 ),"")</f>
        <v/>
      </c>
      <c r="E59" s="8" t="str">
        <f t="array" ref="E59">IFERROR(
 INDEX(Master!A$2:A$272,
  SMALL(
   IF(EXACT(Master!$M$2:$M$272,Rosters!$A$32),
    ROW(Master!A$2:A$272)-ROW(Master!A$2)+1
    ),
   ROWS(Master!A$2:'Master'!A27)
  )
 ),"")</f>
        <v/>
      </c>
      <c r="F59" s="8" t="str">
        <f t="array" ref="F59">IFERROR(
 INDEX(Master!B$2:B$272,
  SMALL(
   IF(EXACT(Master!$M$2:$M$272,Rosters!$A$32),
    ROW(Master!B$2:B$272)-ROW(Master!B$2)+1
    ),
   ROWS(Master!B$2:'Master'!B27)
  )
 ),"")</f>
        <v/>
      </c>
      <c r="G59" s="7" t="str">
        <f t="array" ref="G59">IFERROR(
 INDEX(Master!K$2:K$272,
  SMALL(
   IF(EXACT(Master!$M$2:$M$272,Rosters!$A$32),
    ROW(Master!K$2:K$272)-ROW(Master!K$2)+1
    ),
   ROWS(Master!K$2:'Master'!K27)
  )
 ),"")</f>
        <v/>
      </c>
      <c r="H59" s="7" t="str">
        <f t="array" ref="H59">IFERROR(
 INDEX(Master!L$2:L$272,
  SMALL(
   IF(EXACT(Master!$M$2:$M$272,Rosters!$A$32),
    ROW(Master!L$2:L$272)-ROW(Master!L$2)+1
    ),
   ROWS(Master!L$2:'Master'!L27)
  )
 ),"")</f>
        <v/>
      </c>
      <c r="I59" s="8" t="str">
        <f t="array" ref="I59">IFERROR(
 INDEX(Master!Q$2:Q$272,
  SMALL(
   IF(EXACT(Master!$M$2:$M$272,Rosters!$A$32),
    ROW(Master!Q$2:Q$272)-ROW(Master!Q$2)+1
    ),
   ROWS(Master!Q$2:'Master'!Q27)
  )
 ),"")</f>
        <v/>
      </c>
    </row>
    <row r="60" spans="1:9" x14ac:dyDescent="0.25">
      <c r="A60" s="7" t="str">
        <f t="shared" si="0"/>
        <v/>
      </c>
      <c r="B60" s="8" t="str">
        <f t="array" ref="B60">IFERROR(
 INDEX(Master!C$2:C$272,
  SMALL(
   IF(EXACT(Master!$M$2:$M$272,Rosters!$A$32),
    ROW(Master!C$2:C$272)-ROW(Master!C$2)+1
    ),
   ROWS(Master!C$2:'Master'!C28)
  )
 ),"")</f>
        <v/>
      </c>
      <c r="C60" s="8" t="str">
        <f t="array" ref="C60">IFERROR(
INDEX(Master!D$2:D$272,
SMALL(
IF(EXACT(Master!$M$2:$M$272,Rosters!$A$32),
ROW(Master!D$2:D$272)-ROW(Master!D$2)+1
),
ROWS(Master!D$2:'Master'!D28)
)
),"")</f>
        <v/>
      </c>
      <c r="D60" s="7" t="str">
        <f t="array" ref="D60">IFERROR(
 INDEX(Master!O$2:O$272,
  SMALL(
   IF(EXACT(Master!$M$2:$M$272,Rosters!$A$32),
    ROW(Master!O$2:O$272)-ROW(Master!O$2)+1
    ),
   ROWS(Master!O$2:'Master'!O28)
  )
 ),"")</f>
        <v/>
      </c>
      <c r="E60" s="8" t="str">
        <f t="array" ref="E60">IFERROR(
 INDEX(Master!A$2:A$272,
  SMALL(
   IF(EXACT(Master!$M$2:$M$272,Rosters!$A$32),
    ROW(Master!A$2:A$272)-ROW(Master!A$2)+1
    ),
   ROWS(Master!A$2:'Master'!A28)
  )
 ),"")</f>
        <v/>
      </c>
      <c r="F60" s="8" t="str">
        <f t="array" ref="F60">IFERROR(
 INDEX(Master!B$2:B$272,
  SMALL(
   IF(EXACT(Master!$M$2:$M$272,Rosters!$A$32),
    ROW(Master!B$2:B$272)-ROW(Master!B$2)+1
    ),
   ROWS(Master!B$2:'Master'!B28)
  )
 ),"")</f>
        <v/>
      </c>
      <c r="G60" s="7" t="str">
        <f t="array" ref="G60">IFERROR(
 INDEX(Master!K$2:K$272,
  SMALL(
   IF(EXACT(Master!$M$2:$M$272,Rosters!$A$32),
    ROW(Master!K$2:K$272)-ROW(Master!K$2)+1
    ),
   ROWS(Master!K$2:'Master'!K28)
  )
 ),"")</f>
        <v/>
      </c>
      <c r="H60" s="7" t="str">
        <f t="array" ref="H60">IFERROR(
 INDEX(Master!L$2:L$272,
  SMALL(
   IF(EXACT(Master!$M$2:$M$272,Rosters!$A$32),
    ROW(Master!L$2:L$272)-ROW(Master!L$2)+1
    ),
   ROWS(Master!L$2:'Master'!L28)
  )
 ),"")</f>
        <v/>
      </c>
      <c r="I60" s="8" t="str">
        <f t="array" ref="I60">IFERROR(
 INDEX(Master!Q$2:Q$272,
  SMALL(
   IF(EXACT(Master!$M$2:$M$272,Rosters!$A$32),
    ROW(Master!Q$2:Q$272)-ROW(Master!Q$2)+1
    ),
   ROWS(Master!Q$2:'Master'!Q28)
  )
 ),"")</f>
        <v/>
      </c>
    </row>
    <row r="61" spans="1:9" x14ac:dyDescent="0.25">
      <c r="A61" s="7" t="str">
        <f t="shared" si="0"/>
        <v/>
      </c>
      <c r="B61" s="8" t="str">
        <f t="array" ref="B61">IFERROR(
 INDEX(Master!C$2:C$272,
  SMALL(
   IF(EXACT(Master!$M$2:$M$272,Rosters!$A$32),
    ROW(Master!C$2:C$272)-ROW(Master!C$2)+1
    ),
   ROWS(Master!C$2:'Master'!C29)
  )
 ),"")</f>
        <v/>
      </c>
      <c r="C61" s="8" t="str">
        <f t="array" ref="C61">IFERROR(
INDEX(Master!D$2:D$272,
SMALL(
IF(EXACT(Master!$M$2:$M$272,Rosters!$A$32),
ROW(Master!D$2:D$272)-ROW(Master!D$2)+1
),
ROWS(Master!D$2:'Master'!D29)
)
),"")</f>
        <v/>
      </c>
      <c r="D61" s="7" t="str">
        <f t="array" ref="D61">IFERROR(
 INDEX(Master!O$2:O$272,
  SMALL(
   IF(EXACT(Master!$M$2:$M$272,Rosters!$A$32),
    ROW(Master!O$2:O$272)-ROW(Master!O$2)+1
    ),
   ROWS(Master!O$2:'Master'!O29)
  )
 ),"")</f>
        <v/>
      </c>
      <c r="E61" s="8" t="str">
        <f t="array" ref="E61">IFERROR(
 INDEX(Master!A$2:A$272,
  SMALL(
   IF(EXACT(Master!$M$2:$M$272,Rosters!$A$32),
    ROW(Master!A$2:A$272)-ROW(Master!A$2)+1
    ),
   ROWS(Master!A$2:'Master'!A29)
  )
 ),"")</f>
        <v/>
      </c>
      <c r="F61" s="8" t="str">
        <f t="array" ref="F61">IFERROR(
 INDEX(Master!B$2:B$272,
  SMALL(
   IF(EXACT(Master!$M$2:$M$272,Rosters!$A$32),
    ROW(Master!B$2:B$272)-ROW(Master!B$2)+1
    ),
   ROWS(Master!B$2:'Master'!B29)
  )
 ),"")</f>
        <v/>
      </c>
      <c r="G61" s="7" t="str">
        <f t="array" ref="G61">IFERROR(
 INDEX(Master!K$2:K$272,
  SMALL(
   IF(EXACT(Master!$M$2:$M$272,Rosters!$A$32),
    ROW(Master!K$2:K$272)-ROW(Master!K$2)+1
    ),
   ROWS(Master!K$2:'Master'!K29)
  )
 ),"")</f>
        <v/>
      </c>
      <c r="H61" s="7" t="str">
        <f t="array" ref="H61">IFERROR(
 INDEX(Master!L$2:L$272,
  SMALL(
   IF(EXACT(Master!$M$2:$M$272,Rosters!$A$32),
    ROW(Master!L$2:L$272)-ROW(Master!L$2)+1
    ),
   ROWS(Master!L$2:'Master'!L29)
  )
 ),"")</f>
        <v/>
      </c>
      <c r="I61" s="8" t="str">
        <f t="array" ref="I61">IFERROR(
 INDEX(Master!Q$2:Q$272,
  SMALL(
   IF(EXACT(Master!$M$2:$M$272,Rosters!$A$32),
    ROW(Master!Q$2:Q$272)-ROW(Master!Q$2)+1
    ),
   ROWS(Master!Q$2:'Master'!Q29)
  )
 ),"")</f>
        <v/>
      </c>
    </row>
    <row r="62" spans="1:9" x14ac:dyDescent="0.25">
      <c r="A62" s="7" t="str">
        <f t="shared" si="0"/>
        <v/>
      </c>
      <c r="B62" s="8" t="str">
        <f t="array" ref="B62">IFERROR(
 INDEX(Master!C$2:C$272,
  SMALL(
   IF(EXACT(Master!$M$2:$M$272,Rosters!$A$32),
    ROW(Master!C$2:C$272)-ROW(Master!C$2)+1
    ),
   ROWS(Master!C$2:'Master'!C30)
  )
 ),"")</f>
        <v/>
      </c>
      <c r="C62" s="8" t="str">
        <f t="array" ref="C62">IFERROR(
INDEX(Master!D$2:D$272,
SMALL(
IF(EXACT(Master!$M$2:$M$272,Rosters!$A$32),
ROW(Master!D$2:D$272)-ROW(Master!D$2)+1
),
ROWS(Master!D$2:'Master'!D30)
)
),"")</f>
        <v/>
      </c>
      <c r="D62" s="7" t="str">
        <f t="array" ref="D62">IFERROR(
 INDEX(Master!O$2:O$272,
  SMALL(
   IF(EXACT(Master!$M$2:$M$272,Rosters!$A$32),
    ROW(Master!O$2:O$272)-ROW(Master!O$2)+1
    ),
   ROWS(Master!O$2:'Master'!O30)
  )
 ),"")</f>
        <v/>
      </c>
      <c r="E62" s="8" t="str">
        <f t="array" ref="E62">IFERROR(
 INDEX(Master!A$2:A$272,
  SMALL(
   IF(EXACT(Master!$M$2:$M$272,Rosters!$A$32),
    ROW(Master!A$2:A$272)-ROW(Master!A$2)+1
    ),
   ROWS(Master!A$2:'Master'!A30)
  )
 ),"")</f>
        <v/>
      </c>
      <c r="F62" s="8" t="str">
        <f t="array" ref="F62">IFERROR(
 INDEX(Master!B$2:B$272,
  SMALL(
   IF(EXACT(Master!$M$2:$M$272,Rosters!$A$32),
    ROW(Master!B$2:B$272)-ROW(Master!B$2)+1
    ),
   ROWS(Master!B$2:'Master'!B30)
  )
 ),"")</f>
        <v/>
      </c>
      <c r="G62" s="7" t="str">
        <f t="array" ref="G62">IFERROR(
 INDEX(Master!K$2:K$272,
  SMALL(
   IF(EXACT(Master!$M$2:$M$272,Rosters!$A$32),
    ROW(Master!K$2:K$272)-ROW(Master!K$2)+1
    ),
   ROWS(Master!K$2:'Master'!K30)
  )
 ),"")</f>
        <v/>
      </c>
      <c r="H62" s="7" t="str">
        <f t="array" ref="H62">IFERROR(
 INDEX(Master!L$2:L$272,
  SMALL(
   IF(EXACT(Master!$M$2:$M$272,Rosters!$A$32),
    ROW(Master!L$2:L$272)-ROW(Master!L$2)+1
    ),
   ROWS(Master!L$2:'Master'!L30)
  )
 ),"")</f>
        <v/>
      </c>
      <c r="I62" s="8" t="str">
        <f t="array" ref="I62">IFERROR(
 INDEX(Master!Q$2:Q$272,
  SMALL(
   IF(EXACT(Master!$M$2:$M$272,Rosters!$A$32),
    ROW(Master!Q$2:Q$272)-ROW(Master!Q$2)+1
    ),
   ROWS(Master!Q$2:'Master'!Q30)
  )
 ),"")</f>
        <v/>
      </c>
    </row>
    <row r="63" spans="1:9" x14ac:dyDescent="0.25">
      <c r="A63" s="7" t="str">
        <f t="shared" si="0"/>
        <v/>
      </c>
      <c r="B63" s="8" t="str">
        <f t="array" ref="B63">IFERROR(
 INDEX(Master!C$2:C$272,
  SMALL(
   IF(EXACT(Master!$M$2:$M$272,Rosters!$A$32),
    ROW(Master!C$2:C$272)-ROW(Master!C$2)+1
    ),
   ROWS(Master!C$2:'Master'!C31)
  )
 ),"")</f>
        <v/>
      </c>
      <c r="C63" s="8" t="str">
        <f t="array" ref="C63">IFERROR(
INDEX(Master!D$2:D$272,
SMALL(
IF(EXACT(Master!$M$2:$M$272,Rosters!$A$32),
ROW(Master!D$2:D$272)-ROW(Master!D$2)+1
),
ROWS(Master!D$2:'Master'!D31)
)
),"")</f>
        <v/>
      </c>
      <c r="D63" s="7" t="str">
        <f t="array" ref="D63">IFERROR(
 INDEX(Master!O$2:O$272,
  SMALL(
   IF(EXACT(Master!$M$2:$M$272,Rosters!$A$32),
    ROW(Master!O$2:O$272)-ROW(Master!O$2)+1
    ),
   ROWS(Master!O$2:'Master'!O31)
  )
 ),"")</f>
        <v/>
      </c>
      <c r="E63" s="8" t="str">
        <f t="array" ref="E63">IFERROR(
 INDEX(Master!A$2:A$272,
  SMALL(
   IF(EXACT(Master!$M$2:$M$272,Rosters!$A$32),
    ROW(Master!A$2:A$272)-ROW(Master!A$2)+1
    ),
   ROWS(Master!A$2:'Master'!A31)
  )
 ),"")</f>
        <v/>
      </c>
      <c r="F63" s="8" t="str">
        <f t="array" ref="F63">IFERROR(
 INDEX(Master!B$2:B$272,
  SMALL(
   IF(EXACT(Master!$M$2:$M$272,Rosters!$A$32),
    ROW(Master!B$2:B$272)-ROW(Master!B$2)+1
    ),
   ROWS(Master!B$2:'Master'!B31)
  )
 ),"")</f>
        <v/>
      </c>
      <c r="G63" s="7" t="str">
        <f t="array" ref="G63">IFERROR(
 INDEX(Master!K$2:K$272,
  SMALL(
   IF(EXACT(Master!$M$2:$M$272,Rosters!$A$32),
    ROW(Master!K$2:K$272)-ROW(Master!K$2)+1
    ),
   ROWS(Master!K$2:'Master'!K31)
  )
 ),"")</f>
        <v/>
      </c>
      <c r="H63" s="7" t="str">
        <f t="array" ref="H63">IFERROR(
 INDEX(Master!L$2:L$272,
  SMALL(
   IF(EXACT(Master!$M$2:$M$272,Rosters!$A$32),
    ROW(Master!L$2:L$272)-ROW(Master!L$2)+1
    ),
   ROWS(Master!L$2:'Master'!L31)
  )
 ),"")</f>
        <v/>
      </c>
      <c r="I63" s="8" t="str">
        <f t="array" ref="I63">IFERROR(
 INDEX(Master!Q$2:Q$272,
  SMALL(
   IF(EXACT(Master!$M$2:$M$272,Rosters!$A$32),
    ROW(Master!Q$2:Q$272)-ROW(Master!Q$2)+1
    ),
   ROWS(Master!Q$2:'Master'!Q31)
  )
 ),"")</f>
        <v/>
      </c>
    </row>
    <row r="64" spans="1:9" ht="35.1" customHeight="1" x14ac:dyDescent="0.4">
      <c r="A64" s="3" t="s">
        <v>121</v>
      </c>
      <c r="B64" s="1"/>
      <c r="C64" s="1"/>
      <c r="D64" s="4"/>
      <c r="E64" s="1" t="s">
        <v>1479</v>
      </c>
      <c r="F64" s="1" t="s">
        <v>480</v>
      </c>
      <c r="G64" s="4"/>
      <c r="H64" s="4"/>
      <c r="I64" s="35">
        <f ca="1">TODAY()</f>
        <v>46195</v>
      </c>
    </row>
    <row r="65" spans="1:9" ht="31.5" customHeight="1" x14ac:dyDescent="0.25">
      <c r="B65" s="5" t="s">
        <v>103</v>
      </c>
      <c r="C65" s="5" t="s">
        <v>104</v>
      </c>
      <c r="D65" s="5" t="s">
        <v>1624</v>
      </c>
      <c r="E65" s="5" t="s">
        <v>105</v>
      </c>
      <c r="F65" s="5" t="s">
        <v>106</v>
      </c>
      <c r="G65" s="5" t="s">
        <v>107</v>
      </c>
      <c r="H65" s="5" t="s">
        <v>108</v>
      </c>
      <c r="I65" s="6" t="s">
        <v>1</v>
      </c>
    </row>
    <row r="66" spans="1:9" x14ac:dyDescent="0.25">
      <c r="A66" s="7">
        <v>1</v>
      </c>
      <c r="B66" s="8" t="str">
        <f t="array" ref="B66">IFERROR(
 INDEX(Master!C$2:C$272,
  SMALL(
   IF(EXACT(Master!$M$2:$M$272,Rosters!$A$64),
    ROW(Master!C$2:C$272)-ROW(Master!C$2)+1
    ),
   ROWS(Master!C$2:'Master'!C2)
  )
 ),"")</f>
        <v>Noah</v>
      </c>
      <c r="C66" s="8" t="str">
        <f t="array" ref="C66">IFERROR(
INDEX(Master!D$2:D$272,
SMALL(
IF(EXACT(Master!$M$2:$M$272,Rosters!$A$64),
ROW(Master!D$2:D$272)-ROW(Master!D$2)+1
),
ROWS(Master!D$2:'Master'!D2)
)
),"")</f>
        <v>Bush</v>
      </c>
      <c r="D66" s="7">
        <f t="array" aca="1" ref="D66" ca="1">IFERROR(
 INDEX(Master!O$2:O$272,
  SMALL(
   IF(EXACT(Master!$M$2:$M$272,Rosters!$A$64),
    ROW(Master!O$2:O$272)-ROW(Master!O$2)+1
    ),
   ROWS(Master!O$2:'Master'!O2)
  )
 ),"")</f>
        <v>11</v>
      </c>
      <c r="E66" s="8" t="str">
        <f t="array" ref="E66">IFERROR(
 INDEX(Master!A$2:A$272,
  SMALL(
   IF(EXACT(Master!$M$2:$M$272,Rosters!$A$64),
    ROW(Master!A$2:A$272)-ROW(Master!A$2)+1
    ),
   ROWS(Master!A$2:'Master'!A2)
  )
 ),"")</f>
        <v>Ryan</v>
      </c>
      <c r="F66" s="8" t="str">
        <f t="array" ref="F66">IFERROR(
 INDEX(Master!B$2:B$272,
  SMALL(
   IF(EXACT(Master!$M$2:$M$272,Rosters!$A$64),
    ROW(Master!B$2:B$272)-ROW(Master!B$2)+1
    ),
   ROWS(Master!B$2:'Master'!B2)
  )
 ),"")</f>
        <v>Bush</v>
      </c>
      <c r="G66" s="7">
        <f t="array" ref="G66">IFERROR(
 INDEX(Master!K$2:K$272,
  SMALL(
   IF(EXACT(Master!$M$2:$M$272,Rosters!$A$64),
    ROW(Master!K$2:K$272)-ROW(Master!K$2)+1
    ),
   ROWS(Master!K$2:'Master'!K2)
  )
 ),"")</f>
        <v>912</v>
      </c>
      <c r="H66" s="7" t="str">
        <f t="array" ref="H66">IFERROR(
 INDEX(Master!L$2:L$272,
  SMALL(
   IF(EXACT(Master!$M$2:$M$272,Rosters!$A$64),
    ROW(Master!L$2:L$272)-ROW(Master!L$2)+1
    ),
   ROWS(Master!L$2:'Master'!L2)
  )
 ),"")</f>
        <v>667-2656</v>
      </c>
      <c r="I66" s="8" t="str">
        <f t="array" ref="I66">IFERROR(
 INDEX(Master!Q$2:Q$272,
  SMALL(
   IF(EXACT(Master!$M$2:$M$272,Rosters!$A$64),
    ROW(Master!Q$2:Q$272)-ROW(Master!Q$2)+1
    ),
   ROWS(Master!Q$2:'Master'!Q2)
  )
 ),"")</f>
        <v>rbush11@gmail.com</v>
      </c>
    </row>
    <row r="67" spans="1:9" x14ac:dyDescent="0.25">
      <c r="A67" s="7">
        <v>2</v>
      </c>
      <c r="B67" s="8" t="str">
        <f t="array" ref="B67">IFERROR(
 INDEX(Master!C$2:C$272,
  SMALL(
   IF(EXACT(Master!$M$2:$M$272,Rosters!$A$64),
    ROW(Master!C$2:C$272)-ROW(Master!C$2)+1
    ),
   ROWS(Master!C$2:'Master'!C3)
  )
 ),"")</f>
        <v>Vada</v>
      </c>
      <c r="C67" s="8" t="str">
        <f t="array" ref="C67">IFERROR(
INDEX(Master!D$2:D$272,
SMALL(
IF(EXACT(Master!$M$2:$M$272,Rosters!$A$64),
ROW(Master!D$2:D$272)-ROW(Master!D$2)+1
),
ROWS(Master!D$2:'Master'!D3)
)
),"")</f>
        <v>Daniels</v>
      </c>
      <c r="D67" s="7">
        <f t="array" aca="1" ref="D67" ca="1">IFERROR(
 INDEX(Master!O$2:O$272,
  SMALL(
   IF(EXACT(Master!$M$2:$M$272,Rosters!$A$64),
    ROW(Master!O$2:O$272)-ROW(Master!O$2)+1
    ),
   ROWS(Master!O$2:'Master'!O3)
  )
 ),"")</f>
        <v>10</v>
      </c>
      <c r="E67" s="8" t="str">
        <f t="array" ref="E67">IFERROR(
 INDEX(Master!A$2:A$272,
  SMALL(
   IF(EXACT(Master!$M$2:$M$272,Rosters!$A$64),
    ROW(Master!A$2:A$272)-ROW(Master!A$2)+1
    ),
   ROWS(Master!A$2:'Master'!A3)
  )
 ),"")</f>
        <v>Emily</v>
      </c>
      <c r="F67" s="8" t="str">
        <f t="array" ref="F67">IFERROR(
 INDEX(Master!B$2:B$272,
  SMALL(
   IF(EXACT(Master!$M$2:$M$272,Rosters!$A$64),
    ROW(Master!B$2:B$272)-ROW(Master!B$2)+1
    ),
   ROWS(Master!B$2:'Master'!B3)
  )
 ),"")</f>
        <v>Daniels</v>
      </c>
      <c r="G67" s="7">
        <f t="array" ref="G67">IFERROR(
 INDEX(Master!K$2:K$272,
  SMALL(
   IF(EXACT(Master!$M$2:$M$272,Rosters!$A$64),
    ROW(Master!K$2:K$272)-ROW(Master!K$2)+1
    ),
   ROWS(Master!K$2:'Master'!K3)
  )
 ),"")</f>
        <v>937</v>
      </c>
      <c r="H67" s="7" t="str">
        <f t="array" ref="H67">IFERROR(
 INDEX(Master!L$2:L$272,
  SMALL(
   IF(EXACT(Master!$M$2:$M$272,Rosters!$A$64),
    ROW(Master!L$2:L$272)-ROW(Master!L$2)+1
    ),
   ROWS(Master!L$2:'Master'!L3)
  )
 ),"")</f>
        <v>241-8639</v>
      </c>
      <c r="I67" s="8" t="str">
        <f t="array" ref="I67">IFERROR(
 INDEX(Master!Q$2:Q$272,
  SMALL(
   IF(EXACT(Master!$M$2:$M$272,Rosters!$A$64),
    ROW(Master!Q$2:Q$272)-ROW(Master!Q$2)+1
    ),
   ROWS(Master!Q$2:'Master'!Q3)
  )
 ),"")</f>
        <v>hmua19cnp@relay.firefox.com</v>
      </c>
    </row>
    <row r="68" spans="1:9" x14ac:dyDescent="0.25">
      <c r="A68" s="7">
        <v>3</v>
      </c>
      <c r="B68" s="8" t="str">
        <f t="array" ref="B68">IFERROR(
 INDEX(Master!C$2:C$272,
  SMALL(
   IF(EXACT(Master!$M$2:$M$272,Rosters!$A$64),
    ROW(Master!C$2:C$272)-ROW(Master!C$2)+1
    ),
   ROWS(Master!C$2:'Master'!C4)
  )
 ),"")</f>
        <v>Payson</v>
      </c>
      <c r="C68" s="8" t="str">
        <f t="array" ref="C68">IFERROR(
INDEX(Master!D$2:D$272,
SMALL(
IF(EXACT(Master!$M$2:$M$272,Rosters!$A$64),
ROW(Master!D$2:D$272)-ROW(Master!D$2)+1
),
ROWS(Master!D$2:'Master'!D4)
)
),"")</f>
        <v>Davis</v>
      </c>
      <c r="D68" s="7">
        <f t="array" aca="1" ref="D68" ca="1">IFERROR(
 INDEX(Master!O$2:O$272,
  SMALL(
   IF(EXACT(Master!$M$2:$M$272,Rosters!$A$64),
    ROW(Master!O$2:O$272)-ROW(Master!O$2)+1
    ),
   ROWS(Master!O$2:'Master'!O4)
  )
 ),"")</f>
        <v>13</v>
      </c>
      <c r="E68" s="8" t="str">
        <f t="array" ref="E68">IFERROR(
 INDEX(Master!A$2:A$272,
  SMALL(
   IF(EXACT(Master!$M$2:$M$272,Rosters!$A$64),
    ROW(Master!A$2:A$272)-ROW(Master!A$2)+1
    ),
   ROWS(Master!A$2:'Master'!A4)
  )
 ),"")</f>
        <v>Jacquelyn/Nicholas</v>
      </c>
      <c r="F68" s="8" t="str">
        <f t="array" ref="F68">IFERROR(
 INDEX(Master!B$2:B$272,
  SMALL(
   IF(EXACT(Master!$M$2:$M$272,Rosters!$A$64),
    ROW(Master!B$2:B$272)-ROW(Master!B$2)+1
    ),
   ROWS(Master!B$2:'Master'!B4)
  )
 ),"")</f>
        <v>Davis</v>
      </c>
      <c r="G68" s="7">
        <f t="array" ref="G68">IFERROR(
 INDEX(Master!K$2:K$272,
  SMALL(
   IF(EXACT(Master!$M$2:$M$272,Rosters!$A$64),
    ROW(Master!K$2:K$272)-ROW(Master!K$2)+1
    ),
   ROWS(Master!K$2:'Master'!K4)
  )
 ),"")</f>
        <v>480</v>
      </c>
      <c r="H68" s="7" t="str">
        <f t="array" ref="H68">IFERROR(
 INDEX(Master!L$2:L$272,
  SMALL(
   IF(EXACT(Master!$M$2:$M$272,Rosters!$A$64),
    ROW(Master!L$2:L$272)-ROW(Master!L$2)+1
    ),
   ROWS(Master!L$2:'Master'!L4)
  )
 ),"")</f>
        <v>612-1453</v>
      </c>
      <c r="I68" s="8" t="str">
        <f t="array" ref="I68">IFERROR(
 INDEX(Master!Q$2:Q$272,
  SMALL(
   IF(EXACT(Master!$M$2:$M$272,Rosters!$A$64),
    ROW(Master!Q$2:Q$272)-ROW(Master!Q$2)+1
    ),
   ROWS(Master!Q$2:'Master'!Q4)
  )
 ),"")</f>
        <v>jacquelynsdavis@gmail.com</v>
      </c>
    </row>
    <row r="69" spans="1:9" x14ac:dyDescent="0.25">
      <c r="A69" s="7">
        <v>4</v>
      </c>
      <c r="B69" s="8" t="str">
        <f t="array" ref="B69">IFERROR(
 INDEX(Master!C$2:C$272,
  SMALL(
   IF(EXACT(Master!$M$2:$M$272,Rosters!$A$64),
    ROW(Master!C$2:C$272)-ROW(Master!C$2)+1
    ),
   ROWS(Master!C$2:'Master'!C5)
  )
 ),"")</f>
        <v>Nora</v>
      </c>
      <c r="C69" s="8" t="str">
        <f t="array" ref="C69">IFERROR(
INDEX(Master!D$2:D$272,
SMALL(
IF(EXACT(Master!$M$2:$M$272,Rosters!$A$64),
ROW(Master!D$2:D$272)-ROW(Master!D$2)+1
),
ROWS(Master!D$2:'Master'!D5)
)
),"")</f>
        <v>Grimsley</v>
      </c>
      <c r="D69" s="7">
        <f t="array" aca="1" ref="D69" ca="1">IFERROR(
 INDEX(Master!O$2:O$272,
  SMALL(
   IF(EXACT(Master!$M$2:$M$272,Rosters!$A$64),
    ROW(Master!O$2:O$272)-ROW(Master!O$2)+1
    ),
   ROWS(Master!O$2:'Master'!O5)
  )
 ),"")</f>
        <v>10</v>
      </c>
      <c r="E69" s="8" t="str">
        <f t="array" ref="E69">IFERROR(
 INDEX(Master!A$2:A$272,
  SMALL(
   IF(EXACT(Master!$M$2:$M$272,Rosters!$A$64),
    ROW(Master!A$2:A$272)-ROW(Master!A$2)+1
    ),
   ROWS(Master!A$2:'Master'!A5)
  )
 ),"")</f>
        <v>Natasha</v>
      </c>
      <c r="F69" s="8" t="str">
        <f t="array" ref="F69">IFERROR(
 INDEX(Master!B$2:B$272,
  SMALL(
   IF(EXACT(Master!$M$2:$M$272,Rosters!$A$64),
    ROW(Master!B$2:B$272)-ROW(Master!B$2)+1
    ),
   ROWS(Master!B$2:'Master'!B5)
  )
 ),"")</f>
        <v>Grimsley</v>
      </c>
      <c r="G69" s="7">
        <f t="array" ref="G69">IFERROR(
 INDEX(Master!K$2:K$272,
  SMALL(
   IF(EXACT(Master!$M$2:$M$272,Rosters!$A$64),
    ROW(Master!K$2:K$272)-ROW(Master!K$2)+1
    ),
   ROWS(Master!K$2:'Master'!K5)
  )
 ),"")</f>
        <v>513</v>
      </c>
      <c r="H69" s="7" t="str">
        <f t="array" ref="H69">IFERROR(
 INDEX(Master!L$2:L$272,
  SMALL(
   IF(EXACT(Master!$M$2:$M$272,Rosters!$A$64),
    ROW(Master!L$2:L$272)-ROW(Master!L$2)+1
    ),
   ROWS(Master!L$2:'Master'!L5)
  )
 ),"")</f>
        <v>289-6335</v>
      </c>
      <c r="I69" s="8" t="str">
        <f t="array" ref="I69">IFERROR(
 INDEX(Master!Q$2:Q$272,
  SMALL(
   IF(EXACT(Master!$M$2:$M$272,Rosters!$A$64),
    ROW(Master!Q$2:Q$272)-ROW(Master!Q$2)+1
    ),
   ROWS(Master!Q$2:'Master'!Q5)
  )
 ),"")</f>
        <v>nmapp2@gmail.com</v>
      </c>
    </row>
    <row r="70" spans="1:9" x14ac:dyDescent="0.25">
      <c r="A70" s="7">
        <v>5</v>
      </c>
      <c r="B70" s="8" t="str">
        <f t="array" ref="B70">IFERROR(
 INDEX(Master!C$2:C$272,
  SMALL(
   IF(EXACT(Master!$M$2:$M$272,Rosters!$A$64),
    ROW(Master!C$2:C$272)-ROW(Master!C$2)+1
    ),
   ROWS(Master!C$2:'Master'!C6)
  )
 ),"")</f>
        <v>Zayn</v>
      </c>
      <c r="C70" s="8" t="str">
        <f t="array" ref="C70">IFERROR(
INDEX(Master!D$2:D$272,
SMALL(
IF(EXACT(Master!$M$2:$M$272,Rosters!$A$64),
ROW(Master!D$2:D$272)-ROW(Master!D$2)+1
),
ROWS(Master!D$2:'Master'!D6)
)
),"")</f>
        <v>Hahn</v>
      </c>
      <c r="D70" s="7">
        <f t="array" aca="1" ref="D70" ca="1">IFERROR(
 INDEX(Master!O$2:O$272,
  SMALL(
   IF(EXACT(Master!$M$2:$M$272,Rosters!$A$64),
    ROW(Master!O$2:O$272)-ROW(Master!O$2)+1
    ),
   ROWS(Master!O$2:'Master'!O6)
  )
 ),"")</f>
        <v>10</v>
      </c>
      <c r="E70" s="8" t="str">
        <f t="array" ref="E70">IFERROR(
 INDEX(Master!A$2:A$272,
  SMALL(
   IF(EXACT(Master!$M$2:$M$272,Rosters!$A$64),
    ROW(Master!A$2:A$272)-ROW(Master!A$2)+1
    ),
   ROWS(Master!A$2:'Master'!A6)
  )
 ),"")</f>
        <v>Asha</v>
      </c>
      <c r="F70" s="8" t="str">
        <f t="array" ref="F70">IFERROR(
 INDEX(Master!B$2:B$272,
  SMALL(
   IF(EXACT(Master!$M$2:$M$272,Rosters!$A$64),
    ROW(Master!B$2:B$272)-ROW(Master!B$2)+1
    ),
   ROWS(Master!B$2:'Master'!B6)
  )
 ),"")</f>
        <v>Rasheed</v>
      </c>
      <c r="G70" s="7">
        <f t="array" ref="G70">IFERROR(
 INDEX(Master!K$2:K$272,
  SMALL(
   IF(EXACT(Master!$M$2:$M$272,Rosters!$A$64),
    ROW(Master!K$2:K$272)-ROW(Master!K$2)+1
    ),
   ROWS(Master!K$2:'Master'!K6)
  )
 ),"")</f>
        <v>937</v>
      </c>
      <c r="H70" s="7" t="str">
        <f t="array" ref="H70">IFERROR(
 INDEX(Master!L$2:L$272,
  SMALL(
   IF(EXACT(Master!$M$2:$M$272,Rosters!$A$64),
    ROW(Master!L$2:L$272)-ROW(Master!L$2)+1
    ),
   ROWS(Master!L$2:'Master'!L6)
  )
 ),"")</f>
        <v>972-2183</v>
      </c>
      <c r="I70" s="8" t="str">
        <f t="array" ref="I70">IFERROR(
 INDEX(Master!Q$2:Q$272,
  SMALL(
   IF(EXACT(Master!$M$2:$M$272,Rosters!$A$64),
    ROW(Master!Q$2:Q$272)-ROW(Master!Q$2)+1
    ),
   ROWS(Master!Q$2:'Master'!Q6)
  )
 ),"")</f>
        <v>cmrusell44@gmail.com</v>
      </c>
    </row>
    <row r="71" spans="1:9" x14ac:dyDescent="0.25">
      <c r="A71" s="7">
        <v>6</v>
      </c>
      <c r="B71" s="8" t="str">
        <f t="array" ref="B71">IFERROR(
 INDEX(Master!C$2:C$272,
  SMALL(
   IF(EXACT(Master!$M$2:$M$272,Rosters!$A$64),
    ROW(Master!C$2:C$272)-ROW(Master!C$2)+1
    ),
   ROWS(Master!C$2:'Master'!C7)
  )
 ),"")</f>
        <v>Jeffery</v>
      </c>
      <c r="C71" s="8" t="str">
        <f t="array" ref="C71">IFERROR(
INDEX(Master!D$2:D$272,
SMALL(
IF(EXACT(Master!$M$2:$M$272,Rosters!$A$64),
ROW(Master!D$2:D$272)-ROW(Master!D$2)+1
),
ROWS(Master!D$2:'Master'!D7)
)
),"")</f>
        <v>Isbell</v>
      </c>
      <c r="D71" s="7">
        <f t="array" aca="1" ref="D71" ca="1">IFERROR(
 INDEX(Master!O$2:O$272,
  SMALL(
   IF(EXACT(Master!$M$2:$M$272,Rosters!$A$64),
    ROW(Master!O$2:O$272)-ROW(Master!O$2)+1
    ),
   ROWS(Master!O$2:'Master'!O7)
  )
 ),"")</f>
        <v>9</v>
      </c>
      <c r="E71" s="8" t="str">
        <f t="array" ref="E71">IFERROR(
 INDEX(Master!A$2:A$272,
  SMALL(
   IF(EXACT(Master!$M$2:$M$272,Rosters!$A$64),
    ROW(Master!A$2:A$272)-ROW(Master!A$2)+1
    ),
   ROWS(Master!A$2:'Master'!A7)
  )
 ),"")</f>
        <v>Rebecca</v>
      </c>
      <c r="F71" s="8" t="str">
        <f t="array" ref="F71">IFERROR(
 INDEX(Master!B$2:B$272,
  SMALL(
   IF(EXACT(Master!$M$2:$M$272,Rosters!$A$64),
    ROW(Master!B$2:B$272)-ROW(Master!B$2)+1
    ),
   ROWS(Master!B$2:'Master'!B7)
  )
 ),"")</f>
        <v>Isbell</v>
      </c>
      <c r="G71" s="7">
        <f t="array" ref="G71">IFERROR(
 INDEX(Master!K$2:K$272,
  SMALL(
   IF(EXACT(Master!$M$2:$M$272,Rosters!$A$64),
    ROW(Master!K$2:K$272)-ROW(Master!K$2)+1
    ),
   ROWS(Master!K$2:'Master'!K7)
  )
 ),"")</f>
        <v>513</v>
      </c>
      <c r="H71" s="7" t="str">
        <f t="array" ref="H71">IFERROR(
 INDEX(Master!L$2:L$272,
  SMALL(
   IF(EXACT(Master!$M$2:$M$272,Rosters!$A$64),
    ROW(Master!L$2:L$272)-ROW(Master!L$2)+1
    ),
   ROWS(Master!L$2:'Master'!L7)
  )
 ),"")</f>
        <v>464-5097</v>
      </c>
      <c r="I71" s="8" t="str">
        <f t="array" ref="I71">IFERROR(
 INDEX(Master!Q$2:Q$272,
  SMALL(
   IF(EXACT(Master!$M$2:$M$272,Rosters!$A$64),
    ROW(Master!Q$2:Q$272)-ROW(Master!Q$2)+1
    ),
   ROWS(Master!Q$2:'Master'!Q7)
  )
 ),"")</f>
        <v>rldisbell@yahoo.com</v>
      </c>
    </row>
    <row r="72" spans="1:9" x14ac:dyDescent="0.25">
      <c r="A72" s="7">
        <v>7</v>
      </c>
      <c r="B72" s="8" t="str">
        <f t="array" ref="B72">IFERROR(
 INDEX(Master!C$2:C$272,
  SMALL(
   IF(EXACT(Master!$M$2:$M$272,Rosters!$A$64),
    ROW(Master!C$2:C$272)-ROW(Master!C$2)+1
    ),
   ROWS(Master!C$2:'Master'!C8)
  )
 ),"")</f>
        <v>Micah</v>
      </c>
      <c r="C72" s="8" t="str">
        <f t="array" ref="C72">IFERROR(
INDEX(Master!D$2:D$272,
SMALL(
IF(EXACT(Master!$M$2:$M$272,Rosters!$A$64),
ROW(Master!D$2:D$272)-ROW(Master!D$2)+1
),
ROWS(Master!D$2:'Master'!D8)
)
),"")</f>
        <v>Jegede</v>
      </c>
      <c r="D72" s="7">
        <f t="array" aca="1" ref="D72" ca="1">IFERROR(
 INDEX(Master!O$2:O$272,
  SMALL(
   IF(EXACT(Master!$M$2:$M$272,Rosters!$A$64),
    ROW(Master!O$2:O$272)-ROW(Master!O$2)+1
    ),
   ROWS(Master!O$2:'Master'!O8)
  )
 ),"")</f>
        <v>10</v>
      </c>
      <c r="E72" s="8" t="str">
        <f t="array" ref="E72">IFERROR(
 INDEX(Master!A$2:A$272,
  SMALL(
   IF(EXACT(Master!$M$2:$M$272,Rosters!$A$64),
    ROW(Master!A$2:A$272)-ROW(Master!A$2)+1
    ),
   ROWS(Master!A$2:'Master'!A8)
  )
 ),"")</f>
        <v>Danielle</v>
      </c>
      <c r="F72" s="8" t="str">
        <f t="array" ref="F72">IFERROR(
 INDEX(Master!B$2:B$272,
  SMALL(
   IF(EXACT(Master!$M$2:$M$272,Rosters!$A$64),
    ROW(Master!B$2:B$272)-ROW(Master!B$2)+1
    ),
   ROWS(Master!B$2:'Master'!B8)
  )
 ),"")</f>
        <v>Jegede</v>
      </c>
      <c r="G72" s="7">
        <f t="array" ref="G72">IFERROR(
 INDEX(Master!K$2:K$272,
  SMALL(
   IF(EXACT(Master!$M$2:$M$272,Rosters!$A$64),
    ROW(Master!K$2:K$272)-ROW(Master!K$2)+1
    ),
   ROWS(Master!K$2:'Master'!K8)
  )
 ),"")</f>
        <v>240</v>
      </c>
      <c r="H72" s="7" t="str">
        <f t="array" ref="H72">IFERROR(
 INDEX(Master!L$2:L$272,
  SMALL(
   IF(EXACT(Master!$M$2:$M$272,Rosters!$A$64),
    ROW(Master!L$2:L$272)-ROW(Master!L$2)+1
    ),
   ROWS(Master!L$2:'Master'!L8)
  )
 ),"")</f>
        <v>357-4676</v>
      </c>
      <c r="I72" s="8" t="str">
        <f t="array" ref="I72">IFERROR(
 INDEX(Master!Q$2:Q$272,
  SMALL(
   IF(EXACT(Master!$M$2:$M$272,Rosters!$A$64),
    ROW(Master!Q$2:Q$272)-ROW(Master!Q$2)+1
    ),
   ROWS(Master!Q$2:'Master'!Q8)
  )
 ),"")</f>
        <v>dfaithcarter@gmail.com</v>
      </c>
    </row>
    <row r="73" spans="1:9" x14ac:dyDescent="0.25">
      <c r="A73" s="7">
        <v>8</v>
      </c>
      <c r="B73" s="8" t="str">
        <f t="array" ref="B73">IFERROR(
 INDEX(Master!C$2:C$272,
  SMALL(
   IF(EXACT(Master!$M$2:$M$272,Rosters!$A$64),
    ROW(Master!C$2:C$272)-ROW(Master!C$2)+1
    ),
   ROWS(Master!C$2:'Master'!C9)
  )
 ),"")</f>
        <v>Keaton</v>
      </c>
      <c r="C73" s="8" t="str">
        <f t="array" ref="C73">IFERROR(
INDEX(Master!D$2:D$272,
SMALL(
IF(EXACT(Master!$M$2:$M$272,Rosters!$A$64),
ROW(Master!D$2:D$272)-ROW(Master!D$2)+1
),
ROWS(Master!D$2:'Master'!D9)
)
),"")</f>
        <v>Kinney</v>
      </c>
      <c r="D73" s="7">
        <f t="array" aca="1" ref="D73" ca="1">IFERROR(
 INDEX(Master!O$2:O$272,
  SMALL(
   IF(EXACT(Master!$M$2:$M$272,Rosters!$A$64),
    ROW(Master!O$2:O$272)-ROW(Master!O$2)+1
    ),
   ROWS(Master!O$2:'Master'!O9)
  )
 ),"")</f>
        <v>9</v>
      </c>
      <c r="E73" s="8" t="str">
        <f t="array" ref="E73">IFERROR(
 INDEX(Master!A$2:A$272,
  SMALL(
   IF(EXACT(Master!$M$2:$M$272,Rosters!$A$64),
    ROW(Master!A$2:A$272)-ROW(Master!A$2)+1
    ),
   ROWS(Master!A$2:'Master'!A9)
  )
 ),"")</f>
        <v>Allison</v>
      </c>
      <c r="F73" s="8" t="str">
        <f t="array" ref="F73">IFERROR(
 INDEX(Master!B$2:B$272,
  SMALL(
   IF(EXACT(Master!$M$2:$M$272,Rosters!$A$64),
    ROW(Master!B$2:B$272)-ROW(Master!B$2)+1
    ),
   ROWS(Master!B$2:'Master'!B9)
  )
 ),"")</f>
        <v>Kinney</v>
      </c>
      <c r="G73" s="7">
        <f t="array" ref="G73">IFERROR(
 INDEX(Master!K$2:K$272,
  SMALL(
   IF(EXACT(Master!$M$2:$M$272,Rosters!$A$64),
    ROW(Master!K$2:K$272)-ROW(Master!K$2)+1
    ),
   ROWS(Master!K$2:'Master'!K9)
  )
 ),"")</f>
        <v>832</v>
      </c>
      <c r="H73" s="7" t="str">
        <f t="array" ref="H73">IFERROR(
 INDEX(Master!L$2:L$272,
  SMALL(
   IF(EXACT(Master!$M$2:$M$272,Rosters!$A$64),
    ROW(Master!L$2:L$272)-ROW(Master!L$2)+1
    ),
   ROWS(Master!L$2:'Master'!L9)
  )
 ),"")</f>
        <v>385-3289</v>
      </c>
      <c r="I73" s="8" t="str">
        <f t="array" ref="I73">IFERROR(
 INDEX(Master!Q$2:Q$272,
  SMALL(
   IF(EXACT(Master!$M$2:$M$272,Rosters!$A$64),
    ROW(Master!Q$2:Q$272)-ROW(Master!Q$2)+1
    ),
   ROWS(Master!Q$2:'Master'!Q9)
  )
 ),"")</f>
        <v>allison.l.kinney@gmail.com</v>
      </c>
    </row>
    <row r="74" spans="1:9" x14ac:dyDescent="0.25">
      <c r="A74" s="7">
        <v>9</v>
      </c>
      <c r="B74" s="8" t="str">
        <f t="array" ref="B74">IFERROR(
 INDEX(Master!C$2:C$272,
  SMALL(
   IF(EXACT(Master!$M$2:$M$272,Rosters!$A$64),
    ROW(Master!C$2:C$272)-ROW(Master!C$2)+1
    ),
   ROWS(Master!C$2:'Master'!C10)
  )
 ),"")</f>
        <v>Charlotte</v>
      </c>
      <c r="C74" s="8" t="str">
        <f t="array" ref="C74">IFERROR(
INDEX(Master!D$2:D$272,
SMALL(
IF(EXACT(Master!$M$2:$M$272,Rosters!$A$64),
ROW(Master!D$2:D$272)-ROW(Master!D$2)+1
),
ROWS(Master!D$2:'Master'!D10)
)
),"")</f>
        <v>McKinnson</v>
      </c>
      <c r="D74" s="7">
        <f t="array" aca="1" ref="D74" ca="1">IFERROR(
 INDEX(Master!O$2:O$272,
  SMALL(
   IF(EXACT(Master!$M$2:$M$272,Rosters!$A$64),
    ROW(Master!O$2:O$272)-ROW(Master!O$2)+1
    ),
   ROWS(Master!O$2:'Master'!O10)
  )
 ),"")</f>
        <v>9</v>
      </c>
      <c r="E74" s="8" t="str">
        <f t="array" ref="E74">IFERROR(
 INDEX(Master!A$2:A$272,
  SMALL(
   IF(EXACT(Master!$M$2:$M$272,Rosters!$A$64),
    ROW(Master!A$2:A$272)-ROW(Master!A$2)+1
    ),
   ROWS(Master!A$2:'Master'!A10)
  )
 ),"")</f>
        <v>Angie</v>
      </c>
      <c r="F74" s="8" t="str">
        <f t="array" ref="F74">IFERROR(
 INDEX(Master!B$2:B$272,
  SMALL(
   IF(EXACT(Master!$M$2:$M$272,Rosters!$A$64),
    ROW(Master!B$2:B$272)-ROW(Master!B$2)+1
    ),
   ROWS(Master!B$2:'Master'!B10)
  )
 ),"")</f>
        <v>McKinnson</v>
      </c>
      <c r="G74" s="7">
        <f t="array" ref="G74">IFERROR(
 INDEX(Master!K$2:K$272,
  SMALL(
   IF(EXACT(Master!$M$2:$M$272,Rosters!$A$64),
    ROW(Master!K$2:K$272)-ROW(Master!K$2)+1
    ),
   ROWS(Master!K$2:'Master'!K10)
  )
 ),"")</f>
        <v>513</v>
      </c>
      <c r="H74" s="7" t="str">
        <f t="array" ref="H74">IFERROR(
 INDEX(Master!L$2:L$272,
  SMALL(
   IF(EXACT(Master!$M$2:$M$272,Rosters!$A$64),
    ROW(Master!L$2:L$272)-ROW(Master!L$2)+1
    ),
   ROWS(Master!L$2:'Master'!L10)
  )
 ),"")</f>
        <v>205-2132</v>
      </c>
      <c r="I74" s="8" t="str">
        <f t="array" ref="I74">IFERROR(
 INDEX(Master!Q$2:Q$272,
  SMALL(
   IF(EXACT(Master!$M$2:$M$272,Rosters!$A$64),
    ROW(Master!Q$2:Q$272)-ROW(Master!Q$2)+1
    ),
   ROWS(Master!Q$2:'Master'!Q10)
  )
 ),"")</f>
        <v>admason0905@gmail.com</v>
      </c>
    </row>
    <row r="75" spans="1:9" x14ac:dyDescent="0.25">
      <c r="A75" s="7">
        <v>10</v>
      </c>
      <c r="B75" s="8" t="str">
        <f t="array" ref="B75">IFERROR(
 INDEX(Master!C$2:C$272,
  SMALL(
   IF(EXACT(Master!$M$2:$M$272,Rosters!$A$64),
    ROW(Master!C$2:C$272)-ROW(Master!C$2)+1
    ),
   ROWS(Master!C$2:'Master'!C11)
  )
 ),"")</f>
        <v>Levi</v>
      </c>
      <c r="C75" s="8" t="str">
        <f t="array" ref="C75">IFERROR(
INDEX(Master!D$2:D$272,
SMALL(
IF(EXACT(Master!$M$2:$M$272,Rosters!$A$64),
ROW(Master!D$2:D$272)-ROW(Master!D$2)+1
),
ROWS(Master!D$2:'Master'!D11)
)
),"")</f>
        <v>Pullins</v>
      </c>
      <c r="D75" s="7">
        <f t="array" aca="1" ref="D75" ca="1">IFERROR(
 INDEX(Master!O$2:O$272,
  SMALL(
   IF(EXACT(Master!$M$2:$M$272,Rosters!$A$64),
    ROW(Master!O$2:O$272)-ROW(Master!O$2)+1
    ),
   ROWS(Master!O$2:'Master'!O11)
  )
 ),"")</f>
        <v>9</v>
      </c>
      <c r="E75" s="8" t="str">
        <f t="array" ref="E75">IFERROR(
 INDEX(Master!A$2:A$272,
  SMALL(
   IF(EXACT(Master!$M$2:$M$272,Rosters!$A$64),
    ROW(Master!A$2:A$272)-ROW(Master!A$2)+1
    ),
   ROWS(Master!A$2:'Master'!A11)
  )
 ),"")</f>
        <v>Kara</v>
      </c>
      <c r="F75" s="8" t="str">
        <f t="array" ref="F75">IFERROR(
 INDEX(Master!B$2:B$272,
  SMALL(
   IF(EXACT(Master!$M$2:$M$272,Rosters!$A$64),
    ROW(Master!B$2:B$272)-ROW(Master!B$2)+1
    ),
   ROWS(Master!B$2:'Master'!B11)
  )
 ),"")</f>
        <v>Pullins</v>
      </c>
      <c r="G75" s="7">
        <f t="array" ref="G75">IFERROR(
 INDEX(Master!K$2:K$272,
  SMALL(
   IF(EXACT(Master!$M$2:$M$272,Rosters!$A$64),
    ROW(Master!K$2:K$272)-ROW(Master!K$2)+1
    ),
   ROWS(Master!K$2:'Master'!K11)
  )
 ),"")</f>
        <v>937</v>
      </c>
      <c r="H75" s="7" t="str">
        <f t="array" ref="H75">IFERROR(
 INDEX(Master!L$2:L$272,
  SMALL(
   IF(EXACT(Master!$M$2:$M$272,Rosters!$A$64),
    ROW(Master!L$2:L$272)-ROW(Master!L$2)+1
    ),
   ROWS(Master!L$2:'Master'!L11)
  )
 ),"")</f>
        <v>361-0425</v>
      </c>
      <c r="I75" s="8" t="str">
        <f t="array" ref="I75">IFERROR(
 INDEX(Master!Q$2:Q$272,
  SMALL(
   IF(EXACT(Master!$M$2:$M$272,Rosters!$A$64),
    ROW(Master!Q$2:Q$272)-ROW(Master!Q$2)+1
    ),
   ROWS(Master!Q$2:'Master'!Q11)
  )
 ),"")</f>
        <v>polkadotkara@gmail.com</v>
      </c>
    </row>
    <row r="76" spans="1:9" x14ac:dyDescent="0.25">
      <c r="A76" s="7">
        <v>11</v>
      </c>
      <c r="B76" s="8" t="str">
        <f t="array" ref="B76">IFERROR(
 INDEX(Master!C$2:C$272,
  SMALL(
   IF(EXACT(Master!$M$2:$M$272,Rosters!$A$64),
    ROW(Master!C$2:C$272)-ROW(Master!C$2)+1
    ),
   ROWS(Master!C$2:'Master'!C12)
  )
 ),"")</f>
        <v>Isaac</v>
      </c>
      <c r="C76" s="8" t="str">
        <f t="array" ref="C76">IFERROR(
INDEX(Master!D$2:D$272,
SMALL(
IF(EXACT(Master!$M$2:$M$272,Rosters!$A$64),
ROW(Master!D$2:D$272)-ROW(Master!D$2)+1
),
ROWS(Master!D$2:'Master'!D12)
)
),"")</f>
        <v>Robertson</v>
      </c>
      <c r="D76" s="7">
        <f t="array" aca="1" ref="D76" ca="1">IFERROR(
 INDEX(Master!O$2:O$272,
  SMALL(
   IF(EXACT(Master!$M$2:$M$272,Rosters!$A$64),
    ROW(Master!O$2:O$272)-ROW(Master!O$2)+1
    ),
   ROWS(Master!O$2:'Master'!O12)
  )
 ),"")</f>
        <v>10</v>
      </c>
      <c r="E76" s="8" t="str">
        <f t="array" ref="E76">IFERROR(
 INDEX(Master!A$2:A$272,
  SMALL(
   IF(EXACT(Master!$M$2:$M$272,Rosters!$A$64),
    ROW(Master!A$2:A$272)-ROW(Master!A$2)+1
    ),
   ROWS(Master!A$2:'Master'!A12)
  )
 ),"")</f>
        <v>Michelle</v>
      </c>
      <c r="F76" s="8" t="str">
        <f t="array" ref="F76">IFERROR(
 INDEX(Master!B$2:B$272,
  SMALL(
   IF(EXACT(Master!$M$2:$M$272,Rosters!$A$64),
    ROW(Master!B$2:B$272)-ROW(Master!B$2)+1
    ),
   ROWS(Master!B$2:'Master'!B12)
  )
 ),"")</f>
        <v>Robertson</v>
      </c>
      <c r="G76" s="7">
        <f t="array" ref="G76">IFERROR(
 INDEX(Master!K$2:K$272,
  SMALL(
   IF(EXACT(Master!$M$2:$M$272,Rosters!$A$64),
    ROW(Master!K$2:K$272)-ROW(Master!K$2)+1
    ),
   ROWS(Master!K$2:'Master'!K12)
  )
 ),"")</f>
        <v>731</v>
      </c>
      <c r="H76" s="7" t="str">
        <f t="array" ref="H76">IFERROR(
 INDEX(Master!L$2:L$272,
  SMALL(
   IF(EXACT(Master!$M$2:$M$272,Rosters!$A$64),
    ROW(Master!L$2:L$272)-ROW(Master!L$2)+1
    ),
   ROWS(Master!L$2:'Master'!L12)
  )
 ),"")</f>
        <v>431-8820</v>
      </c>
      <c r="I76" s="8" t="str">
        <f t="array" ref="I76">IFERROR(
 INDEX(Master!Q$2:Q$272,
  SMALL(
   IF(EXACT(Master!$M$2:$M$272,Rosters!$A$64),
    ROW(Master!Q$2:Q$272)-ROW(Master!Q$2)+1
    ),
   ROWS(Master!Q$2:'Master'!Q12)
  )
 ),"")</f>
        <v>michelle.kossick@gmail.com</v>
      </c>
    </row>
    <row r="77" spans="1:9" x14ac:dyDescent="0.25">
      <c r="A77" s="7">
        <v>12</v>
      </c>
      <c r="B77" s="8" t="str">
        <f t="array" ref="B77">IFERROR(
 INDEX(Master!C$2:C$272,
  SMALL(
   IF(EXACT(Master!$M$2:$M$272,Rosters!$A$64),
    ROW(Master!C$2:C$272)-ROW(Master!C$2)+1
    ),
   ROWS(Master!C$2:'Master'!C13)
  )
 ),"")</f>
        <v>Aaryan</v>
      </c>
      <c r="C77" s="8" t="str">
        <f t="array" ref="C77">IFERROR(
INDEX(Master!D$2:D$272,
SMALL(
IF(EXACT(Master!$M$2:$M$272,Rosters!$A$64),
ROW(Master!D$2:D$272)-ROW(Master!D$2)+1
),
ROWS(Master!D$2:'Master'!D13)
)
),"")</f>
        <v>Sagvekar</v>
      </c>
      <c r="D77" s="7">
        <f t="array" aca="1" ref="D77" ca="1">IFERROR(
 INDEX(Master!O$2:O$272,
  SMALL(
   IF(EXACT(Master!$M$2:$M$272,Rosters!$A$64),
    ROW(Master!O$2:O$272)-ROW(Master!O$2)+1
    ),
   ROWS(Master!O$2:'Master'!O13)
  )
 ),"")</f>
        <v>9</v>
      </c>
      <c r="E77" s="8" t="str">
        <f t="array" ref="E77">IFERROR(
 INDEX(Master!A$2:A$272,
  SMALL(
   IF(EXACT(Master!$M$2:$M$272,Rosters!$A$64),
    ROW(Master!A$2:A$272)-ROW(Master!A$2)+1
    ),
   ROWS(Master!A$2:'Master'!A13)
  )
 ),"")</f>
        <v>Tejal</v>
      </c>
      <c r="F77" s="8" t="str">
        <f t="array" ref="F77">IFERROR(
 INDEX(Master!B$2:B$272,
  SMALL(
   IF(EXACT(Master!$M$2:$M$272,Rosters!$A$64),
    ROW(Master!B$2:B$272)-ROW(Master!B$2)+1
    ),
   ROWS(Master!B$2:'Master'!B13)
  )
 ),"")</f>
        <v>Gupte</v>
      </c>
      <c r="G77" s="7">
        <f t="array" ref="G77">IFERROR(
 INDEX(Master!K$2:K$272,
  SMALL(
   IF(EXACT(Master!$M$2:$M$272,Rosters!$A$64),
    ROW(Master!K$2:K$272)-ROW(Master!K$2)+1
    ),
   ROWS(Master!K$2:'Master'!K13)
  )
 ),"")</f>
        <v>937</v>
      </c>
      <c r="H77" s="7" t="str">
        <f t="array" ref="H77">IFERROR(
 INDEX(Master!L$2:L$272,
  SMALL(
   IF(EXACT(Master!$M$2:$M$272,Rosters!$A$64),
    ROW(Master!L$2:L$272)-ROW(Master!L$2)+1
    ),
   ROWS(Master!L$2:'Master'!L13)
  )
 ),"")</f>
        <v>266-2488</v>
      </c>
      <c r="I77" s="8" t="str">
        <f t="array" ref="I77">IFERROR(
 INDEX(Master!Q$2:Q$272,
  SMALL(
   IF(EXACT(Master!$M$2:$M$272,Rosters!$A$64),
    ROW(Master!Q$2:Q$272)-ROW(Master!Q$2)+1
    ),
   ROWS(Master!Q$2:'Master'!Q13)
  )
 ),"")</f>
        <v>tejalgupte@gmail.com</v>
      </c>
    </row>
    <row r="78" spans="1:9" x14ac:dyDescent="0.25">
      <c r="A78" s="7">
        <v>13</v>
      </c>
      <c r="B78" s="8" t="str">
        <f t="array" ref="B78">IFERROR(
 INDEX(Master!C$2:C$272,
  SMALL(
   IF(EXACT(Master!$M$2:$M$272,Rosters!$A$64),
    ROW(Master!C$2:C$272)-ROW(Master!C$2)+1
    ),
   ROWS(Master!C$2:'Master'!C14)
  )
 ),"")</f>
        <v>Aaryan</v>
      </c>
      <c r="C78" s="8" t="str">
        <f t="array" ref="C78">IFERROR(
INDEX(Master!D$2:D$272,
SMALL(
IF(EXACT(Master!$M$2:$M$272,Rosters!$A$64),
ROW(Master!D$2:D$272)-ROW(Master!D$2)+1
),
ROWS(Master!D$2:'Master'!D14)
)
),"")</f>
        <v>Satish</v>
      </c>
      <c r="D78" s="7">
        <f t="array" aca="1" ref="D78" ca="1">IFERROR(
 INDEX(Master!O$2:O$272,
  SMALL(
   IF(EXACT(Master!$M$2:$M$272,Rosters!$A$64),
    ROW(Master!O$2:O$272)-ROW(Master!O$2)+1
    ),
   ROWS(Master!O$2:'Master'!O14)
  )
 ),"")</f>
        <v>11</v>
      </c>
      <c r="E78" s="8" t="str">
        <f t="array" ref="E78">IFERROR(
 INDEX(Master!A$2:A$272,
  SMALL(
   IF(EXACT(Master!$M$2:$M$272,Rosters!$A$64),
    ROW(Master!A$2:A$272)-ROW(Master!A$2)+1
    ),
   ROWS(Master!A$2:'Master'!A14)
  )
 ),"")</f>
        <v>Satish</v>
      </c>
      <c r="F78" s="8" t="str">
        <f t="array" ref="F78">IFERROR(
 INDEX(Master!B$2:B$272,
  SMALL(
   IF(EXACT(Master!$M$2:$M$272,Rosters!$A$64),
    ROW(Master!B$2:B$272)-ROW(Master!B$2)+1
    ),
   ROWS(Master!B$2:'Master'!B14)
  )
 ),"")</f>
        <v>Varghese</v>
      </c>
      <c r="G78" s="7">
        <f t="array" ref="G78">IFERROR(
 INDEX(Master!K$2:K$272,
  SMALL(
   IF(EXACT(Master!$M$2:$M$272,Rosters!$A$64),
    ROW(Master!K$2:K$272)-ROW(Master!K$2)+1
    ),
   ROWS(Master!K$2:'Master'!K14)
  )
 ),"")</f>
        <v>937</v>
      </c>
      <c r="H78" s="7" t="str">
        <f t="array" ref="H78">IFERROR(
 INDEX(Master!L$2:L$272,
  SMALL(
   IF(EXACT(Master!$M$2:$M$272,Rosters!$A$64),
    ROW(Master!L$2:L$272)-ROW(Master!L$2)+1
    ),
   ROWS(Master!L$2:'Master'!L14)
  )
 ),"")</f>
        <v>305-2983</v>
      </c>
      <c r="I78" s="8" t="str">
        <f t="array" ref="I78">IFERROR(
 INDEX(Master!Q$2:Q$272,
  SMALL(
   IF(EXACT(Master!$M$2:$M$272,Rosters!$A$64),
    ROW(Master!Q$2:Q$272)-ROW(Master!Q$2)+1
    ),
   ROWS(Master!Q$2:'Master'!Q14)
  )
 ),"")</f>
        <v>satish.verghese@gmail.com</v>
      </c>
    </row>
    <row r="79" spans="1:9" x14ac:dyDescent="0.25">
      <c r="A79" s="7">
        <v>14</v>
      </c>
      <c r="B79" s="8" t="str">
        <f t="array" ref="B79">IFERROR(
 INDEX(Master!C$2:C$272,
  SMALL(
   IF(EXACT(Master!$M$2:$M$272,Rosters!$A$64),
    ROW(Master!C$2:C$272)-ROW(Master!C$2)+1
    ),
   ROWS(Master!C$2:'Master'!C15)
  )
 ),"")</f>
        <v>Hoyt</v>
      </c>
      <c r="C79" s="8" t="str">
        <f t="array" ref="C79">IFERROR(
INDEX(Master!D$2:D$272,
SMALL(
IF(EXACT(Master!$M$2:$M$272,Rosters!$A$64),
ROW(Master!D$2:D$272)-ROW(Master!D$2)+1
),
ROWS(Master!D$2:'Master'!D15)
)
),"")</f>
        <v>Schaaf</v>
      </c>
      <c r="D79" s="7">
        <f t="array" aca="1" ref="D79" ca="1">IFERROR(
 INDEX(Master!O$2:O$272,
  SMALL(
   IF(EXACT(Master!$M$2:$M$272,Rosters!$A$64),
    ROW(Master!O$2:O$272)-ROW(Master!O$2)+1
    ),
   ROWS(Master!O$2:'Master'!O15)
  )
 ),"")</f>
        <v>10</v>
      </c>
      <c r="E79" s="8" t="str">
        <f t="array" ref="E79">IFERROR(
 INDEX(Master!A$2:A$272,
  SMALL(
   IF(EXACT(Master!$M$2:$M$272,Rosters!$A$64),
    ROW(Master!A$2:A$272)-ROW(Master!A$2)+1
    ),
   ROWS(Master!A$2:'Master'!A15)
  )
 ),"")</f>
        <v>Katherine</v>
      </c>
      <c r="F79" s="8" t="str">
        <f t="array" ref="F79">IFERROR(
 INDEX(Master!B$2:B$272,
  SMALL(
   IF(EXACT(Master!$M$2:$M$272,Rosters!$A$64),
    ROW(Master!B$2:B$272)-ROW(Master!B$2)+1
    ),
   ROWS(Master!B$2:'Master'!B15)
  )
 ),"")</f>
        <v>Schaaf</v>
      </c>
      <c r="G79" s="7">
        <f t="array" ref="G79">IFERROR(
 INDEX(Master!K$2:K$272,
  SMALL(
   IF(EXACT(Master!$M$2:$M$272,Rosters!$A$64),
    ROW(Master!K$2:K$272)-ROW(Master!K$2)+1
    ),
   ROWS(Master!K$2:'Master'!K15)
  )
 ),"")</f>
        <v>937</v>
      </c>
      <c r="H79" s="7" t="str">
        <f t="array" ref="H79">IFERROR(
 INDEX(Master!L$2:L$272,
  SMALL(
   IF(EXACT(Master!$M$2:$M$272,Rosters!$A$64),
    ROW(Master!L$2:L$272)-ROW(Master!L$2)+1
    ),
   ROWS(Master!L$2:'Master'!L15)
  )
 ),"")</f>
        <v>248-4850</v>
      </c>
      <c r="I79" s="8" t="str">
        <f t="array" ref="I79">IFERROR(
 INDEX(Master!Q$2:Q$272,
  SMALL(
   IF(EXACT(Master!$M$2:$M$272,Rosters!$A$64),
    ROW(Master!Q$2:Q$272)-ROW(Master!Q$2)+1
    ),
   ROWS(Master!Q$2:'Master'!Q15)
  )
 ),"")</f>
        <v>katocon@hotmail.com</v>
      </c>
    </row>
    <row r="80" spans="1:9" x14ac:dyDescent="0.25">
      <c r="A80" s="7">
        <v>15</v>
      </c>
      <c r="B80" s="8" t="str">
        <f t="array" ref="B80">IFERROR(
 INDEX(Master!C$2:C$272,
  SMALL(
   IF(EXACT(Master!$M$2:$M$272,Rosters!$A$64),
    ROW(Master!C$2:C$272)-ROW(Master!C$2)+1
    ),
   ROWS(Master!C$2:'Master'!C16)
  )
 ),"")</f>
        <v>Otto</v>
      </c>
      <c r="C80" s="8" t="str">
        <f t="array" ref="C80">IFERROR(
INDEX(Master!D$2:D$272,
SMALL(
IF(EXACT(Master!$M$2:$M$272,Rosters!$A$64),
ROW(Master!D$2:D$272)-ROW(Master!D$2)+1
),
ROWS(Master!D$2:'Master'!D16)
)
),"")</f>
        <v>Stieger</v>
      </c>
      <c r="D80" s="7">
        <f t="array" aca="1" ref="D80" ca="1">IFERROR(
 INDEX(Master!O$2:O$272,
  SMALL(
   IF(EXACT(Master!$M$2:$M$272,Rosters!$A$64),
    ROW(Master!O$2:O$272)-ROW(Master!O$2)+1
    ),
   ROWS(Master!O$2:'Master'!O16)
  )
 ),"")</f>
        <v>10</v>
      </c>
      <c r="E80" s="8" t="str">
        <f t="array" ref="E80">IFERROR(
 INDEX(Master!A$2:A$272,
  SMALL(
   IF(EXACT(Master!$M$2:$M$272,Rosters!$A$64),
    ROW(Master!A$2:A$272)-ROW(Master!A$2)+1
    ),
   ROWS(Master!A$2:'Master'!A16)
  )
 ),"")</f>
        <v>Mollie</v>
      </c>
      <c r="F80" s="8" t="str">
        <f t="array" ref="F80">IFERROR(
 INDEX(Master!B$2:B$272,
  SMALL(
   IF(EXACT(Master!$M$2:$M$272,Rosters!$A$64),
    ROW(Master!B$2:B$272)-ROW(Master!B$2)+1
    ),
   ROWS(Master!B$2:'Master'!B16)
  )
 ),"")</f>
        <v>Kovacs</v>
      </c>
      <c r="G80" s="7">
        <f t="array" ref="G80">IFERROR(
 INDEX(Master!K$2:K$272,
  SMALL(
   IF(EXACT(Master!$M$2:$M$272,Rosters!$A$64),
    ROW(Master!K$2:K$272)-ROW(Master!K$2)+1
    ),
   ROWS(Master!K$2:'Master'!K16)
  )
 ),"")</f>
        <v>937</v>
      </c>
      <c r="H80" s="7" t="str">
        <f t="array" ref="H80">IFERROR(
 INDEX(Master!L$2:L$272,
  SMALL(
   IF(EXACT(Master!$M$2:$M$272,Rosters!$A$64),
    ROW(Master!L$2:L$272)-ROW(Master!L$2)+1
    ),
   ROWS(Master!L$2:'Master'!L16)
  )
 ),"")</f>
        <v>269-2778</v>
      </c>
      <c r="I80" s="8" t="str">
        <f t="array" ref="I80">IFERROR(
 INDEX(Master!Q$2:Q$272,
  SMALL(
   IF(EXACT(Master!$M$2:$M$272,Rosters!$A$64),
    ROW(Master!Q$2:Q$272)-ROW(Master!Q$2)+1
    ),
   ROWS(Master!Q$2:'Master'!Q16)
  )
 ),"")</f>
        <v>mali789279@gmail.com</v>
      </c>
    </row>
    <row r="81" spans="1:9" x14ac:dyDescent="0.25">
      <c r="A81" s="7">
        <v>16</v>
      </c>
      <c r="B81" s="8" t="str">
        <f t="array" ref="B81">IFERROR(
 INDEX(Master!C$2:C$272,
  SMALL(
   IF(EXACT(Master!$M$2:$M$272,Rosters!$A$64),
    ROW(Master!C$2:C$272)-ROW(Master!C$2)+1
    ),
   ROWS(Master!C$2:'Master'!C17)
  )
 ),"")</f>
        <v>Luke</v>
      </c>
      <c r="C81" s="8" t="str">
        <f t="array" ref="C81">IFERROR(
INDEX(Master!D$2:D$272,
SMALL(
IF(EXACT(Master!$M$2:$M$272,Rosters!$A$64),
ROW(Master!D$2:D$272)-ROW(Master!D$2)+1
),
ROWS(Master!D$2:'Master'!D17)
)
),"")</f>
        <v>Stingley</v>
      </c>
      <c r="D81" s="7">
        <f t="array" aca="1" ref="D81" ca="1">IFERROR(
 INDEX(Master!O$2:O$272,
  SMALL(
   IF(EXACT(Master!$M$2:$M$272,Rosters!$A$64),
    ROW(Master!O$2:O$272)-ROW(Master!O$2)+1
    ),
   ROWS(Master!O$2:'Master'!O17)
  )
 ),"")</f>
        <v>11</v>
      </c>
      <c r="E81" s="8" t="str">
        <f t="array" ref="E81">IFERROR(
 INDEX(Master!A$2:A$272,
  SMALL(
   IF(EXACT(Master!$M$2:$M$272,Rosters!$A$64),
    ROW(Master!A$2:A$272)-ROW(Master!A$2)+1
    ),
   ROWS(Master!A$2:'Master'!A17)
  )
 ),"")</f>
        <v>Samantha</v>
      </c>
      <c r="F81" s="8" t="str">
        <f t="array" ref="F81">IFERROR(
 INDEX(Master!B$2:B$272,
  SMALL(
   IF(EXACT(Master!$M$2:$M$272,Rosters!$A$64),
    ROW(Master!B$2:B$272)-ROW(Master!B$2)+1
    ),
   ROWS(Master!B$2:'Master'!B17)
  )
 ),"")</f>
        <v>Stingley</v>
      </c>
      <c r="G81" s="7">
        <f t="array" ref="G81">IFERROR(
 INDEX(Master!K$2:K$272,
  SMALL(
   IF(EXACT(Master!$M$2:$M$272,Rosters!$A$64),
    ROW(Master!K$2:K$272)-ROW(Master!K$2)+1
    ),
   ROWS(Master!K$2:'Master'!K17)
  )
 ),"")</f>
        <v>937</v>
      </c>
      <c r="H81" s="7" t="str">
        <f t="array" ref="H81">IFERROR(
 INDEX(Master!L$2:L$272,
  SMALL(
   IF(EXACT(Master!$M$2:$M$272,Rosters!$A$64),
    ROW(Master!L$2:L$272)-ROW(Master!L$2)+1
    ),
   ROWS(Master!L$2:'Master'!L17)
  )
 ),"")</f>
        <v>479-6758</v>
      </c>
      <c r="I81" s="8" t="str">
        <f t="array" ref="I81">IFERROR(
 INDEX(Master!Q$2:Q$272,
  SMALL(
   IF(EXACT(Master!$M$2:$M$272,Rosters!$A$64),
    ROW(Master!Q$2:Q$272)-ROW(Master!Q$2)+1
    ),
   ROWS(Master!Q$2:'Master'!Q17)
  )
 ),"")</f>
        <v>samantha.stingley@gmail.com</v>
      </c>
    </row>
    <row r="82" spans="1:9" x14ac:dyDescent="0.25">
      <c r="A82" s="7">
        <v>17</v>
      </c>
      <c r="B82" s="8" t="str">
        <f t="array" ref="B82">IFERROR(
 INDEX(Master!C$2:C$272,
  SMALL(
   IF(EXACT(Master!$M$2:$M$272,Rosters!$A$64),
    ROW(Master!C$2:C$272)-ROW(Master!C$2)+1
    ),
   ROWS(Master!C$2:'Master'!C18)
  )
 ),"")</f>
        <v>Noah</v>
      </c>
      <c r="C82" s="8" t="str">
        <f t="array" ref="C82">IFERROR(
INDEX(Master!D$2:D$272,
SMALL(
IF(EXACT(Master!$M$2:$M$272,Rosters!$A$64),
ROW(Master!D$2:D$272)-ROW(Master!D$2)+1
),
ROWS(Master!D$2:'Master'!D18)
)
),"")</f>
        <v>Webb</v>
      </c>
      <c r="D82" s="7">
        <f t="array" aca="1" ref="D82" ca="1">IFERROR(
 INDEX(Master!O$2:O$272,
  SMALL(
   IF(EXACT(Master!$M$2:$M$272,Rosters!$A$64),
    ROW(Master!O$2:O$272)-ROW(Master!O$2)+1
    ),
   ROWS(Master!O$2:'Master'!O18)
  )
 ),"")</f>
        <v>9</v>
      </c>
      <c r="E82" s="8" t="str">
        <f t="array" ref="E82">IFERROR(
 INDEX(Master!A$2:A$272,
  SMALL(
   IF(EXACT(Master!$M$2:$M$272,Rosters!$A$64),
    ROW(Master!A$2:A$272)-ROW(Master!A$2)+1
    ),
   ROWS(Master!A$2:'Master'!A18)
  )
 ),"")</f>
        <v>Lori</v>
      </c>
      <c r="F82" s="8" t="str">
        <f t="array" ref="F82">IFERROR(
 INDEX(Master!B$2:B$272,
  SMALL(
   IF(EXACT(Master!$M$2:$M$272,Rosters!$A$64),
    ROW(Master!B$2:B$272)-ROW(Master!B$2)+1
    ),
   ROWS(Master!B$2:'Master'!B18)
  )
 ),"")</f>
        <v>Webb</v>
      </c>
      <c r="G82" s="7">
        <f t="array" ref="G82">IFERROR(
 INDEX(Master!K$2:K$272,
  SMALL(
   IF(EXACT(Master!$M$2:$M$272,Rosters!$A$64),
    ROW(Master!K$2:K$272)-ROW(Master!K$2)+1
    ),
   ROWS(Master!K$2:'Master'!K18)
  )
 ),"")</f>
        <v>937</v>
      </c>
      <c r="H82" s="7" t="str">
        <f t="array" ref="H82">IFERROR(
 INDEX(Master!L$2:L$272,
  SMALL(
   IF(EXACT(Master!$M$2:$M$272,Rosters!$A$64),
    ROW(Master!L$2:L$272)-ROW(Master!L$2)+1
    ),
   ROWS(Master!L$2:'Master'!L18)
  )
 ),"")</f>
        <v>424-6499</v>
      </c>
      <c r="I82" s="8" t="str">
        <f t="array" ref="I82">IFERROR(
 INDEX(Master!Q$2:Q$272,
  SMALL(
   IF(EXACT(Master!$M$2:$M$272,Rosters!$A$64),
    ROW(Master!Q$2:Q$272)-ROW(Master!Q$2)+1
    ),
   ROWS(Master!Q$2:'Master'!Q18)
  )
 ),"")</f>
        <v>lwebb526@yahoo.com</v>
      </c>
    </row>
    <row r="83" spans="1:9" x14ac:dyDescent="0.25">
      <c r="A83" s="7"/>
      <c r="B83" s="8" t="str">
        <f t="array" ref="B83">IFERROR(
 INDEX(Master!C$2:C$272,
  SMALL(
   IF(EXACT(Master!$M$2:$M$272,Rosters!$A$64),
    ROW(Master!C$2:C$272)-ROW(Master!C$2)+1
    ),
   ROWS(Master!C$2:'Master'!C19)
  )
 ),"")</f>
        <v/>
      </c>
      <c r="C83" s="8" t="str">
        <f t="array" ref="C83">IFERROR(
INDEX(Master!D$2:D$272,
SMALL(
IF(EXACT(Master!$M$2:$M$272,Rosters!$A$64),
ROW(Master!D$2:D$272)-ROW(Master!D$2)+1
),
ROWS(Master!D$2:'Master'!D19)
)
),"")</f>
        <v/>
      </c>
      <c r="D83" s="7" t="str">
        <f t="array" ref="D83">IFERROR(
 INDEX(Master!O$2:O$272,
  SMALL(
   IF(EXACT(Master!$M$2:$M$272,Rosters!$A$64),
    ROW(Master!O$2:O$272)-ROW(Master!O$2)+1
    ),
   ROWS(Master!O$2:'Master'!O19)
  )
 ),"")</f>
        <v/>
      </c>
      <c r="E83" s="8" t="str">
        <f t="array" ref="E83">IFERROR(
 INDEX(Master!A$2:A$272,
  SMALL(
   IF(EXACT(Master!$M$2:$M$272,Rosters!$A$64),
    ROW(Master!A$2:A$272)-ROW(Master!A$2)+1
    ),
   ROWS(Master!A$2:'Master'!A19)
  )
 ),"")</f>
        <v/>
      </c>
      <c r="F83" s="8" t="str">
        <f t="array" ref="F83">IFERROR(
 INDEX(Master!B$2:B$272,
  SMALL(
   IF(EXACT(Master!$M$2:$M$272,Rosters!$A$64),
    ROW(Master!B$2:B$272)-ROW(Master!B$2)+1
    ),
   ROWS(Master!B$2:'Master'!B19)
  )
 ),"")</f>
        <v/>
      </c>
      <c r="G83" s="7" t="str">
        <f t="array" ref="G83">IFERROR(
 INDEX(Master!K$2:K$272,
  SMALL(
   IF(EXACT(Master!$M$2:$M$272,Rosters!$A$64),
    ROW(Master!K$2:K$272)-ROW(Master!K$2)+1
    ),
   ROWS(Master!K$2:'Master'!K19)
  )
 ),"")</f>
        <v/>
      </c>
      <c r="H83" s="7" t="str">
        <f t="array" ref="H83">IFERROR(
 INDEX(Master!L$2:L$272,
  SMALL(
   IF(EXACT(Master!$M$2:$M$272,Rosters!$A$64),
    ROW(Master!L$2:L$272)-ROW(Master!L$2)+1
    ),
   ROWS(Master!L$2:'Master'!L19)
  )
 ),"")</f>
        <v/>
      </c>
      <c r="I83" s="8" t="str">
        <f t="array" ref="I83">IFERROR(
 INDEX(Master!Q$2:Q$272,
  SMALL(
   IF(EXACT(Master!$M$2:$M$272,Rosters!$A$64),
    ROW(Master!Q$2:Q$272)-ROW(Master!Q$2)+1
    ),
   ROWS(Master!Q$2:'Master'!Q19)
  )
 ),"")</f>
        <v/>
      </c>
    </row>
    <row r="84" spans="1:9" x14ac:dyDescent="0.25">
      <c r="A84" s="7" t="str">
        <f t="shared" ref="A84:A95" si="1">IF($B84&lt;&gt;"",$A83+1,"")</f>
        <v/>
      </c>
      <c r="B84" s="8" t="str">
        <f t="array" ref="B84">IFERROR(
 INDEX(Master!C$2:C$272,
  SMALL(
   IF(EXACT(Master!$M$2:$M$272,Rosters!$A$64),
    ROW(Master!C$2:C$272)-ROW(Master!C$2)+1
    ),
   ROWS(Master!C$2:'Master'!C20)
  )
 ),"")</f>
        <v/>
      </c>
      <c r="C84" s="8" t="str">
        <f t="array" ref="C84">IFERROR(
INDEX(Master!D$2:D$272,
SMALL(
IF(EXACT(Master!$M$2:$M$272,Rosters!$A$64),
ROW(Master!D$2:D$272)-ROW(Master!D$2)+1
),
ROWS(Master!D$2:'Master'!D20)
)
),"")</f>
        <v/>
      </c>
      <c r="D84" s="7" t="str">
        <f t="array" ref="D84">IFERROR(
 INDEX(Master!O$2:O$272,
  SMALL(
   IF(EXACT(Master!$M$2:$M$272,Rosters!$A$64),
    ROW(Master!O$2:O$272)-ROW(Master!O$2)+1
    ),
   ROWS(Master!O$2:'Master'!O20)
  )
 ),"")</f>
        <v/>
      </c>
      <c r="E84" s="8" t="str">
        <f t="array" ref="E84">IFERROR(
 INDEX(Master!A$2:A$272,
  SMALL(
   IF(EXACT(Master!$M$2:$M$272,Rosters!$A$64),
    ROW(Master!A$2:A$272)-ROW(Master!A$2)+1
    ),
   ROWS(Master!A$2:'Master'!A20)
  )
 ),"")</f>
        <v/>
      </c>
      <c r="F84" s="8" t="str">
        <f t="array" ref="F84">IFERROR(
 INDEX(Master!B$2:B$272,
  SMALL(
   IF(EXACT(Master!$M$2:$M$272,Rosters!$A$64),
    ROW(Master!B$2:B$272)-ROW(Master!B$2)+1
    ),
   ROWS(Master!B$2:'Master'!B20)
  )
 ),"")</f>
        <v/>
      </c>
      <c r="G84" s="7" t="str">
        <f t="array" ref="G84">IFERROR(
 INDEX(Master!K$2:K$272,
  SMALL(
   IF(EXACT(Master!$M$2:$M$272,Rosters!$A$64),
    ROW(Master!K$2:K$272)-ROW(Master!K$2)+1
    ),
   ROWS(Master!K$2:'Master'!K20)
  )
 ),"")</f>
        <v/>
      </c>
      <c r="H84" s="7" t="str">
        <f t="array" ref="H84">IFERROR(
 INDEX(Master!L$2:L$272,
  SMALL(
   IF(EXACT(Master!$M$2:$M$272,Rosters!$A$64),
    ROW(Master!L$2:L$272)-ROW(Master!L$2)+1
    ),
   ROWS(Master!L$2:'Master'!L20)
  )
 ),"")</f>
        <v/>
      </c>
      <c r="I84" s="8" t="str">
        <f t="array" ref="I84">IFERROR(
 INDEX(Master!Q$2:Q$272,
  SMALL(
   IF(EXACT(Master!$M$2:$M$272,Rosters!$A$64),
    ROW(Master!Q$2:Q$272)-ROW(Master!Q$2)+1
    ),
   ROWS(Master!Q$2:'Master'!Q20)
  )
 ),"")</f>
        <v/>
      </c>
    </row>
    <row r="85" spans="1:9" x14ac:dyDescent="0.25">
      <c r="A85" s="7" t="str">
        <f t="shared" si="1"/>
        <v/>
      </c>
      <c r="B85" s="8" t="str">
        <f t="array" ref="B85">IFERROR(
 INDEX(Master!C$2:C$272,
  SMALL(
   IF(EXACT(Master!$M$2:$M$272,Rosters!$A$64),
    ROW(Master!C$2:C$272)-ROW(Master!C$2)+1
    ),
   ROWS(Master!C$2:'Master'!C21)
  )
 ),"")</f>
        <v/>
      </c>
      <c r="C85" s="8" t="str">
        <f t="array" ref="C85">IFERROR(
INDEX(Master!D$2:D$272,
SMALL(
IF(EXACT(Master!$M$2:$M$272,Rosters!$A$64),
ROW(Master!D$2:D$272)-ROW(Master!D$2)+1
),
ROWS(Master!D$2:'Master'!D21)
)
),"")</f>
        <v/>
      </c>
      <c r="D85" s="7" t="str">
        <f t="array" ref="D85">IFERROR(
 INDEX(Master!O$2:O$272,
  SMALL(
   IF(EXACT(Master!$M$2:$M$272,Rosters!$A$64),
    ROW(Master!O$2:O$272)-ROW(Master!O$2)+1
    ),
   ROWS(Master!O$2:'Master'!O21)
  )
 ),"")</f>
        <v/>
      </c>
      <c r="E85" s="8" t="str">
        <f t="array" ref="E85">IFERROR(
 INDEX(Master!A$2:A$272,
  SMALL(
   IF(EXACT(Master!$M$2:$M$272,Rosters!$A$64),
    ROW(Master!A$2:A$272)-ROW(Master!A$2)+1
    ),
   ROWS(Master!A$2:'Master'!A21)
  )
 ),"")</f>
        <v/>
      </c>
      <c r="F85" s="8" t="str">
        <f t="array" ref="F85">IFERROR(
 INDEX(Master!B$2:B$272,
  SMALL(
   IF(EXACT(Master!$M$2:$M$272,Rosters!$A$64),
    ROW(Master!B$2:B$272)-ROW(Master!B$2)+1
    ),
   ROWS(Master!B$2:'Master'!B21)
  )
 ),"")</f>
        <v/>
      </c>
      <c r="G85" s="7" t="str">
        <f t="array" ref="G85">IFERROR(
 INDEX(Master!K$2:K$272,
  SMALL(
   IF(EXACT(Master!$M$2:$M$272,Rosters!$A$64),
    ROW(Master!K$2:K$272)-ROW(Master!K$2)+1
    ),
   ROWS(Master!K$2:'Master'!K21)
  )
 ),"")</f>
        <v/>
      </c>
      <c r="H85" s="7" t="str">
        <f t="array" ref="H85">IFERROR(
 INDEX(Master!L$2:L$272,
  SMALL(
   IF(EXACT(Master!$M$2:$M$272,Rosters!$A$64),
    ROW(Master!L$2:L$272)-ROW(Master!L$2)+1
    ),
   ROWS(Master!L$2:'Master'!L21)
  )
 ),"")</f>
        <v/>
      </c>
      <c r="I85" s="8" t="str">
        <f t="array" ref="I85">IFERROR(
 INDEX(Master!Q$2:Q$272,
  SMALL(
   IF(EXACT(Master!$M$2:$M$272,Rosters!$A$64),
    ROW(Master!Q$2:Q$272)-ROW(Master!Q$2)+1
    ),
   ROWS(Master!Q$2:'Master'!Q21)
  )
 ),"")</f>
        <v/>
      </c>
    </row>
    <row r="86" spans="1:9" x14ac:dyDescent="0.25">
      <c r="A86" s="7" t="str">
        <f t="shared" si="1"/>
        <v/>
      </c>
      <c r="B86" s="8" t="str">
        <f t="array" ref="B86">IFERROR(
 INDEX(Master!C$2:C$272,
  SMALL(
   IF(EXACT(Master!$M$2:$M$272,Rosters!$A$64),
    ROW(Master!C$2:C$272)-ROW(Master!C$2)+1
    ),
   ROWS(Master!C$2:'Master'!C22)
  )
 ),"")</f>
        <v/>
      </c>
      <c r="C86" s="8" t="str">
        <f t="array" ref="C86">IFERROR(
INDEX(Master!D$2:D$272,
SMALL(
IF(EXACT(Master!$M$2:$M$272,Rosters!$A$64),
ROW(Master!D$2:D$272)-ROW(Master!D$2)+1
),
ROWS(Master!D$2:'Master'!D22)
)
),"")</f>
        <v/>
      </c>
      <c r="D86" s="7" t="str">
        <f t="array" ref="D86">IFERROR(
 INDEX(Master!O$2:O$272,
  SMALL(
   IF(EXACT(Master!$M$2:$M$272,Rosters!$A$64),
    ROW(Master!O$2:O$272)-ROW(Master!O$2)+1
    ),
   ROWS(Master!O$2:'Master'!O22)
  )
 ),"")</f>
        <v/>
      </c>
      <c r="E86" s="8" t="str">
        <f t="array" ref="E86">IFERROR(
 INDEX(Master!A$2:A$272,
  SMALL(
   IF(EXACT(Master!$M$2:$M$272,Rosters!$A$64),
    ROW(Master!A$2:A$272)-ROW(Master!A$2)+1
    ),
   ROWS(Master!A$2:'Master'!A22)
  )
 ),"")</f>
        <v/>
      </c>
      <c r="F86" s="8" t="str">
        <f t="array" ref="F86">IFERROR(
 INDEX(Master!B$2:B$272,
  SMALL(
   IF(EXACT(Master!$M$2:$M$272,Rosters!$A$64),
    ROW(Master!B$2:B$272)-ROW(Master!B$2)+1
    ),
   ROWS(Master!B$2:'Master'!B22)
  )
 ),"")</f>
        <v/>
      </c>
      <c r="G86" s="7" t="str">
        <f t="array" ref="G86">IFERROR(
 INDEX(Master!K$2:K$272,
  SMALL(
   IF(EXACT(Master!$M$2:$M$272,Rosters!$A$64),
    ROW(Master!K$2:K$272)-ROW(Master!K$2)+1
    ),
   ROWS(Master!K$2:'Master'!K22)
  )
 ),"")</f>
        <v/>
      </c>
      <c r="H86" s="7" t="str">
        <f t="array" ref="H86">IFERROR(
 INDEX(Master!L$2:L$272,
  SMALL(
   IF(EXACT(Master!$M$2:$M$272,Rosters!$A$64),
    ROW(Master!L$2:L$272)-ROW(Master!L$2)+1
    ),
   ROWS(Master!L$2:'Master'!L22)
  )
 ),"")</f>
        <v/>
      </c>
      <c r="I86" s="8" t="str">
        <f t="array" ref="I86">IFERROR(
 INDEX(Master!Q$2:Q$272,
  SMALL(
   IF(EXACT(Master!$M$2:$M$272,Rosters!$A$64),
    ROW(Master!Q$2:Q$272)-ROW(Master!Q$2)+1
    ),
   ROWS(Master!Q$2:'Master'!Q22)
  )
 ),"")</f>
        <v/>
      </c>
    </row>
    <row r="87" spans="1:9" x14ac:dyDescent="0.25">
      <c r="A87" s="7" t="str">
        <f t="shared" si="1"/>
        <v/>
      </c>
      <c r="B87" s="8" t="str">
        <f t="array" ref="B87">IFERROR(
 INDEX(Master!C$2:C$272,
  SMALL(
   IF(EXACT(Master!$M$2:$M$272,Rosters!$A$64),
    ROW(Master!C$2:C$272)-ROW(Master!C$2)+1
    ),
   ROWS(Master!C$2:'Master'!C23)
  )
 ),"")</f>
        <v/>
      </c>
      <c r="C87" s="8" t="str">
        <f t="array" ref="C87">IFERROR(
INDEX(Master!D$2:D$272,
SMALL(
IF(EXACT(Master!$M$2:$M$272,Rosters!$A$64),
ROW(Master!D$2:D$272)-ROW(Master!D$2)+1
),
ROWS(Master!D$2:'Master'!D23)
)
),"")</f>
        <v/>
      </c>
      <c r="D87" s="7" t="str">
        <f t="array" ref="D87">IFERROR(
 INDEX(Master!O$2:O$272,
  SMALL(
   IF(EXACT(Master!$M$2:$M$272,Rosters!$A$64),
    ROW(Master!O$2:O$272)-ROW(Master!O$2)+1
    ),
   ROWS(Master!O$2:'Master'!O23)
  )
 ),"")</f>
        <v/>
      </c>
      <c r="E87" s="8" t="str">
        <f t="array" ref="E87">IFERROR(
 INDEX(Master!A$2:A$272,
  SMALL(
   IF(EXACT(Master!$M$2:$M$272,Rosters!$A$64),
    ROW(Master!A$2:A$272)-ROW(Master!A$2)+1
    ),
   ROWS(Master!A$2:'Master'!A23)
  )
 ),"")</f>
        <v/>
      </c>
      <c r="F87" s="8" t="str">
        <f t="array" ref="F87">IFERROR(
 INDEX(Master!B$2:B$272,
  SMALL(
   IF(EXACT(Master!$M$2:$M$272,Rosters!$A$64),
    ROW(Master!B$2:B$272)-ROW(Master!B$2)+1
    ),
   ROWS(Master!B$2:'Master'!B23)
  )
 ),"")</f>
        <v/>
      </c>
      <c r="G87" s="7" t="str">
        <f t="array" ref="G87">IFERROR(
 INDEX(Master!K$2:K$272,
  SMALL(
   IF(EXACT(Master!$M$2:$M$272,Rosters!$A$64),
    ROW(Master!K$2:K$272)-ROW(Master!K$2)+1
    ),
   ROWS(Master!K$2:'Master'!K23)
  )
 ),"")</f>
        <v/>
      </c>
      <c r="H87" s="7" t="str">
        <f t="array" ref="H87">IFERROR(
 INDEX(Master!L$2:L$272,
  SMALL(
   IF(EXACT(Master!$M$2:$M$272,Rosters!$A$64),
    ROW(Master!L$2:L$272)-ROW(Master!L$2)+1
    ),
   ROWS(Master!L$2:'Master'!L23)
  )
 ),"")</f>
        <v/>
      </c>
      <c r="I87" s="8" t="str">
        <f t="array" ref="I87">IFERROR(
 INDEX(Master!Q$2:Q$272,
  SMALL(
   IF(EXACT(Master!$M$2:$M$272,Rosters!$A$64),
    ROW(Master!Q$2:Q$272)-ROW(Master!Q$2)+1
    ),
   ROWS(Master!Q$2:'Master'!Q23)
  )
 ),"")</f>
        <v/>
      </c>
    </row>
    <row r="88" spans="1:9" x14ac:dyDescent="0.25">
      <c r="A88" s="7" t="str">
        <f t="shared" si="1"/>
        <v/>
      </c>
      <c r="B88" s="8" t="str">
        <f t="array" ref="B88">IFERROR(
 INDEX(Master!C$2:C$272,
  SMALL(
   IF(EXACT(Master!$M$2:$M$272,Rosters!$A$64),
    ROW(Master!C$2:C$272)-ROW(Master!C$2)+1
    ),
   ROWS(Master!C$2:'Master'!C24)
  )
 ),"")</f>
        <v/>
      </c>
      <c r="C88" s="8" t="str">
        <f t="array" ref="C88">IFERROR(
INDEX(Master!D$2:D$272,
SMALL(
IF(EXACT(Master!$M$2:$M$272,Rosters!$A$64),
ROW(Master!D$2:D$272)-ROW(Master!D$2)+1
),
ROWS(Master!D$2:'Master'!D24)
)
),"")</f>
        <v/>
      </c>
      <c r="D88" s="7" t="str">
        <f t="array" ref="D88">IFERROR(
 INDEX(Master!O$2:O$272,
  SMALL(
   IF(EXACT(Master!$M$2:$M$272,Rosters!$A$64),
    ROW(Master!O$2:O$272)-ROW(Master!O$2)+1
    ),
   ROWS(Master!O$2:'Master'!O24)
  )
 ),"")</f>
        <v/>
      </c>
      <c r="E88" s="8" t="str">
        <f t="array" ref="E88">IFERROR(
 INDEX(Master!A$2:A$272,
  SMALL(
   IF(EXACT(Master!$M$2:$M$272,Rosters!$A$64),
    ROW(Master!A$2:A$272)-ROW(Master!A$2)+1
    ),
   ROWS(Master!A$2:'Master'!A24)
  )
 ),"")</f>
        <v/>
      </c>
      <c r="F88" s="8" t="str">
        <f t="array" ref="F88">IFERROR(
 INDEX(Master!B$2:B$272,
  SMALL(
   IF(EXACT(Master!$M$2:$M$272,Rosters!$A$64),
    ROW(Master!B$2:B$272)-ROW(Master!B$2)+1
    ),
   ROWS(Master!B$2:'Master'!B24)
  )
 ),"")</f>
        <v/>
      </c>
      <c r="G88" s="7" t="str">
        <f t="array" ref="G88">IFERROR(
 INDEX(Master!K$2:K$272,
  SMALL(
   IF(EXACT(Master!$M$2:$M$272,Rosters!$A$64),
    ROW(Master!K$2:K$272)-ROW(Master!K$2)+1
    ),
   ROWS(Master!K$2:'Master'!K24)
  )
 ),"")</f>
        <v/>
      </c>
      <c r="H88" s="7" t="str">
        <f t="array" ref="H88">IFERROR(
 INDEX(Master!L$2:L$272,
  SMALL(
   IF(EXACT(Master!$M$2:$M$272,Rosters!$A$64),
    ROW(Master!L$2:L$272)-ROW(Master!L$2)+1
    ),
   ROWS(Master!L$2:'Master'!L24)
  )
 ),"")</f>
        <v/>
      </c>
      <c r="I88" s="8" t="str">
        <f t="array" ref="I88">IFERROR(
 INDEX(Master!Q$2:Q$272,
  SMALL(
   IF(EXACT(Master!$M$2:$M$272,Rosters!$A$64),
    ROW(Master!Q$2:Q$272)-ROW(Master!Q$2)+1
    ),
   ROWS(Master!Q$2:'Master'!Q24)
  )
 ),"")</f>
        <v/>
      </c>
    </row>
    <row r="89" spans="1:9" x14ac:dyDescent="0.25">
      <c r="A89" s="7" t="str">
        <f t="shared" si="1"/>
        <v/>
      </c>
      <c r="B89" s="8" t="str">
        <f t="array" ref="B89">IFERROR(
 INDEX(Master!C$2:C$272,
  SMALL(
   IF(EXACT(Master!$M$2:$M$272,Rosters!$A$64),
    ROW(Master!C$2:C$272)-ROW(Master!C$2)+1
    ),
   ROWS(Master!C$2:'Master'!C25)
  )
 ),"")</f>
        <v/>
      </c>
      <c r="C89" s="8" t="str">
        <f t="array" ref="C89">IFERROR(
INDEX(Master!D$2:D$272,
SMALL(
IF(EXACT(Master!$M$2:$M$272,Rosters!$A$64),
ROW(Master!D$2:D$272)-ROW(Master!D$2)+1
),
ROWS(Master!D$2:'Master'!D25)
)
),"")</f>
        <v/>
      </c>
      <c r="D89" s="7" t="str">
        <f t="array" ref="D89">IFERROR(
 INDEX(Master!O$2:O$272,
  SMALL(
   IF(EXACT(Master!$M$2:$M$272,Rosters!$A$64),
    ROW(Master!O$2:O$272)-ROW(Master!O$2)+1
    ),
   ROWS(Master!O$2:'Master'!O25)
  )
 ),"")</f>
        <v/>
      </c>
      <c r="E89" s="8" t="str">
        <f t="array" ref="E89">IFERROR(
 INDEX(Master!A$2:A$272,
  SMALL(
   IF(EXACT(Master!$M$2:$M$272,Rosters!$A$64),
    ROW(Master!A$2:A$272)-ROW(Master!A$2)+1
    ),
   ROWS(Master!A$2:'Master'!A25)
  )
 ),"")</f>
        <v/>
      </c>
      <c r="F89" s="8" t="str">
        <f t="array" ref="F89">IFERROR(
 INDEX(Master!B$2:B$272,
  SMALL(
   IF(EXACT(Master!$M$2:$M$272,Rosters!$A$64),
    ROW(Master!B$2:B$272)-ROW(Master!B$2)+1
    ),
   ROWS(Master!B$2:'Master'!B25)
  )
 ),"")</f>
        <v/>
      </c>
      <c r="G89" s="7" t="str">
        <f t="array" ref="G89">IFERROR(
 INDEX(Master!K$2:K$272,
  SMALL(
   IF(EXACT(Master!$M$2:$M$272,Rosters!$A$64),
    ROW(Master!K$2:K$272)-ROW(Master!K$2)+1
    ),
   ROWS(Master!K$2:'Master'!K25)
  )
 ),"")</f>
        <v/>
      </c>
      <c r="H89" s="7" t="str">
        <f t="array" ref="H89">IFERROR(
 INDEX(Master!L$2:L$272,
  SMALL(
   IF(EXACT(Master!$M$2:$M$272,Rosters!$A$64),
    ROW(Master!L$2:L$272)-ROW(Master!L$2)+1
    ),
   ROWS(Master!L$2:'Master'!L25)
  )
 ),"")</f>
        <v/>
      </c>
      <c r="I89" s="8" t="str">
        <f t="array" ref="I89">IFERROR(
 INDEX(Master!Q$2:Q$272,
  SMALL(
   IF(EXACT(Master!$M$2:$M$272,Rosters!$A$64),
    ROW(Master!Q$2:Q$272)-ROW(Master!Q$2)+1
    ),
   ROWS(Master!Q$2:'Master'!Q25)
  )
 ),"")</f>
        <v/>
      </c>
    </row>
    <row r="90" spans="1:9" x14ac:dyDescent="0.25">
      <c r="A90" s="7" t="str">
        <f t="shared" si="1"/>
        <v/>
      </c>
      <c r="B90" s="8" t="str">
        <f t="array" ref="B90">IFERROR(
 INDEX(Master!C$2:C$272,
  SMALL(
   IF(EXACT(Master!$M$2:$M$272,Rosters!$A$64),
    ROW(Master!C$2:C$272)-ROW(Master!C$2)+1
    ),
   ROWS(Master!C$2:'Master'!C26)
  )
 ),"")</f>
        <v/>
      </c>
      <c r="C90" s="8" t="str">
        <f t="array" ref="C90">IFERROR(
INDEX(Master!D$2:D$272,
SMALL(
IF(EXACT(Master!$M$2:$M$272,Rosters!$A$64),
ROW(Master!D$2:D$272)-ROW(Master!D$2)+1
),
ROWS(Master!D$2:'Master'!D26)
)
),"")</f>
        <v/>
      </c>
      <c r="D90" s="7" t="str">
        <f t="array" ref="D90">IFERROR(
 INDEX(Master!O$2:O$272,
  SMALL(
   IF(EXACT(Master!$M$2:$M$272,Rosters!$A$64),
    ROW(Master!O$2:O$272)-ROW(Master!O$2)+1
    ),
   ROWS(Master!O$2:'Master'!O26)
  )
 ),"")</f>
        <v/>
      </c>
      <c r="E90" s="8" t="str">
        <f t="array" ref="E90">IFERROR(
 INDEX(Master!A$2:A$272,
  SMALL(
   IF(EXACT(Master!$M$2:$M$272,Rosters!$A$64),
    ROW(Master!A$2:A$272)-ROW(Master!A$2)+1
    ),
   ROWS(Master!A$2:'Master'!A26)
  )
 ),"")</f>
        <v/>
      </c>
      <c r="F90" s="8" t="str">
        <f t="array" ref="F90">IFERROR(
 INDEX(Master!B$2:B$272,
  SMALL(
   IF(EXACT(Master!$M$2:$M$272,Rosters!$A$64),
    ROW(Master!B$2:B$272)-ROW(Master!B$2)+1
    ),
   ROWS(Master!B$2:'Master'!B26)
  )
 ),"")</f>
        <v/>
      </c>
      <c r="G90" s="7" t="str">
        <f t="array" ref="G90">IFERROR(
 INDEX(Master!K$2:K$272,
  SMALL(
   IF(EXACT(Master!$M$2:$M$272,Rosters!$A$64),
    ROW(Master!K$2:K$272)-ROW(Master!K$2)+1
    ),
   ROWS(Master!K$2:'Master'!K26)
  )
 ),"")</f>
        <v/>
      </c>
      <c r="H90" s="7" t="str">
        <f t="array" ref="H90">IFERROR(
 INDEX(Master!L$2:L$272,
  SMALL(
   IF(EXACT(Master!$M$2:$M$272,Rosters!$A$64),
    ROW(Master!L$2:L$272)-ROW(Master!L$2)+1
    ),
   ROWS(Master!L$2:'Master'!L26)
  )
 ),"")</f>
        <v/>
      </c>
      <c r="I90" s="8" t="str">
        <f t="array" ref="I90">IFERROR(
 INDEX(Master!Q$2:Q$272,
  SMALL(
   IF(EXACT(Master!$M$2:$M$272,Rosters!$A$64),
    ROW(Master!Q$2:Q$272)-ROW(Master!Q$2)+1
    ),
   ROWS(Master!Q$2:'Master'!Q26)
  )
 ),"")</f>
        <v/>
      </c>
    </row>
    <row r="91" spans="1:9" x14ac:dyDescent="0.25">
      <c r="A91" s="7" t="str">
        <f t="shared" si="1"/>
        <v/>
      </c>
      <c r="B91" s="8" t="str">
        <f t="array" ref="B91">IFERROR(
 INDEX(Master!C$2:C$272,
  SMALL(
   IF(EXACT(Master!$M$2:$M$272,Rosters!$A$64),
    ROW(Master!C$2:C$272)-ROW(Master!C$2)+1
    ),
   ROWS(Master!C$2:'Master'!C27)
  )
 ),"")</f>
        <v/>
      </c>
      <c r="C91" s="8" t="str">
        <f t="array" ref="C91">IFERROR(
INDEX(Master!D$2:D$272,
SMALL(
IF(EXACT(Master!$M$2:$M$272,Rosters!$A$64),
ROW(Master!D$2:D$272)-ROW(Master!D$2)+1
),
ROWS(Master!D$2:'Master'!D27)
)
),"")</f>
        <v/>
      </c>
      <c r="D91" s="7" t="str">
        <f t="array" ref="D91">IFERROR(
 INDEX(Master!O$2:O$272,
  SMALL(
   IF(EXACT(Master!$M$2:$M$272,Rosters!$A$64),
    ROW(Master!O$2:O$272)-ROW(Master!O$2)+1
    ),
   ROWS(Master!O$2:'Master'!O27)
  )
 ),"")</f>
        <v/>
      </c>
      <c r="E91" s="8" t="str">
        <f t="array" ref="E91">IFERROR(
 INDEX(Master!A$2:A$272,
  SMALL(
   IF(EXACT(Master!$M$2:$M$272,Rosters!$A$64),
    ROW(Master!A$2:A$272)-ROW(Master!A$2)+1
    ),
   ROWS(Master!A$2:'Master'!A27)
  )
 ),"")</f>
        <v/>
      </c>
      <c r="F91" s="8" t="str">
        <f t="array" ref="F91">IFERROR(
 INDEX(Master!B$2:B$272,
  SMALL(
   IF(EXACT(Master!$M$2:$M$272,Rosters!$A$64),
    ROW(Master!B$2:B$272)-ROW(Master!B$2)+1
    ),
   ROWS(Master!B$2:'Master'!B27)
  )
 ),"")</f>
        <v/>
      </c>
      <c r="G91" s="7" t="str">
        <f t="array" ref="G91">IFERROR(
 INDEX(Master!K$2:K$272,
  SMALL(
   IF(EXACT(Master!$M$2:$M$272,Rosters!$A$64),
    ROW(Master!K$2:K$272)-ROW(Master!K$2)+1
    ),
   ROWS(Master!K$2:'Master'!K27)
  )
 ),"")</f>
        <v/>
      </c>
      <c r="H91" s="7" t="str">
        <f t="array" ref="H91">IFERROR(
 INDEX(Master!L$2:L$272,
  SMALL(
   IF(EXACT(Master!$M$2:$M$272,Rosters!$A$64),
    ROW(Master!L$2:L$272)-ROW(Master!L$2)+1
    ),
   ROWS(Master!L$2:'Master'!L27)
  )
 ),"")</f>
        <v/>
      </c>
      <c r="I91" s="8" t="str">
        <f t="array" ref="I91">IFERROR(
 INDEX(Master!Q$2:Q$272,
  SMALL(
   IF(EXACT(Master!$M$2:$M$272,Rosters!$A$64),
    ROW(Master!Q$2:Q$272)-ROW(Master!Q$2)+1
    ),
   ROWS(Master!Q$2:'Master'!Q27)
  )
 ),"")</f>
        <v/>
      </c>
    </row>
    <row r="92" spans="1:9" x14ac:dyDescent="0.25">
      <c r="A92" s="7" t="str">
        <f t="shared" si="1"/>
        <v/>
      </c>
      <c r="B92" s="8" t="str">
        <f t="array" ref="B92">IFERROR(
 INDEX(Master!C$2:C$272,
  SMALL(
   IF(EXACT(Master!$M$2:$M$272,Rosters!$A$64),
    ROW(Master!C$2:C$272)-ROW(Master!C$2)+1
    ),
   ROWS(Master!C$2:'Master'!C28)
  )
 ),"")</f>
        <v/>
      </c>
      <c r="C92" s="8" t="str">
        <f t="array" ref="C92">IFERROR(
INDEX(Master!D$2:D$272,
SMALL(
IF(EXACT(Master!$M$2:$M$272,Rosters!$A$64),
ROW(Master!D$2:D$272)-ROW(Master!D$2)+1
),
ROWS(Master!D$2:'Master'!D28)
)
),"")</f>
        <v/>
      </c>
      <c r="D92" s="7" t="str">
        <f t="array" ref="D92">IFERROR(
 INDEX(Master!O$2:O$272,
  SMALL(
   IF(EXACT(Master!$M$2:$M$272,Rosters!$A$64),
    ROW(Master!O$2:O$272)-ROW(Master!O$2)+1
    ),
   ROWS(Master!O$2:'Master'!O28)
  )
 ),"")</f>
        <v/>
      </c>
      <c r="E92" s="8" t="str">
        <f t="array" ref="E92">IFERROR(
 INDEX(Master!A$2:A$272,
  SMALL(
   IF(EXACT(Master!$M$2:$M$272,Rosters!$A$64),
    ROW(Master!A$2:A$272)-ROW(Master!A$2)+1
    ),
   ROWS(Master!A$2:'Master'!A28)
  )
 ),"")</f>
        <v/>
      </c>
      <c r="F92" s="8" t="str">
        <f t="array" ref="F92">IFERROR(
 INDEX(Master!B$2:B$272,
  SMALL(
   IF(EXACT(Master!$M$2:$M$272,Rosters!$A$64),
    ROW(Master!B$2:B$272)-ROW(Master!B$2)+1
    ),
   ROWS(Master!B$2:'Master'!B28)
  )
 ),"")</f>
        <v/>
      </c>
      <c r="G92" s="7" t="str">
        <f t="array" ref="G92">IFERROR(
 INDEX(Master!K$2:K$272,
  SMALL(
   IF(EXACT(Master!$M$2:$M$272,Rosters!$A$64),
    ROW(Master!K$2:K$272)-ROW(Master!K$2)+1
    ),
   ROWS(Master!K$2:'Master'!K28)
  )
 ),"")</f>
        <v/>
      </c>
      <c r="H92" s="7" t="str">
        <f t="array" ref="H92">IFERROR(
 INDEX(Master!L$2:L$272,
  SMALL(
   IF(EXACT(Master!$M$2:$M$272,Rosters!$A$64),
    ROW(Master!L$2:L$272)-ROW(Master!L$2)+1
    ),
   ROWS(Master!L$2:'Master'!L28)
  )
 ),"")</f>
        <v/>
      </c>
      <c r="I92" s="8" t="str">
        <f t="array" ref="I92">IFERROR(
 INDEX(Master!Q$2:Q$272,
  SMALL(
   IF(EXACT(Master!$M$2:$M$272,Rosters!$A$64),
    ROW(Master!Q$2:Q$272)-ROW(Master!Q$2)+1
    ),
   ROWS(Master!Q$2:'Master'!Q28)
  )
 ),"")</f>
        <v/>
      </c>
    </row>
    <row r="93" spans="1:9" x14ac:dyDescent="0.25">
      <c r="A93" s="7" t="str">
        <f t="shared" si="1"/>
        <v/>
      </c>
      <c r="B93" s="8" t="str">
        <f t="array" ref="B93">IFERROR(
 INDEX(Master!C$2:C$272,
  SMALL(
   IF(EXACT(Master!$M$2:$M$272,Rosters!$A$64),
    ROW(Master!C$2:C$272)-ROW(Master!C$2)+1
    ),
   ROWS(Master!C$2:'Master'!C29)
  )
 ),"")</f>
        <v/>
      </c>
      <c r="C93" s="8" t="str">
        <f t="array" ref="C93">IFERROR(
INDEX(Master!D$2:D$272,
SMALL(
IF(EXACT(Master!$M$2:$M$272,Rosters!$A$64),
ROW(Master!D$2:D$272)-ROW(Master!D$2)+1
),
ROWS(Master!D$2:'Master'!D29)
)
),"")</f>
        <v/>
      </c>
      <c r="D93" s="7" t="str">
        <f t="array" ref="D93">IFERROR(
 INDEX(Master!O$2:O$272,
  SMALL(
   IF(EXACT(Master!$M$2:$M$272,Rosters!$A$64),
    ROW(Master!O$2:O$272)-ROW(Master!O$2)+1
    ),
   ROWS(Master!O$2:'Master'!O29)
  )
 ),"")</f>
        <v/>
      </c>
      <c r="E93" s="8" t="str">
        <f t="array" ref="E93">IFERROR(
 INDEX(Master!A$2:A$272,
  SMALL(
   IF(EXACT(Master!$M$2:$M$272,Rosters!$A$64),
    ROW(Master!A$2:A$272)-ROW(Master!A$2)+1
    ),
   ROWS(Master!A$2:'Master'!A29)
  )
 ),"")</f>
        <v/>
      </c>
      <c r="F93" s="8" t="str">
        <f t="array" ref="F93">IFERROR(
 INDEX(Master!B$2:B$272,
  SMALL(
   IF(EXACT(Master!$M$2:$M$272,Rosters!$A$64),
    ROW(Master!B$2:B$272)-ROW(Master!B$2)+1
    ),
   ROWS(Master!B$2:'Master'!B29)
  )
 ),"")</f>
        <v/>
      </c>
      <c r="G93" s="7" t="str">
        <f t="array" ref="G93">IFERROR(
 INDEX(Master!K$2:K$272,
  SMALL(
   IF(EXACT(Master!$M$2:$M$272,Rosters!$A$64),
    ROW(Master!K$2:K$272)-ROW(Master!K$2)+1
    ),
   ROWS(Master!K$2:'Master'!K29)
  )
 ),"")</f>
        <v/>
      </c>
      <c r="H93" s="7" t="str">
        <f t="array" ref="H93">IFERROR(
 INDEX(Master!L$2:L$272,
  SMALL(
   IF(EXACT(Master!$M$2:$M$272,Rosters!$A$64),
    ROW(Master!L$2:L$272)-ROW(Master!L$2)+1
    ),
   ROWS(Master!L$2:'Master'!L29)
  )
 ),"")</f>
        <v/>
      </c>
      <c r="I93" s="8" t="str">
        <f t="array" ref="I93">IFERROR(
 INDEX(Master!Q$2:Q$272,
  SMALL(
   IF(EXACT(Master!$M$2:$M$272,Rosters!$A$64),
    ROW(Master!Q$2:Q$272)-ROW(Master!Q$2)+1
    ),
   ROWS(Master!Q$2:'Master'!Q29)
  )
 ),"")</f>
        <v/>
      </c>
    </row>
    <row r="94" spans="1:9" x14ac:dyDescent="0.25">
      <c r="A94" s="7" t="str">
        <f t="shared" si="1"/>
        <v/>
      </c>
      <c r="B94" s="8" t="str">
        <f t="array" ref="B94">IFERROR(
 INDEX(Master!C$2:C$272,
  SMALL(
   IF(EXACT(Master!$M$2:$M$272,Rosters!$A$64),
    ROW(Master!C$2:C$272)-ROW(Master!C$2)+1
    ),
   ROWS(Master!C$2:'Master'!C30)
  )
 ),"")</f>
        <v/>
      </c>
      <c r="C94" s="8" t="str">
        <f t="array" ref="C94">IFERROR(
INDEX(Master!D$2:D$272,
SMALL(
IF(EXACT(Master!$M$2:$M$272,Rosters!$A$64),
ROW(Master!D$2:D$272)-ROW(Master!D$2)+1
),
ROWS(Master!D$2:'Master'!D30)
)
),"")</f>
        <v/>
      </c>
      <c r="D94" s="7" t="str">
        <f t="array" ref="D94">IFERROR(
 INDEX(Master!O$2:O$272,
  SMALL(
   IF(EXACT(Master!$M$2:$M$272,Rosters!$A$64),
    ROW(Master!O$2:O$272)-ROW(Master!O$2)+1
    ),
   ROWS(Master!O$2:'Master'!O30)
  )
 ),"")</f>
        <v/>
      </c>
      <c r="E94" s="8" t="str">
        <f t="array" ref="E94">IFERROR(
 INDEX(Master!A$2:A$272,
  SMALL(
   IF(EXACT(Master!$M$2:$M$272,Rosters!$A$64),
    ROW(Master!A$2:A$272)-ROW(Master!A$2)+1
    ),
   ROWS(Master!A$2:'Master'!A30)
  )
 ),"")</f>
        <v/>
      </c>
      <c r="F94" s="8" t="str">
        <f t="array" ref="F94">IFERROR(
 INDEX(Master!B$2:B$272,
  SMALL(
   IF(EXACT(Master!$M$2:$M$272,Rosters!$A$64),
    ROW(Master!B$2:B$272)-ROW(Master!B$2)+1
    ),
   ROWS(Master!B$2:'Master'!B30)
  )
 ),"")</f>
        <v/>
      </c>
      <c r="G94" s="7" t="str">
        <f t="array" ref="G94">IFERROR(
 INDEX(Master!K$2:K$272,
  SMALL(
   IF(EXACT(Master!$M$2:$M$272,Rosters!$A$64),
    ROW(Master!K$2:K$272)-ROW(Master!K$2)+1
    ),
   ROWS(Master!K$2:'Master'!K30)
  )
 ),"")</f>
        <v/>
      </c>
      <c r="H94" s="7" t="str">
        <f t="array" ref="H94">IFERROR(
 INDEX(Master!L$2:L$272,
  SMALL(
   IF(EXACT(Master!$M$2:$M$272,Rosters!$A$64),
    ROW(Master!L$2:L$272)-ROW(Master!L$2)+1
    ),
   ROWS(Master!L$2:'Master'!L30)
  )
 ),"")</f>
        <v/>
      </c>
      <c r="I94" s="8" t="str">
        <f t="array" ref="I94">IFERROR(
 INDEX(Master!Q$2:Q$272,
  SMALL(
   IF(EXACT(Master!$M$2:$M$272,Rosters!$A$64),
    ROW(Master!Q$2:Q$272)-ROW(Master!Q$2)+1
    ),
   ROWS(Master!Q$2:'Master'!Q30)
  )
 ),"")</f>
        <v/>
      </c>
    </row>
    <row r="95" spans="1:9" x14ac:dyDescent="0.25">
      <c r="A95" s="7" t="str">
        <f t="shared" si="1"/>
        <v/>
      </c>
      <c r="B95" s="8" t="str">
        <f t="array" ref="B95">IFERROR(
 INDEX(Master!C$2:C$272,
  SMALL(
   IF(EXACT(Master!$M$2:$M$272,Rosters!$A$64),
    ROW(Master!C$2:C$272)-ROW(Master!C$2)+1
    ),
   ROWS(Master!C$2:'Master'!C31)
  )
 ),"")</f>
        <v/>
      </c>
      <c r="C95" s="8" t="str">
        <f t="array" ref="C95">IFERROR(
INDEX(Master!D$2:D$272,
SMALL(
IF(EXACT(Master!$M$2:$M$272,Rosters!$A$64),
ROW(Master!D$2:D$272)-ROW(Master!D$2)+1
),
ROWS(Master!D$2:'Master'!D31)
)
),"")</f>
        <v/>
      </c>
      <c r="D95" s="7" t="str">
        <f t="array" ref="D95">IFERROR(
 INDEX(Master!O$2:O$272,
  SMALL(
   IF(EXACT(Master!$M$2:$M$272,Rosters!$A$64),
    ROW(Master!O$2:O$272)-ROW(Master!O$2)+1
    ),
   ROWS(Master!O$2:'Master'!O31)
  )
 ),"")</f>
        <v/>
      </c>
      <c r="E95" s="8" t="str">
        <f t="array" ref="E95">IFERROR(
 INDEX(Master!A$2:A$272,
  SMALL(
   IF(EXACT(Master!$M$2:$M$272,Rosters!$A$64),
    ROW(Master!A$2:A$272)-ROW(Master!A$2)+1
    ),
   ROWS(Master!A$2:'Master'!A31)
  )
 ),"")</f>
        <v/>
      </c>
      <c r="F95" s="8" t="str">
        <f t="array" ref="F95">IFERROR(
 INDEX(Master!B$2:B$272,
  SMALL(
   IF(EXACT(Master!$M$2:$M$272,Rosters!$A$64),
    ROW(Master!B$2:B$272)-ROW(Master!B$2)+1
    ),
   ROWS(Master!B$2:'Master'!B31)
  )
 ),"")</f>
        <v/>
      </c>
      <c r="G95" s="7" t="str">
        <f t="array" ref="G95">IFERROR(
 INDEX(Master!K$2:K$272,
  SMALL(
   IF(EXACT(Master!$M$2:$M$272,Rosters!$A$64),
    ROW(Master!K$2:K$272)-ROW(Master!K$2)+1
    ),
   ROWS(Master!K$2:'Master'!K31)
  )
 ),"")</f>
        <v/>
      </c>
      <c r="H95" s="7" t="str">
        <f t="array" ref="H95">IFERROR(
 INDEX(Master!L$2:L$272,
  SMALL(
   IF(EXACT(Master!$M$2:$M$272,Rosters!$A$64),
    ROW(Master!L$2:L$272)-ROW(Master!L$2)+1
    ),
   ROWS(Master!L$2:'Master'!L31)
  )
 ),"")</f>
        <v/>
      </c>
      <c r="I95" s="8" t="str">
        <f t="array" ref="I95">IFERROR(
 INDEX(Master!Q$2:Q$272,
  SMALL(
   IF(EXACT(Master!$M$2:$M$272,Rosters!$A$64),
    ROW(Master!Q$2:Q$272)-ROW(Master!Q$2)+1
    ),
   ROWS(Master!Q$2:'Master'!Q31)
  )
 ),"")</f>
        <v/>
      </c>
    </row>
    <row r="96" spans="1:9" ht="35.1" customHeight="1" x14ac:dyDescent="0.4">
      <c r="A96" s="3" t="s">
        <v>116</v>
      </c>
      <c r="B96" s="1"/>
      <c r="C96" s="1"/>
      <c r="D96" s="4"/>
      <c r="E96" s="1" t="s">
        <v>1480</v>
      </c>
      <c r="F96" s="1" t="s">
        <v>481</v>
      </c>
      <c r="G96" s="4"/>
      <c r="H96" s="4"/>
      <c r="I96" s="35">
        <f ca="1">TODAY()</f>
        <v>46195</v>
      </c>
    </row>
    <row r="97" spans="1:9" ht="31.5" customHeight="1" x14ac:dyDescent="0.25">
      <c r="B97" s="5" t="s">
        <v>103</v>
      </c>
      <c r="C97" s="5" t="s">
        <v>104</v>
      </c>
      <c r="D97" s="5" t="s">
        <v>1624</v>
      </c>
      <c r="E97" s="5" t="s">
        <v>105</v>
      </c>
      <c r="F97" s="5" t="s">
        <v>106</v>
      </c>
      <c r="G97" s="5" t="s">
        <v>107</v>
      </c>
      <c r="H97" s="5" t="s">
        <v>108</v>
      </c>
      <c r="I97" s="6" t="s">
        <v>1</v>
      </c>
    </row>
    <row r="98" spans="1:9" x14ac:dyDescent="0.25">
      <c r="A98" s="7">
        <v>1</v>
      </c>
      <c r="B98" s="8" t="str">
        <f t="array" ref="B98">IFERROR(
 INDEX(Master!C$2:C$272,
  SMALL(
   IF(EXACT(Master!$M$2:$M$272,Rosters!$A$96),
    ROW(Master!C$2:C$272)-ROW(Master!C$2)+1
    ),
   ROWS(Master!C$2:'Master'!C2)
  )
 ),"")</f>
        <v>Avery</v>
      </c>
      <c r="C98" s="8" t="str">
        <f t="array" ref="C98">IFERROR(
INDEX(Master!D$2:D$272,
SMALL(
IF(EXACT(Master!$M$2:$M$272,Rosters!$A$96),
ROW(Master!D$2:D$272)-ROW(Master!D$2)+1
),
ROWS(Master!D$2:'Master'!D2)
)
),"")</f>
        <v>Abshear</v>
      </c>
      <c r="D98" s="7">
        <f t="array" aca="1" ref="D98" ca="1">IFERROR(
 INDEX(Master!O$2:O$272,
  SMALL(
   IF(EXACT(Master!$M$2:$M$272,Rosters!$A$96),
    ROW(Master!O$2:O$272)-ROW(Master!O$2)+1
    ),
   ROWS(Master!O$2:'Master'!O2)
  )
 ),"")</f>
        <v>13</v>
      </c>
      <c r="E98" s="8" t="str">
        <f t="array" ref="E98">IFERROR(
 INDEX(Master!A$2:A$272,
  SMALL(
   IF(EXACT(Master!$M$2:$M$272,Rosters!$A$96),
    ROW(Master!A$2:A$272)-ROW(Master!A$2)+1
    ),
   ROWS(Master!A$2:'Master'!A2)
  )
 ),"")</f>
        <v>Amy</v>
      </c>
      <c r="F98" s="8" t="str">
        <f t="array" ref="F98">IFERROR(
 INDEX(Master!B$2:B$272,
  SMALL(
   IF(EXACT(Master!$M$2:$M$272,Rosters!$A$96),
    ROW(Master!B$2:B$272)-ROW(Master!B$2)+1
    ),
   ROWS(Master!B$2:'Master'!B2)
  )
 ),"")</f>
        <v>Abshear</v>
      </c>
      <c r="G98" s="7">
        <f t="array" ref="G98">IFERROR(
 INDEX(Master!K$2:K$272,
  SMALL(
   IF(EXACT(Master!$M$2:$M$272,Rosters!$A$96),
    ROW(Master!K$2:K$272)-ROW(Master!K$2)+1
    ),
   ROWS(Master!K$2:'Master'!K2)
  )
 ),"")</f>
        <v>937</v>
      </c>
      <c r="H98" s="7" t="str">
        <f t="array" ref="H98">IFERROR(
 INDEX(Master!L$2:L$272,
  SMALL(
   IF(EXACT(Master!$M$2:$M$272,Rosters!$A$96),
    ROW(Master!L$2:L$272)-ROW(Master!L$2)+1
    ),
   ROWS(Master!L$2:'Master'!L2)
  )
 ),"")</f>
        <v>271-7842</v>
      </c>
      <c r="I98" s="8" t="str">
        <f t="array" ref="I98">IFERROR(
 INDEX(Master!Q$2:Q$272,
  SMALL(
   IF(EXACT(Master!$M$2:$M$272,Rosters!$A$96),
    ROW(Master!Q$2:Q$272)-ROW(Master!Q$2)+1
    ),
   ROWS(Master!Q$2:'Master'!Q2)
  )
 ),"")</f>
        <v>rachelabshear@gmail.com</v>
      </c>
    </row>
    <row r="99" spans="1:9" x14ac:dyDescent="0.25">
      <c r="A99" s="7">
        <v>2</v>
      </c>
      <c r="B99" s="8" t="str">
        <f t="array" ref="B99">IFERROR(
 INDEX(Master!C$2:C$272,
  SMALL(
   IF(EXACT(Master!$M$2:$M$272,Rosters!$A$96),
    ROW(Master!C$2:C$272)-ROW(Master!C$2)+1
    ),
   ROWS(Master!C$2:'Master'!C3)
  )
 ),"")</f>
        <v>Jackson</v>
      </c>
      <c r="C99" s="8" t="str">
        <f t="array" ref="C99">IFERROR(
INDEX(Master!D$2:D$272,
SMALL(
IF(EXACT(Master!$M$2:$M$272,Rosters!$A$96),
ROW(Master!D$2:D$272)-ROW(Master!D$2)+1
),
ROWS(Master!D$2:'Master'!D3)
)
),"")</f>
        <v>Abshear</v>
      </c>
      <c r="D99" s="7">
        <f t="array" aca="1" ref="D99" ca="1">IFERROR(
 INDEX(Master!O$2:O$272,
  SMALL(
   IF(EXACT(Master!$M$2:$M$272,Rosters!$A$96),
    ROW(Master!O$2:O$272)-ROW(Master!O$2)+1
    ),
   ROWS(Master!O$2:'Master'!O3)
  )
 ),"")</f>
        <v>12</v>
      </c>
      <c r="E99" s="8" t="str">
        <f t="array" ref="E99">IFERROR(
 INDEX(Master!A$2:A$272,
  SMALL(
   IF(EXACT(Master!$M$2:$M$272,Rosters!$A$96),
    ROW(Master!A$2:A$272)-ROW(Master!A$2)+1
    ),
   ROWS(Master!A$2:'Master'!A3)
  )
 ),"")</f>
        <v>Racheal</v>
      </c>
      <c r="F99" s="8" t="str">
        <f t="array" ref="F99">IFERROR(
 INDEX(Master!B$2:B$272,
  SMALL(
   IF(EXACT(Master!$M$2:$M$272,Rosters!$A$96),
    ROW(Master!B$2:B$272)-ROW(Master!B$2)+1
    ),
   ROWS(Master!B$2:'Master'!B3)
  )
 ),"")</f>
        <v>Abshear</v>
      </c>
      <c r="G99" s="7">
        <f t="array" ref="G99">IFERROR(
 INDEX(Master!K$2:K$272,
  SMALL(
   IF(EXACT(Master!$M$2:$M$272,Rosters!$A$96),
    ROW(Master!K$2:K$272)-ROW(Master!K$2)+1
    ),
   ROWS(Master!K$2:'Master'!K3)
  )
 ),"")</f>
        <v>937</v>
      </c>
      <c r="H99" s="7" t="str">
        <f t="array" ref="H99">IFERROR(
 INDEX(Master!L$2:L$272,
  SMALL(
   IF(EXACT(Master!$M$2:$M$272,Rosters!$A$96),
    ROW(Master!L$2:L$272)-ROW(Master!L$2)+1
    ),
   ROWS(Master!L$2:'Master'!L3)
  )
 ),"")</f>
        <v>271-7842</v>
      </c>
      <c r="I99" s="8" t="str">
        <f t="array" ref="I99">IFERROR(
 INDEX(Master!Q$2:Q$272,
  SMALL(
   IF(EXACT(Master!$M$2:$M$272,Rosters!$A$96),
    ROW(Master!Q$2:Q$272)-ROW(Master!Q$2)+1
    ),
   ROWS(Master!Q$2:'Master'!Q3)
  )
 ),"")</f>
        <v>rachelabshear@gmail.com</v>
      </c>
    </row>
    <row r="100" spans="1:9" x14ac:dyDescent="0.25">
      <c r="A100" s="7">
        <v>3</v>
      </c>
      <c r="B100" s="8" t="str">
        <f t="array" ref="B100">IFERROR(
 INDEX(Master!C$2:C$272,
  SMALL(
   IF(EXACT(Master!$M$2:$M$272,Rosters!$A$96),
    ROW(Master!C$2:C$272)-ROW(Master!C$2)+1
    ),
   ROWS(Master!C$2:'Master'!C4)
  )
 ),"")</f>
        <v>Ella</v>
      </c>
      <c r="C100" s="8" t="str">
        <f t="array" ref="C100">IFERROR(
INDEX(Master!D$2:D$272,
SMALL(
IF(EXACT(Master!$M$2:$M$272,Rosters!$A$96),
ROW(Master!D$2:D$272)-ROW(Master!D$2)+1
),
ROWS(Master!D$2:'Master'!D4)
)
),"")</f>
        <v>Gillette</v>
      </c>
      <c r="D100" s="7">
        <f t="array" aca="1" ref="D100" ca="1">IFERROR(
 INDEX(Master!O$2:O$272,
  SMALL(
   IF(EXACT(Master!$M$2:$M$272,Rosters!$A$96),
    ROW(Master!O$2:O$272)-ROW(Master!O$2)+1
    ),
   ROWS(Master!O$2:'Master'!O4)
  )
 ),"")</f>
        <v>14</v>
      </c>
      <c r="E100" s="8" t="str">
        <f t="array" ref="E100">IFERROR(
 INDEX(Master!A$2:A$272,
  SMALL(
   IF(EXACT(Master!$M$2:$M$272,Rosters!$A$96),
    ROW(Master!A$2:A$272)-ROW(Master!A$2)+1
    ),
   ROWS(Master!A$2:'Master'!A4)
  )
 ),"")</f>
        <v>Margaret/Steve</v>
      </c>
      <c r="F100" s="8" t="str">
        <f t="array" ref="F100">IFERROR(
 INDEX(Master!B$2:B$272,
  SMALL(
   IF(EXACT(Master!$M$2:$M$272,Rosters!$A$96),
    ROW(Master!B$2:B$272)-ROW(Master!B$2)+1
    ),
   ROWS(Master!B$2:'Master'!B4)
  )
 ),"")</f>
        <v>Gillette</v>
      </c>
      <c r="G100" s="7">
        <f t="array" ref="G100">IFERROR(
 INDEX(Master!K$2:K$272,
  SMALL(
   IF(EXACT(Master!$M$2:$M$272,Rosters!$A$96),
    ROW(Master!K$2:K$272)-ROW(Master!K$2)+1
    ),
   ROWS(Master!K$2:'Master'!K4)
  )
 ),"")</f>
        <v>937</v>
      </c>
      <c r="H100" s="7" t="str">
        <f t="array" ref="H100">IFERROR(
 INDEX(Master!L$2:L$272,
  SMALL(
   IF(EXACT(Master!$M$2:$M$272,Rosters!$A$96),
    ROW(Master!L$2:L$272)-ROW(Master!L$2)+1
    ),
   ROWS(Master!L$2:'Master'!L4)
  )
 ),"")</f>
        <v>886-6923</v>
      </c>
      <c r="I100" s="8" t="str">
        <f t="array" ref="I100">IFERROR(
 INDEX(Master!Q$2:Q$272,
  SMALL(
   IF(EXACT(Master!$M$2:$M$272,Rosters!$A$96),
    ROW(Master!Q$2:Q$272)-ROW(Master!Q$2)+1
    ),
   ROWS(Master!Q$2:'Master'!Q4)
  )
 ),"")</f>
        <v>margaret.gillette@gmail.com</v>
      </c>
    </row>
    <row r="101" spans="1:9" x14ac:dyDescent="0.25">
      <c r="A101" s="7">
        <v>4</v>
      </c>
      <c r="B101" s="8" t="str">
        <f t="array" ref="B101">IFERROR(
 INDEX(Master!C$2:C$272,
  SMALL(
   IF(EXACT(Master!$M$2:$M$272,Rosters!$A$96),
    ROW(Master!C$2:C$272)-ROW(Master!C$2)+1
    ),
   ROWS(Master!C$2:'Master'!C5)
  )
 ),"")</f>
        <v>Nicolas</v>
      </c>
      <c r="C101" s="8" t="str">
        <f t="array" ref="C101">IFERROR(
INDEX(Master!D$2:D$272,
SMALL(
IF(EXACT(Master!$M$2:$M$272,Rosters!$A$96),
ROW(Master!D$2:D$272)-ROW(Master!D$2)+1
),
ROWS(Master!D$2:'Master'!D5)
)
),"")</f>
        <v>Heyne</v>
      </c>
      <c r="D101" s="7">
        <f t="array" aca="1" ref="D101" ca="1">IFERROR(
 INDEX(Master!O$2:O$272,
  SMALL(
   IF(EXACT(Master!$M$2:$M$272,Rosters!$A$96),
    ROW(Master!O$2:O$272)-ROW(Master!O$2)+1
    ),
   ROWS(Master!O$2:'Master'!O5)
  )
 ),"")</f>
        <v>14</v>
      </c>
      <c r="E101" s="8" t="str">
        <f t="array" ref="E101">IFERROR(
 INDEX(Master!A$2:A$272,
  SMALL(
   IF(EXACT(Master!$M$2:$M$272,Rosters!$A$96),
    ROW(Master!A$2:A$272)-ROW(Master!A$2)+1
    ),
   ROWS(Master!A$2:'Master'!A5)
  )
 ),"")</f>
        <v>Dean/Mindy</v>
      </c>
      <c r="F101" s="8" t="str">
        <f t="array" ref="F101">IFERROR(
 INDEX(Master!B$2:B$272,
  SMALL(
   IF(EXACT(Master!$M$2:$M$272,Rosters!$A$96),
    ROW(Master!B$2:B$272)-ROW(Master!B$2)+1
    ),
   ROWS(Master!B$2:'Master'!B5)
  )
 ),"")</f>
        <v>Heyne</v>
      </c>
      <c r="G101" s="7">
        <f t="array" ref="G101">IFERROR(
 INDEX(Master!K$2:K$272,
  SMALL(
   IF(EXACT(Master!$M$2:$M$272,Rosters!$A$96),
    ROW(Master!K$2:K$272)-ROW(Master!K$2)+1
    ),
   ROWS(Master!K$2:'Master'!K5)
  )
 ),"")</f>
        <v>937</v>
      </c>
      <c r="H101" s="7" t="str">
        <f t="array" ref="H101">IFERROR(
 INDEX(Master!L$2:L$272,
  SMALL(
   IF(EXACT(Master!$M$2:$M$272,Rosters!$A$96),
    ROW(Master!L$2:L$272)-ROW(Master!L$2)+1
    ),
   ROWS(Master!L$2:'Master'!L5)
  )
 ),"")</f>
        <v>436-1521</v>
      </c>
      <c r="I101" s="8" t="str">
        <f t="array" ref="I101">IFERROR(
 INDEX(Master!Q$2:Q$272,
  SMALL(
   IF(EXACT(Master!$M$2:$M$272,Rosters!$A$96),
    ROW(Master!Q$2:Q$272)-ROW(Master!Q$2)+1
    ),
   ROWS(Master!Q$2:'Master'!Q5)
  )
 ),"")</f>
        <v>msheyne@gmail.com</v>
      </c>
    </row>
    <row r="102" spans="1:9" x14ac:dyDescent="0.25">
      <c r="A102" s="7">
        <v>5</v>
      </c>
      <c r="B102" s="8" t="str">
        <f t="array" ref="B102">IFERROR(
 INDEX(Master!C$2:C$272,
  SMALL(
   IF(EXACT(Master!$M$2:$M$272,Rosters!$A$96),
    ROW(Master!C$2:C$272)-ROW(Master!C$2)+1
    ),
   ROWS(Master!C$2:'Master'!C6)
  )
 ),"")</f>
        <v>Kenley</v>
      </c>
      <c r="C102" s="8" t="str">
        <f t="array" ref="C102">IFERROR(
INDEX(Master!D$2:D$272,
SMALL(
IF(EXACT(Master!$M$2:$M$272,Rosters!$A$96),
ROW(Master!D$2:D$272)-ROW(Master!D$2)+1
),
ROWS(Master!D$2:'Master'!D6)
)
),"")</f>
        <v>Holtz</v>
      </c>
      <c r="D102" s="7">
        <f t="array" aca="1" ref="D102" ca="1">IFERROR(
 INDEX(Master!O$2:O$272,
  SMALL(
   IF(EXACT(Master!$M$2:$M$272,Rosters!$A$96),
    ROW(Master!O$2:O$272)-ROW(Master!O$2)+1
    ),
   ROWS(Master!O$2:'Master'!O6)
  )
 ),"")</f>
        <v>11</v>
      </c>
      <c r="E102" s="8" t="str">
        <f t="array" ref="E102">IFERROR(
 INDEX(Master!A$2:A$272,
  SMALL(
   IF(EXACT(Master!$M$2:$M$272,Rosters!$A$96),
    ROW(Master!A$2:A$272)-ROW(Master!A$2)+1
    ),
   ROWS(Master!A$2:'Master'!A6)
  )
 ),"")</f>
        <v>Christopher</v>
      </c>
      <c r="F102" s="8" t="str">
        <f t="array" ref="F102">IFERROR(
 INDEX(Master!B$2:B$272,
  SMALL(
   IF(EXACT(Master!$M$2:$M$272,Rosters!$A$96),
    ROW(Master!B$2:B$272)-ROW(Master!B$2)+1
    ),
   ROWS(Master!B$2:'Master'!B6)
  )
 ),"")</f>
        <v>Holtz</v>
      </c>
      <c r="G102" s="7">
        <f t="array" ref="G102">IFERROR(
 INDEX(Master!K$2:K$272,
  SMALL(
   IF(EXACT(Master!$M$2:$M$272,Rosters!$A$96),
    ROW(Master!K$2:K$272)-ROW(Master!K$2)+1
    ),
   ROWS(Master!K$2:'Master'!K6)
  )
 ),"")</f>
        <v>937</v>
      </c>
      <c r="H102" s="7" t="str">
        <f t="array" ref="H102">IFERROR(
 INDEX(Master!L$2:L$272,
  SMALL(
   IF(EXACT(Master!$M$2:$M$272,Rosters!$A$96),
    ROW(Master!L$2:L$272)-ROW(Master!L$2)+1
    ),
   ROWS(Master!L$2:'Master'!L6)
  )
 ),"")</f>
        <v>266-3264</v>
      </c>
      <c r="I102" s="8" t="str">
        <f t="array" ref="I102">IFERROR(
 INDEX(Master!Q$2:Q$272,
  SMALL(
   IF(EXACT(Master!$M$2:$M$272,Rosters!$A$96),
    ROW(Master!Q$2:Q$272)-ROW(Master!Q$2)+1
    ),
   ROWS(Master!Q$2:'Master'!Q6)
  )
 ),"")</f>
        <v>holtzy33@att.net</v>
      </c>
    </row>
    <row r="103" spans="1:9" x14ac:dyDescent="0.25">
      <c r="A103" s="7">
        <v>6</v>
      </c>
      <c r="B103" s="8" t="str">
        <f t="array" ref="B103">IFERROR(
 INDEX(Master!C$2:C$272,
  SMALL(
   IF(EXACT(Master!$M$2:$M$272,Rosters!$A$96),
    ROW(Master!C$2:C$272)-ROW(Master!C$2)+1
    ),
   ROWS(Master!C$2:'Master'!C7)
  )
 ),"")</f>
        <v>Livy</v>
      </c>
      <c r="C103" s="8" t="str">
        <f t="array" ref="C103">IFERROR(
INDEX(Master!D$2:D$272,
SMALL(
IF(EXACT(Master!$M$2:$M$272,Rosters!$A$96),
ROW(Master!D$2:D$272)-ROW(Master!D$2)+1
),
ROWS(Master!D$2:'Master'!D7)
)
),"")</f>
        <v>Lake</v>
      </c>
      <c r="D103" s="7">
        <f t="array" ref="D103">IFERROR(
 INDEX(Master!O$2:O$272,
  SMALL(
   IF(EXACT(Master!$M$2:$M$272,Rosters!$A$96),
    ROW(Master!O$2:O$272)-ROW(Master!O$2)+1
    ),
   ROWS(Master!O$2:'Master'!O7)
  )
 ),"")</f>
        <v>14</v>
      </c>
      <c r="E103" s="8" t="str">
        <f t="array" ref="E103">IFERROR(
 INDEX(Master!A$2:A$272,
  SMALL(
   IF(EXACT(Master!$M$2:$M$272,Rosters!$A$96),
    ROW(Master!A$2:A$272)-ROW(Master!A$2)+1
    ),
   ROWS(Master!A$2:'Master'!A7)
  )
 ),"")</f>
        <v>Jennifer</v>
      </c>
      <c r="F103" s="8" t="str">
        <f t="array" ref="F103">IFERROR(
 INDEX(Master!B$2:B$272,
  SMALL(
   IF(EXACT(Master!$M$2:$M$272,Rosters!$A$96),
    ROW(Master!B$2:B$272)-ROW(Master!B$2)+1
    ),
   ROWS(Master!B$2:'Master'!B7)
  )
 ),"")</f>
        <v>Lake</v>
      </c>
      <c r="G103" s="7">
        <f t="array" ref="G103">IFERROR(
 INDEX(Master!K$2:K$272,
  SMALL(
   IF(EXACT(Master!$M$2:$M$272,Rosters!$A$96),
    ROW(Master!K$2:K$272)-ROW(Master!K$2)+1
    ),
   ROWS(Master!K$2:'Master'!K7)
  )
 ),"")</f>
        <v>937</v>
      </c>
      <c r="H103" s="7" t="str">
        <f t="array" ref="H103">IFERROR(
 INDEX(Master!L$2:L$272,
  SMALL(
   IF(EXACT(Master!$M$2:$M$272,Rosters!$A$96),
    ROW(Master!L$2:L$272)-ROW(Master!L$2)+1
    ),
   ROWS(Master!L$2:'Master'!L7)
  )
 ),"")</f>
        <v>361-0413</v>
      </c>
      <c r="I103" s="8" t="str">
        <f t="array" ref="I103">IFERROR(
 INDEX(Master!Q$2:Q$272,
  SMALL(
   IF(EXACT(Master!$M$2:$M$272,Rosters!$A$96),
    ROW(Master!Q$2:Q$272)-ROW(Master!Q$2)+1
    ),
   ROWS(Master!Q$2:'Master'!Q7)
  )
 ),"")</f>
        <v>jbagby-lake@hotmail.com</v>
      </c>
    </row>
    <row r="104" spans="1:9" x14ac:dyDescent="0.25">
      <c r="A104" s="7">
        <v>7</v>
      </c>
      <c r="B104" s="8" t="str">
        <f t="array" ref="B104">IFERROR(
 INDEX(Master!C$2:C$272,
  SMALL(
   IF(EXACT(Master!$M$2:$M$272,Rosters!$A$96),
    ROW(Master!C$2:C$272)-ROW(Master!C$2)+1
    ),
   ROWS(Master!C$2:'Master'!C8)
  )
 ),"")</f>
        <v>Bodey</v>
      </c>
      <c r="C104" s="8" t="str">
        <f t="array" ref="C104">IFERROR(
INDEX(Master!D$2:D$272,
SMALL(
IF(EXACT(Master!$M$2:$M$272,Rosters!$A$96),
ROW(Master!D$2:D$272)-ROW(Master!D$2)+1
),
ROWS(Master!D$2:'Master'!D8)
)
),"")</f>
        <v>Maher</v>
      </c>
      <c r="D104" s="7">
        <f t="array" aca="1" ref="D104" ca="1">IFERROR(
 INDEX(Master!O$2:O$272,
  SMALL(
   IF(EXACT(Master!$M$2:$M$272,Rosters!$A$96),
    ROW(Master!O$2:O$272)-ROW(Master!O$2)+1
    ),
   ROWS(Master!O$2:'Master'!O8)
  )
 ),"")</f>
        <v>11</v>
      </c>
      <c r="E104" s="8" t="str">
        <f t="array" ref="E104">IFERROR(
 INDEX(Master!A$2:A$272,
  SMALL(
   IF(EXACT(Master!$M$2:$M$272,Rosters!$A$96),
    ROW(Master!A$2:A$272)-ROW(Master!A$2)+1
    ),
   ROWS(Master!A$2:'Master'!A8)
  )
 ),"")</f>
        <v>Stephanie</v>
      </c>
      <c r="F104" s="8" t="str">
        <f t="array" ref="F104">IFERROR(
 INDEX(Master!B$2:B$272,
  SMALL(
   IF(EXACT(Master!$M$2:$M$272,Rosters!$A$96),
    ROW(Master!B$2:B$272)-ROW(Master!B$2)+1
    ),
   ROWS(Master!B$2:'Master'!B8)
  )
 ),"")</f>
        <v>Maher</v>
      </c>
      <c r="G104" s="7">
        <f t="array" ref="G104">IFERROR(
 INDEX(Master!K$2:K$272,
  SMALL(
   IF(EXACT(Master!$M$2:$M$272,Rosters!$A$96),
    ROW(Master!K$2:K$272)-ROW(Master!K$2)+1
    ),
   ROWS(Master!K$2:'Master'!K8)
  )
 ),"")</f>
        <v>937</v>
      </c>
      <c r="H104" s="7" t="str">
        <f t="array" ref="H104">IFERROR(
 INDEX(Master!L$2:L$272,
  SMALL(
   IF(EXACT(Master!$M$2:$M$272,Rosters!$A$96),
    ROW(Master!L$2:L$272)-ROW(Master!L$2)+1
    ),
   ROWS(Master!L$2:'Master'!L8)
  )
 ),"")</f>
        <v>728-7581</v>
      </c>
      <c r="I104" s="8" t="str">
        <f t="array" ref="I104">IFERROR(
 INDEX(Master!Q$2:Q$272,
  SMALL(
   IF(EXACT(Master!$M$2:$M$272,Rosters!$A$96),
    ROW(Master!Q$2:Q$272)-ROW(Master!Q$2)+1
    ),
   ROWS(Master!Q$2:'Master'!Q8)
  )
 ),"")</f>
        <v>stephaniemaher90@gmail.com</v>
      </c>
    </row>
    <row r="105" spans="1:9" x14ac:dyDescent="0.25">
      <c r="A105" s="7">
        <v>8</v>
      </c>
      <c r="B105" s="8" t="str">
        <f t="array" ref="B105">IFERROR(
 INDEX(Master!C$2:C$272,
  SMALL(
   IF(EXACT(Master!$M$2:$M$272,Rosters!$A$96),
    ROW(Master!C$2:C$272)-ROW(Master!C$2)+1
    ),
   ROWS(Master!C$2:'Master'!C9)
  )
 ),"")</f>
        <v>Penelope</v>
      </c>
      <c r="C105" s="8" t="str">
        <f t="array" ref="C105">IFERROR(
INDEX(Master!D$2:D$272,
SMALL(
IF(EXACT(Master!$M$2:$M$272,Rosters!$A$96),
ROW(Master!D$2:D$272)-ROW(Master!D$2)+1
),
ROWS(Master!D$2:'Master'!D9)
)
),"")</f>
        <v>Mogollon-Faris</v>
      </c>
      <c r="D105" s="7">
        <f t="array" aca="1" ref="D105" ca="1">IFERROR(
 INDEX(Master!O$2:O$272,
  SMALL(
   IF(EXACT(Master!$M$2:$M$272,Rosters!$A$96),
    ROW(Master!O$2:O$272)-ROW(Master!O$2)+1
    ),
   ROWS(Master!O$2:'Master'!O9)
  )
 ),"")</f>
        <v>12</v>
      </c>
      <c r="E105" s="8" t="str">
        <f t="array" ref="E105">IFERROR(
 INDEX(Master!A$2:A$272,
  SMALL(
   IF(EXACT(Master!$M$2:$M$272,Rosters!$A$96),
    ROW(Master!A$2:A$272)-ROW(Master!A$2)+1
    ),
   ROWS(Master!A$2:'Master'!A9)
  )
 ),"")</f>
        <v>Pamela</v>
      </c>
      <c r="F105" s="8" t="str">
        <f t="array" ref="F105">IFERROR(
 INDEX(Master!B$2:B$272,
  SMALL(
   IF(EXACT(Master!$M$2:$M$272,Rosters!$A$96),
    ROW(Master!B$2:B$272)-ROW(Master!B$2)+1
    ),
   ROWS(Master!B$2:'Master'!B9)
  )
 ),"")</f>
        <v>Mogollon</v>
      </c>
      <c r="G105" s="7">
        <f t="array" ref="G105">IFERROR(
 INDEX(Master!K$2:K$272,
  SMALL(
   IF(EXACT(Master!$M$2:$M$272,Rosters!$A$96),
    ROW(Master!K$2:K$272)-ROW(Master!K$2)+1
    ),
   ROWS(Master!K$2:'Master'!K9)
  )
 ),"")</f>
        <v>937</v>
      </c>
      <c r="H105" s="7" t="str">
        <f t="array" ref="H105">IFERROR(
 INDEX(Master!L$2:L$272,
  SMALL(
   IF(EXACT(Master!$M$2:$M$272,Rosters!$A$96),
    ROW(Master!L$2:L$272)-ROW(Master!L$2)+1
    ),
   ROWS(Master!L$2:'Master'!L9)
  )
 ),"")</f>
        <v>361-0976</v>
      </c>
      <c r="I105" s="8" t="str">
        <f t="array" ref="I105">IFERROR(
 INDEX(Master!Q$2:Q$272,
  SMALL(
   IF(EXACT(Master!$M$2:$M$272,Rosters!$A$96),
    ROW(Master!Q$2:Q$272)-ROW(Master!Q$2)+1
    ),
   ROWS(Master!Q$2:'Master'!Q9)
  )
 ),"")</f>
        <v>mogollonollogom@hotmail.com</v>
      </c>
    </row>
    <row r="106" spans="1:9" x14ac:dyDescent="0.25">
      <c r="A106" s="7">
        <v>9</v>
      </c>
      <c r="B106" s="8" t="str">
        <f t="array" ref="B106">IFERROR(
 INDEX(Master!C$2:C$272,
  SMALL(
   IF(EXACT(Master!$M$2:$M$272,Rosters!$A$96),
    ROW(Master!C$2:C$272)-ROW(Master!C$2)+1
    ),
   ROWS(Master!C$2:'Master'!C10)
  )
 ),"")</f>
        <v>Mallory</v>
      </c>
      <c r="C106" s="8" t="str">
        <f t="array" ref="C106">IFERROR(
INDEX(Master!D$2:D$272,
SMALL(
IF(EXACT(Master!$M$2:$M$272,Rosters!$A$96),
ROW(Master!D$2:D$272)-ROW(Master!D$2)+1
),
ROWS(Master!D$2:'Master'!D10)
)
),"")</f>
        <v>O'Neill</v>
      </c>
      <c r="D106" s="7">
        <f t="array" aca="1" ref="D106" ca="1">IFERROR(
 INDEX(Master!O$2:O$272,
  SMALL(
   IF(EXACT(Master!$M$2:$M$272,Rosters!$A$96),
    ROW(Master!O$2:O$272)-ROW(Master!O$2)+1
    ),
   ROWS(Master!O$2:'Master'!O10)
  )
 ),"")</f>
        <v>13</v>
      </c>
      <c r="E106" s="8" t="str">
        <f t="array" ref="E106">IFERROR(
 INDEX(Master!A$2:A$272,
  SMALL(
   IF(EXACT(Master!$M$2:$M$272,Rosters!$A$96),
    ROW(Master!A$2:A$272)-ROW(Master!A$2)+1
    ),
   ROWS(Master!A$2:'Master'!A10)
  )
 ),"")</f>
        <v xml:space="preserve">Heather </v>
      </c>
      <c r="F106" s="8" t="str">
        <f t="array" ref="F106">IFERROR(
 INDEX(Master!B$2:B$272,
  SMALL(
   IF(EXACT(Master!$M$2:$M$272,Rosters!$A$96),
    ROW(Master!B$2:B$272)-ROW(Master!B$2)+1
    ),
   ROWS(Master!B$2:'Master'!B10)
  )
 ),"")</f>
        <v>O'Neill</v>
      </c>
      <c r="G106" s="7">
        <f t="array" ref="G106">IFERROR(
 INDEX(Master!K$2:K$272,
  SMALL(
   IF(EXACT(Master!$M$2:$M$272,Rosters!$A$96),
    ROW(Master!K$2:K$272)-ROW(Master!K$2)+1
    ),
   ROWS(Master!K$2:'Master'!K10)
  )
 ),"")</f>
        <v>937</v>
      </c>
      <c r="H106" s="7" t="str">
        <f t="array" ref="H106">IFERROR(
 INDEX(Master!L$2:L$272,
  SMALL(
   IF(EXACT(Master!$M$2:$M$272,Rosters!$A$96),
    ROW(Master!L$2:L$272)-ROW(Master!L$2)+1
    ),
   ROWS(Master!L$2:'Master'!L10)
  )
 ),"")</f>
        <v>750-0466</v>
      </c>
      <c r="I106" s="8" t="str">
        <f t="array" ref="I106">IFERROR(
 INDEX(Master!Q$2:Q$272,
  SMALL(
   IF(EXACT(Master!$M$2:$M$272,Rosters!$A$96),
    ROW(Master!Q$2:Q$272)-ROW(Master!Q$2)+1
    ),
   ROWS(Master!Q$2:'Master'!Q10)
  )
 ),"")</f>
        <v>honeill@cshco.com</v>
      </c>
    </row>
    <row r="107" spans="1:9" x14ac:dyDescent="0.25">
      <c r="A107" s="7">
        <v>10</v>
      </c>
      <c r="B107" s="8" t="str">
        <f t="array" ref="B107">IFERROR(
 INDEX(Master!C$2:C$272,
  SMALL(
   IF(EXACT(Master!$M$2:$M$272,Rosters!$A$96),
    ROW(Master!C$2:C$272)-ROW(Master!C$2)+1
    ),
   ROWS(Master!C$2:'Master'!C11)
  )
 ),"")</f>
        <v>Lukas</v>
      </c>
      <c r="C107" s="8" t="str">
        <f t="array" ref="C107">IFERROR(
INDEX(Master!D$2:D$272,
SMALL(
IF(EXACT(Master!$M$2:$M$272,Rosters!$A$96),
ROW(Master!D$2:D$272)-ROW(Master!D$2)+1
),
ROWS(Master!D$2:'Master'!D11)
)
),"")</f>
        <v>Pickett</v>
      </c>
      <c r="D107" s="7">
        <f t="array" aca="1" ref="D107" ca="1">IFERROR(
 INDEX(Master!O$2:O$272,
  SMALL(
   IF(EXACT(Master!$M$2:$M$272,Rosters!$A$96),
    ROW(Master!O$2:O$272)-ROW(Master!O$2)+1
    ),
   ROWS(Master!O$2:'Master'!O11)
  )
 ),"")</f>
        <v>11</v>
      </c>
      <c r="E107" s="8" t="str">
        <f t="array" ref="E107">IFERROR(
 INDEX(Master!A$2:A$272,
  SMALL(
   IF(EXACT(Master!$M$2:$M$272,Rosters!$A$96),
    ROW(Master!A$2:A$272)-ROW(Master!A$2)+1
    ),
   ROWS(Master!A$2:'Master'!A11)
  )
 ),"")</f>
        <v>Angela</v>
      </c>
      <c r="F107" s="8" t="str">
        <f t="array" ref="F107">IFERROR(
 INDEX(Master!B$2:B$272,
  SMALL(
   IF(EXACT(Master!$M$2:$M$272,Rosters!$A$96),
    ROW(Master!B$2:B$272)-ROW(Master!B$2)+1
    ),
   ROWS(Master!B$2:'Master'!B11)
  )
 ),"")</f>
        <v>Pickett</v>
      </c>
      <c r="G107" s="7">
        <f t="array" ref="G107">IFERROR(
 INDEX(Master!K$2:K$272,
  SMALL(
   IF(EXACT(Master!$M$2:$M$272,Rosters!$A$96),
    ROW(Master!K$2:K$272)-ROW(Master!K$2)+1
    ),
   ROWS(Master!K$2:'Master'!K11)
  )
 ),"")</f>
        <v>937</v>
      </c>
      <c r="H107" s="7" t="str">
        <f t="array" ref="H107">IFERROR(
 INDEX(Master!L$2:L$272,
  SMALL(
   IF(EXACT(Master!$M$2:$M$272,Rosters!$A$96),
    ROW(Master!L$2:L$272)-ROW(Master!L$2)+1
    ),
   ROWS(Master!L$2:'Master'!L11)
  )
 ),"")</f>
        <v>433-7843</v>
      </c>
      <c r="I107" s="8" t="str">
        <f t="array" ref="I107">IFERROR(
 INDEX(Master!Q$2:Q$272,
  SMALL(
   IF(EXACT(Master!$M$2:$M$272,Rosters!$A$96),
    ROW(Master!Q$2:Q$272)-ROW(Master!Q$2)+1
    ),
   ROWS(Master!Q$2:'Master'!Q11)
  )
 ),"")</f>
        <v>angela.mikesell@gmail.com</v>
      </c>
    </row>
    <row r="108" spans="1:9" x14ac:dyDescent="0.25">
      <c r="A108" s="7">
        <v>11</v>
      </c>
      <c r="B108" s="8" t="str">
        <f t="array" ref="B108">IFERROR(
 INDEX(Master!C$2:C$272,
  SMALL(
   IF(EXACT(Master!$M$2:$M$272,Rosters!$A$96),
    ROW(Master!C$2:C$272)-ROW(Master!C$2)+1
    ),
   ROWS(Master!C$2:'Master'!C12)
  )
 ),"")</f>
        <v>Keira</v>
      </c>
      <c r="C108" s="8" t="str">
        <f t="array" ref="C108">IFERROR(
INDEX(Master!D$2:D$272,
SMALL(
IF(EXACT(Master!$M$2:$M$272,Rosters!$A$96),
ROW(Master!D$2:D$272)-ROW(Master!D$2)+1
),
ROWS(Master!D$2:'Master'!D12)
)
),"")</f>
        <v>Richison</v>
      </c>
      <c r="D108" s="7">
        <f t="array" aca="1" ref="D108" ca="1">IFERROR(
 INDEX(Master!O$2:O$272,
  SMALL(
   IF(EXACT(Master!$M$2:$M$272,Rosters!$A$96),
    ROW(Master!O$2:O$272)-ROW(Master!O$2)+1
    ),
   ROWS(Master!O$2:'Master'!O12)
  )
 ),"")</f>
        <v>13</v>
      </c>
      <c r="E108" s="8" t="str">
        <f t="array" ref="E108">IFERROR(
 INDEX(Master!A$2:A$272,
  SMALL(
   IF(EXACT(Master!$M$2:$M$272,Rosters!$A$96),
    ROW(Master!A$2:A$272)-ROW(Master!A$2)+1
    ),
   ROWS(Master!A$2:'Master'!A12)
  )
 ),"")</f>
        <v>Audrey/Nathan</v>
      </c>
      <c r="F108" s="8" t="str">
        <f t="array" ref="F108">IFERROR(
 INDEX(Master!B$2:B$272,
  SMALL(
   IF(EXACT(Master!$M$2:$M$272,Rosters!$A$96),
    ROW(Master!B$2:B$272)-ROW(Master!B$2)+1
    ),
   ROWS(Master!B$2:'Master'!B12)
  )
 ),"")</f>
        <v>Richison</v>
      </c>
      <c r="G108" s="7">
        <f t="array" ref="G108">IFERROR(
 INDEX(Master!K$2:K$272,
  SMALL(
   IF(EXACT(Master!$M$2:$M$272,Rosters!$A$96),
    ROW(Master!K$2:K$272)-ROW(Master!K$2)+1
    ),
   ROWS(Master!K$2:'Master'!K12)
  )
 ),"")</f>
        <v>937</v>
      </c>
      <c r="H108" s="7" t="str">
        <f t="array" ref="H108">IFERROR(
 INDEX(Master!L$2:L$272,
  SMALL(
   IF(EXACT(Master!$M$2:$M$272,Rosters!$A$96),
    ROW(Master!L$2:L$272)-ROW(Master!L$2)+1
    ),
   ROWS(Master!L$2:'Master'!L12)
  )
 ),"")</f>
        <v>232-8503</v>
      </c>
      <c r="I108" s="8" t="str">
        <f t="array" ref="I108">IFERROR(
 INDEX(Master!Q$2:Q$272,
  SMALL(
   IF(EXACT(Master!$M$2:$M$272,Rosters!$A$96),
    ROW(Master!Q$2:Q$272)-ROW(Master!Q$2)+1
    ),
   ROWS(Master!Q$2:'Master'!Q12)
  )
 ),"")</f>
        <v>aarichison23@aol.com</v>
      </c>
    </row>
    <row r="109" spans="1:9" x14ac:dyDescent="0.25">
      <c r="A109" s="7">
        <v>12</v>
      </c>
      <c r="B109" s="8" t="str">
        <f t="array" ref="B109">IFERROR(
 INDEX(Master!C$2:C$272,
  SMALL(
   IF(EXACT(Master!$M$2:$M$272,Rosters!$A$96),
    ROW(Master!C$2:C$272)-ROW(Master!C$2)+1
    ),
   ROWS(Master!C$2:'Master'!C13)
  )
 ),"")</f>
        <v>Ava</v>
      </c>
      <c r="C109" s="8" t="str">
        <f t="array" ref="C109">IFERROR(
INDEX(Master!D$2:D$272,
SMALL(
IF(EXACT(Master!$M$2:$M$272,Rosters!$A$96),
ROW(Master!D$2:D$272)-ROW(Master!D$2)+1
),
ROWS(Master!D$2:'Master'!D13)
)
),"")</f>
        <v>Smith</v>
      </c>
      <c r="D109" s="7">
        <f t="array" aca="1" ref="D109" ca="1">IFERROR(
 INDEX(Master!O$2:O$272,
  SMALL(
   IF(EXACT(Master!$M$2:$M$272,Rosters!$A$96),
    ROW(Master!O$2:O$272)-ROW(Master!O$2)+1
    ),
   ROWS(Master!O$2:'Master'!O13)
  )
 ),"")</f>
        <v>13</v>
      </c>
      <c r="E109" s="8" t="str">
        <f t="array" ref="E109">IFERROR(
 INDEX(Master!A$2:A$272,
  SMALL(
   IF(EXACT(Master!$M$2:$M$272,Rosters!$A$96),
    ROW(Master!A$2:A$272)-ROW(Master!A$2)+1
    ),
   ROWS(Master!A$2:'Master'!A13)
  )
 ),"")</f>
        <v>Sheena/Aaron</v>
      </c>
      <c r="F109" s="8" t="str">
        <f t="array" ref="F109">IFERROR(
 INDEX(Master!B$2:B$272,
  SMALL(
   IF(EXACT(Master!$M$2:$M$272,Rosters!$A$96),
    ROW(Master!B$2:B$272)-ROW(Master!B$2)+1
    ),
   ROWS(Master!B$2:'Master'!B13)
  )
 ),"")</f>
        <v>Smith</v>
      </c>
      <c r="G109" s="7">
        <f t="array" ref="G109">IFERROR(
 INDEX(Master!K$2:K$272,
  SMALL(
   IF(EXACT(Master!$M$2:$M$272,Rosters!$A$96),
    ROW(Master!K$2:K$272)-ROW(Master!K$2)+1
    ),
   ROWS(Master!K$2:'Master'!K13)
  )
 ),"")</f>
        <v>937</v>
      </c>
      <c r="H109" s="7" t="str">
        <f t="array" ref="H109">IFERROR(
 INDEX(Master!L$2:L$272,
  SMALL(
   IF(EXACT(Master!$M$2:$M$272,Rosters!$A$96),
    ROW(Master!L$2:L$272)-ROW(Master!L$2)+1
    ),
   ROWS(Master!L$2:'Master'!L13)
  )
 ),"")</f>
        <v>308-8204</v>
      </c>
      <c r="I109" s="8" t="str">
        <f t="array" ref="I109">IFERROR(
 INDEX(Master!Q$2:Q$272,
  SMALL(
   IF(EXACT(Master!$M$2:$M$272,Rosters!$A$96),
    ROW(Master!Q$2:Q$272)-ROW(Master!Q$2)+1
    ),
   ROWS(Master!Q$2:'Master'!Q13)
  )
 ),"")</f>
        <v>sheena.smith@ketteringhealth.org</v>
      </c>
    </row>
    <row r="110" spans="1:9" x14ac:dyDescent="0.25">
      <c r="A110" s="7">
        <v>13</v>
      </c>
      <c r="B110" s="8" t="str">
        <f t="array" ref="B110">IFERROR(
 INDEX(Master!C$2:C$272,
  SMALL(
   IF(EXACT(Master!$M$2:$M$272,Rosters!$A$96),
    ROW(Master!C$2:C$272)-ROW(Master!C$2)+1
    ),
   ROWS(Master!C$2:'Master'!C14)
  )
 ),"")</f>
        <v>Lyra</v>
      </c>
      <c r="C110" s="8" t="str">
        <f t="array" ref="C110">IFERROR(
INDEX(Master!D$2:D$272,
SMALL(
IF(EXACT(Master!$M$2:$M$272,Rosters!$A$96),
ROW(Master!D$2:D$272)-ROW(Master!D$2)+1
),
ROWS(Master!D$2:'Master'!D14)
)
),"")</f>
        <v>Vinande</v>
      </c>
      <c r="D110" s="7">
        <f t="array" aca="1" ref="D110" ca="1">IFERROR(
 INDEX(Master!O$2:O$272,
  SMALL(
   IF(EXACT(Master!$M$2:$M$272,Rosters!$A$96),
    ROW(Master!O$2:O$272)-ROW(Master!O$2)+1
    ),
   ROWS(Master!O$2:'Master'!O14)
  )
 ),"")</f>
        <v>11</v>
      </c>
      <c r="E110" s="8" t="str">
        <f t="array" ref="E110">IFERROR(
 INDEX(Master!A$2:A$272,
  SMALL(
   IF(EXACT(Master!$M$2:$M$272,Rosters!$A$96),
    ROW(Master!A$2:A$272)-ROW(Master!A$2)+1
    ),
   ROWS(Master!A$2:'Master'!A14)
  )
 ),"")</f>
        <v>Megan</v>
      </c>
      <c r="F110" s="8" t="str">
        <f t="array" ref="F110">IFERROR(
 INDEX(Master!B$2:B$272,
  SMALL(
   IF(EXACT(Master!$M$2:$M$272,Rosters!$A$96),
    ROW(Master!B$2:B$272)-ROW(Master!B$2)+1
    ),
   ROWS(Master!B$2:'Master'!B14)
  )
 ),"")</f>
        <v>Espenshade Vinande</v>
      </c>
      <c r="G110" s="7">
        <f t="array" ref="G110">IFERROR(
 INDEX(Master!K$2:K$272,
  SMALL(
   IF(EXACT(Master!$M$2:$M$272,Rosters!$A$96),
    ROW(Master!K$2:K$272)-ROW(Master!K$2)+1
    ),
   ROWS(Master!K$2:'Master'!K14)
  )
 ),"")</f>
        <v>303</v>
      </c>
      <c r="H110" s="7" t="str">
        <f t="array" ref="H110">IFERROR(
 INDEX(Master!L$2:L$272,
  SMALL(
   IF(EXACT(Master!$M$2:$M$272,Rosters!$A$96),
    ROW(Master!L$2:L$272)-ROW(Master!L$2)+1
    ),
   ROWS(Master!L$2:'Master'!L14)
  )
 ),"")</f>
        <v>241-9058</v>
      </c>
      <c r="I110" s="8" t="str">
        <f t="array" ref="I110">IFERROR(
 INDEX(Master!Q$2:Q$272,
  SMALL(
   IF(EXACT(Master!$M$2:$M$272,Rosters!$A$96),
    ROW(Master!Q$2:Q$272)-ROW(Master!Q$2)+1
    ),
   ROWS(Master!Q$2:'Master'!Q14)
  )
 ),"")</f>
        <v>megz1176@hotmail.com</v>
      </c>
    </row>
    <row r="111" spans="1:9" x14ac:dyDescent="0.25">
      <c r="A111" s="7">
        <v>14</v>
      </c>
      <c r="B111" s="8" t="str">
        <f t="array" ref="B111">IFERROR(
 INDEX(Master!C$2:C$272,
  SMALL(
   IF(EXACT(Master!$M$2:$M$272,Rosters!$A$96),
    ROW(Master!C$2:C$272)-ROW(Master!C$2)+1
    ),
   ROWS(Master!C$2:'Master'!C15)
  )
 ),"")</f>
        <v>Gigi</v>
      </c>
      <c r="C111" s="8" t="str">
        <f t="array" ref="C111">IFERROR(
INDEX(Master!D$2:D$272,
SMALL(
IF(EXACT(Master!$M$2:$M$272,Rosters!$A$96),
ROW(Master!D$2:D$272)-ROW(Master!D$2)+1
),
ROWS(Master!D$2:'Master'!D15)
)
),"")</f>
        <v xml:space="preserve">West </v>
      </c>
      <c r="D111" s="7">
        <f t="array" aca="1" ref="D111" ca="1">IFERROR(
 INDEX(Master!O$2:O$272,
  SMALL(
   IF(EXACT(Master!$M$2:$M$272,Rosters!$A$96),
    ROW(Master!O$2:O$272)-ROW(Master!O$2)+1
    ),
   ROWS(Master!O$2:'Master'!O15)
  )
 ),"")</f>
        <v>13</v>
      </c>
      <c r="E111" s="8" t="str">
        <f t="array" ref="E111">IFERROR(
 INDEX(Master!A$2:A$272,
  SMALL(
   IF(EXACT(Master!$M$2:$M$272,Rosters!$A$96),
    ROW(Master!A$2:A$272)-ROW(Master!A$2)+1
    ),
   ROWS(Master!A$2:'Master'!A15)
  )
 ),"")</f>
        <v>Megan</v>
      </c>
      <c r="F111" s="8" t="str">
        <f t="array" ref="F111">IFERROR(
 INDEX(Master!B$2:B$272,
  SMALL(
   IF(EXACT(Master!$M$2:$M$272,Rosters!$A$96),
    ROW(Master!B$2:B$272)-ROW(Master!B$2)+1
    ),
   ROWS(Master!B$2:'Master'!B15)
  )
 ),"")</f>
        <v>Turner</v>
      </c>
      <c r="G111" s="7">
        <f t="array" ref="G111">IFERROR(
 INDEX(Master!K$2:K$272,
  SMALL(
   IF(EXACT(Master!$M$2:$M$272,Rosters!$A$96),
    ROW(Master!K$2:K$272)-ROW(Master!K$2)+1
    ),
   ROWS(Master!K$2:'Master'!K15)
  )
 ),"")</f>
        <v>937</v>
      </c>
      <c r="H111" s="7" t="str">
        <f t="array" ref="H111">IFERROR(
 INDEX(Master!L$2:L$272,
  SMALL(
   IF(EXACT(Master!$M$2:$M$272,Rosters!$A$96),
    ROW(Master!L$2:L$272)-ROW(Master!L$2)+1
    ),
   ROWS(Master!L$2:'Master'!L15)
  )
 ),"")</f>
        <v>286-8209</v>
      </c>
      <c r="I111" s="8" t="str">
        <f t="array" ref="I111">IFERROR(
 INDEX(Master!Q$2:Q$272,
  SMALL(
   IF(EXACT(Master!$M$2:$M$272,Rosters!$A$96),
    ROW(Master!Q$2:Q$272)-ROW(Master!Q$2)+1
    ),
   ROWS(Master!Q$2:'Master'!Q15)
  )
 ),"")</f>
        <v>urbangardeners1@aol.com</v>
      </c>
    </row>
    <row r="112" spans="1:9" x14ac:dyDescent="0.25">
      <c r="A112" s="7"/>
      <c r="B112" s="8" t="str">
        <f t="array" ref="B112">IFERROR(
 INDEX(Master!C$2:C$272,
  SMALL(
   IF(EXACT(Master!$M$2:$M$272,Rosters!$A$96),
    ROW(Master!C$2:C$272)-ROW(Master!C$2)+1
    ),
   ROWS(Master!C$2:'Master'!C16)
  )
 ),"")</f>
        <v/>
      </c>
      <c r="C112" s="8" t="str">
        <f t="array" ref="C112">IFERROR(
INDEX(Master!D$2:D$272,
SMALL(
IF(EXACT(Master!$M$2:$M$272,Rosters!$A$96),
ROW(Master!D$2:D$272)-ROW(Master!D$2)+1
),
ROWS(Master!D$2:'Master'!D16)
)
),"")</f>
        <v/>
      </c>
      <c r="D112" s="7" t="str">
        <f t="array" ref="D112">IFERROR(
 INDEX(Master!O$2:O$272,
  SMALL(
   IF(EXACT(Master!$M$2:$M$272,Rosters!$A$96),
    ROW(Master!O$2:O$272)-ROW(Master!O$2)+1
    ),
   ROWS(Master!O$2:'Master'!O16)
  )
 ),"")</f>
        <v/>
      </c>
      <c r="E112" s="8" t="str">
        <f t="array" ref="E112">IFERROR(
 INDEX(Master!A$2:A$272,
  SMALL(
   IF(EXACT(Master!$M$2:$M$272,Rosters!$A$96),
    ROW(Master!A$2:A$272)-ROW(Master!A$2)+1
    ),
   ROWS(Master!A$2:'Master'!A16)
  )
 ),"")</f>
        <v/>
      </c>
      <c r="F112" s="8" t="str">
        <f t="array" ref="F112">IFERROR(
 INDEX(Master!B$2:B$272,
  SMALL(
   IF(EXACT(Master!$M$2:$M$272,Rosters!$A$96),
    ROW(Master!B$2:B$272)-ROW(Master!B$2)+1
    ),
   ROWS(Master!B$2:'Master'!B16)
  )
 ),"")</f>
        <v/>
      </c>
      <c r="G112" s="7" t="str">
        <f t="array" ref="G112">IFERROR(
 INDEX(Master!K$2:K$272,
  SMALL(
   IF(EXACT(Master!$M$2:$M$272,Rosters!$A$96),
    ROW(Master!K$2:K$272)-ROW(Master!K$2)+1
    ),
   ROWS(Master!K$2:'Master'!K16)
  )
 ),"")</f>
        <v/>
      </c>
      <c r="H112" s="7" t="str">
        <f t="array" ref="H112">IFERROR(
 INDEX(Master!L$2:L$272,
  SMALL(
   IF(EXACT(Master!$M$2:$M$272,Rosters!$A$96),
    ROW(Master!L$2:L$272)-ROW(Master!L$2)+1
    ),
   ROWS(Master!L$2:'Master'!L16)
  )
 ),"")</f>
        <v/>
      </c>
      <c r="I112" s="8" t="str">
        <f t="array" ref="I112">IFERROR(
 INDEX(Master!Q$2:Q$272,
  SMALL(
   IF(EXACT(Master!$M$2:$M$272,Rosters!$A$96),
    ROW(Master!Q$2:Q$272)-ROW(Master!Q$2)+1
    ),
   ROWS(Master!Q$2:'Master'!Q16)
  )
 ),"")</f>
        <v/>
      </c>
    </row>
    <row r="113" spans="1:9" x14ac:dyDescent="0.25">
      <c r="A113" s="7"/>
      <c r="B113" s="8" t="str">
        <f t="array" ref="B113">IFERROR(
 INDEX(Master!C$2:C$272,
  SMALL(
   IF(EXACT(Master!$M$2:$M$272,Rosters!$A$96),
    ROW(Master!C$2:C$272)-ROW(Master!C$2)+1
    ),
   ROWS(Master!C$2:'Master'!C17)
  )
 ),"")</f>
        <v/>
      </c>
      <c r="C113" s="8" t="str">
        <f t="array" ref="C113">IFERROR(
INDEX(Master!D$2:D$272,
SMALL(
IF(EXACT(Master!$M$2:$M$272,Rosters!$A$96),
ROW(Master!D$2:D$272)-ROW(Master!D$2)+1
),
ROWS(Master!D$2:'Master'!D17)
)
),"")</f>
        <v/>
      </c>
      <c r="D113" s="7" t="str">
        <f t="array" ref="D113">IFERROR(
 INDEX(Master!O$2:O$272,
  SMALL(
   IF(EXACT(Master!$M$2:$M$272,Rosters!$A$96),
    ROW(Master!O$2:O$272)-ROW(Master!O$2)+1
    ),
   ROWS(Master!O$2:'Master'!O17)
  )
 ),"")</f>
        <v/>
      </c>
      <c r="E113" s="8" t="str">
        <f t="array" ref="E113">IFERROR(
 INDEX(Master!A$2:A$272,
  SMALL(
   IF(EXACT(Master!$M$2:$M$272,Rosters!$A$96),
    ROW(Master!A$2:A$272)-ROW(Master!A$2)+1
    ),
   ROWS(Master!A$2:'Master'!A17)
  )
 ),"")</f>
        <v/>
      </c>
      <c r="F113" s="8" t="str">
        <f t="array" ref="F113">IFERROR(
 INDEX(Master!B$2:B$272,
  SMALL(
   IF(EXACT(Master!$M$2:$M$272,Rosters!$A$96),
    ROW(Master!B$2:B$272)-ROW(Master!B$2)+1
    ),
   ROWS(Master!B$2:'Master'!B17)
  )
 ),"")</f>
        <v/>
      </c>
      <c r="G113" s="7" t="str">
        <f t="array" ref="G113">IFERROR(
 INDEX(Master!K$2:K$272,
  SMALL(
   IF(EXACT(Master!$M$2:$M$272,Rosters!$A$96),
    ROW(Master!K$2:K$272)-ROW(Master!K$2)+1
    ),
   ROWS(Master!K$2:'Master'!K17)
  )
 ),"")</f>
        <v/>
      </c>
      <c r="H113" s="7" t="str">
        <f t="array" ref="H113">IFERROR(
 INDEX(Master!L$2:L$272,
  SMALL(
   IF(EXACT(Master!$M$2:$M$272,Rosters!$A$96),
    ROW(Master!L$2:L$272)-ROW(Master!L$2)+1
    ),
   ROWS(Master!L$2:'Master'!L17)
  )
 ),"")</f>
        <v/>
      </c>
      <c r="I113" s="8" t="str">
        <f t="array" ref="I113">IFERROR(
 INDEX(Master!Q$2:Q$272,
  SMALL(
   IF(EXACT(Master!$M$2:$M$272,Rosters!$A$96),
    ROW(Master!Q$2:Q$272)-ROW(Master!Q$2)+1
    ),
   ROWS(Master!Q$2:'Master'!Q17)
  )
 ),"")</f>
        <v/>
      </c>
    </row>
    <row r="114" spans="1:9" x14ac:dyDescent="0.25">
      <c r="A114" s="7" t="str">
        <f t="shared" ref="A114:A127" si="2">IF($B114&lt;&gt;"",$A113+1,"")</f>
        <v/>
      </c>
      <c r="B114" s="8" t="str">
        <f t="array" ref="B114">IFERROR(
 INDEX(Master!C$2:C$272,
  SMALL(
   IF(EXACT(Master!$M$2:$M$272,Rosters!$A$96),
    ROW(Master!C$2:C$272)-ROW(Master!C$2)+1
    ),
   ROWS(Master!C$2:'Master'!C18)
  )
 ),"")</f>
        <v/>
      </c>
      <c r="C114" s="8" t="str">
        <f t="array" ref="C114">IFERROR(
INDEX(Master!D$2:D$272,
SMALL(
IF(EXACT(Master!$M$2:$M$272,Rosters!$A$96),
ROW(Master!D$2:D$272)-ROW(Master!D$2)+1
),
ROWS(Master!D$2:'Master'!D18)
)
),"")</f>
        <v/>
      </c>
      <c r="D114" s="7" t="str">
        <f t="array" ref="D114">IFERROR(
 INDEX(Master!O$2:O$272,
  SMALL(
   IF(EXACT(Master!$M$2:$M$272,Rosters!$A$96),
    ROW(Master!O$2:O$272)-ROW(Master!O$2)+1
    ),
   ROWS(Master!O$2:'Master'!O18)
  )
 ),"")</f>
        <v/>
      </c>
      <c r="E114" s="8" t="str">
        <f t="array" ref="E114">IFERROR(
 INDEX(Master!A$2:A$272,
  SMALL(
   IF(EXACT(Master!$M$2:$M$272,Rosters!$A$96),
    ROW(Master!A$2:A$272)-ROW(Master!A$2)+1
    ),
   ROWS(Master!A$2:'Master'!A18)
  )
 ),"")</f>
        <v/>
      </c>
      <c r="F114" s="8" t="str">
        <f t="array" ref="F114">IFERROR(
 INDEX(Master!B$2:B$272,
  SMALL(
   IF(EXACT(Master!$M$2:$M$272,Rosters!$A$96),
    ROW(Master!B$2:B$272)-ROW(Master!B$2)+1
    ),
   ROWS(Master!B$2:'Master'!B18)
  )
 ),"")</f>
        <v/>
      </c>
      <c r="G114" s="7" t="str">
        <f t="array" ref="G114">IFERROR(
 INDEX(Master!K$2:K$272,
  SMALL(
   IF(EXACT(Master!$M$2:$M$272,Rosters!$A$96),
    ROW(Master!K$2:K$272)-ROW(Master!K$2)+1
    ),
   ROWS(Master!K$2:'Master'!K18)
  )
 ),"")</f>
        <v/>
      </c>
      <c r="H114" s="7" t="str">
        <f t="array" ref="H114">IFERROR(
 INDEX(Master!L$2:L$272,
  SMALL(
   IF(EXACT(Master!$M$2:$M$272,Rosters!$A$96),
    ROW(Master!L$2:L$272)-ROW(Master!L$2)+1
    ),
   ROWS(Master!L$2:'Master'!L18)
  )
 ),"")</f>
        <v/>
      </c>
      <c r="I114" s="8" t="str">
        <f t="array" ref="I114">IFERROR(
 INDEX(Master!Q$2:Q$272,
  SMALL(
   IF(EXACT(Master!$M$2:$M$272,Rosters!$A$96),
    ROW(Master!Q$2:Q$272)-ROW(Master!Q$2)+1
    ),
   ROWS(Master!Q$2:'Master'!Q18)
  )
 ),"")</f>
        <v/>
      </c>
    </row>
    <row r="115" spans="1:9" x14ac:dyDescent="0.25">
      <c r="A115" s="7" t="str">
        <f t="shared" si="2"/>
        <v/>
      </c>
      <c r="B115" s="8" t="str">
        <f t="array" ref="B115">IFERROR(
 INDEX(Master!C$2:C$272,
  SMALL(
   IF(EXACT(Master!$M$2:$M$272,Rosters!$A$96),
    ROW(Master!C$2:C$272)-ROW(Master!C$2)+1
    ),
   ROWS(Master!C$2:'Master'!C19)
  )
 ),"")</f>
        <v/>
      </c>
      <c r="C115" s="8" t="str">
        <f t="array" ref="C115">IFERROR(
INDEX(Master!D$2:D$272,
SMALL(
IF(EXACT(Master!$M$2:$M$272,Rosters!$A$96),
ROW(Master!D$2:D$272)-ROW(Master!D$2)+1
),
ROWS(Master!D$2:'Master'!D19)
)
),"")</f>
        <v/>
      </c>
      <c r="D115" s="7" t="str">
        <f t="array" ref="D115">IFERROR(
 INDEX(Master!O$2:O$272,
  SMALL(
   IF(EXACT(Master!$M$2:$M$272,Rosters!$A$96),
    ROW(Master!O$2:O$272)-ROW(Master!O$2)+1
    ),
   ROWS(Master!O$2:'Master'!O19)
  )
 ),"")</f>
        <v/>
      </c>
      <c r="E115" s="8" t="str">
        <f t="array" ref="E115">IFERROR(
 INDEX(Master!A$2:A$272,
  SMALL(
   IF(EXACT(Master!$M$2:$M$272,Rosters!$A$96),
    ROW(Master!A$2:A$272)-ROW(Master!A$2)+1
    ),
   ROWS(Master!A$2:'Master'!A19)
  )
 ),"")</f>
        <v/>
      </c>
      <c r="F115" s="8" t="str">
        <f t="array" ref="F115">IFERROR(
 INDEX(Master!B$2:B$272,
  SMALL(
   IF(EXACT(Master!$M$2:$M$272,Rosters!$A$96),
    ROW(Master!B$2:B$272)-ROW(Master!B$2)+1
    ),
   ROWS(Master!B$2:'Master'!B19)
  )
 ),"")</f>
        <v/>
      </c>
      <c r="G115" s="7" t="str">
        <f t="array" ref="G115">IFERROR(
 INDEX(Master!K$2:K$272,
  SMALL(
   IF(EXACT(Master!$M$2:$M$272,Rosters!$A$96),
    ROW(Master!K$2:K$272)-ROW(Master!K$2)+1
    ),
   ROWS(Master!K$2:'Master'!K19)
  )
 ),"")</f>
        <v/>
      </c>
      <c r="H115" s="7" t="str">
        <f t="array" ref="H115">IFERROR(
 INDEX(Master!L$2:L$272,
  SMALL(
   IF(EXACT(Master!$M$2:$M$272,Rosters!$A$96),
    ROW(Master!L$2:L$272)-ROW(Master!L$2)+1
    ),
   ROWS(Master!L$2:'Master'!L19)
  )
 ),"")</f>
        <v/>
      </c>
      <c r="I115" s="8" t="str">
        <f t="array" ref="I115">IFERROR(
 INDEX(Master!Q$2:Q$272,
  SMALL(
   IF(EXACT(Master!$M$2:$M$272,Rosters!$A$96),
    ROW(Master!Q$2:Q$272)-ROW(Master!Q$2)+1
    ),
   ROWS(Master!Q$2:'Master'!Q19)
  )
 ),"")</f>
        <v/>
      </c>
    </row>
    <row r="116" spans="1:9" x14ac:dyDescent="0.25">
      <c r="A116" s="7" t="str">
        <f t="shared" si="2"/>
        <v/>
      </c>
      <c r="B116" s="8" t="str">
        <f t="array" ref="B116">IFERROR(
 INDEX(Master!C$2:C$272,
  SMALL(
   IF(EXACT(Master!$M$2:$M$272,Rosters!$A$96),
    ROW(Master!C$2:C$272)-ROW(Master!C$2)+1
    ),
   ROWS(Master!C$2:'Master'!C20)
  )
 ),"")</f>
        <v/>
      </c>
      <c r="C116" s="8" t="str">
        <f t="array" ref="C116">IFERROR(
INDEX(Master!D$2:D$272,
SMALL(
IF(EXACT(Master!$M$2:$M$272,Rosters!$A$96),
ROW(Master!D$2:D$272)-ROW(Master!D$2)+1
),
ROWS(Master!D$2:'Master'!D20)
)
),"")</f>
        <v/>
      </c>
      <c r="D116" s="7" t="str">
        <f t="array" ref="D116">IFERROR(
 INDEX(Master!O$2:O$272,
  SMALL(
   IF(EXACT(Master!$M$2:$M$272,Rosters!$A$96),
    ROW(Master!O$2:O$272)-ROW(Master!O$2)+1
    ),
   ROWS(Master!O$2:'Master'!O20)
  )
 ),"")</f>
        <v/>
      </c>
      <c r="E116" s="8" t="str">
        <f t="array" ref="E116">IFERROR(
 INDEX(Master!A$2:A$272,
  SMALL(
   IF(EXACT(Master!$M$2:$M$272,Rosters!$A$96),
    ROW(Master!A$2:A$272)-ROW(Master!A$2)+1
    ),
   ROWS(Master!A$2:'Master'!A20)
  )
 ),"")</f>
        <v/>
      </c>
      <c r="F116" s="8" t="str">
        <f t="array" ref="F116">IFERROR(
 INDEX(Master!B$2:B$272,
  SMALL(
   IF(EXACT(Master!$M$2:$M$272,Rosters!$A$96),
    ROW(Master!B$2:B$272)-ROW(Master!B$2)+1
    ),
   ROWS(Master!B$2:'Master'!B20)
  )
 ),"")</f>
        <v/>
      </c>
      <c r="G116" s="7" t="str">
        <f t="array" ref="G116">IFERROR(
 INDEX(Master!K$2:K$272,
  SMALL(
   IF(EXACT(Master!$M$2:$M$272,Rosters!$A$96),
    ROW(Master!K$2:K$272)-ROW(Master!K$2)+1
    ),
   ROWS(Master!K$2:'Master'!K20)
  )
 ),"")</f>
        <v/>
      </c>
      <c r="H116" s="7" t="str">
        <f t="array" ref="H116">IFERROR(
 INDEX(Master!L$2:L$272,
  SMALL(
   IF(EXACT(Master!$M$2:$M$272,Rosters!$A$96),
    ROW(Master!L$2:L$272)-ROW(Master!L$2)+1
    ),
   ROWS(Master!L$2:'Master'!L20)
  )
 ),"")</f>
        <v/>
      </c>
      <c r="I116" s="8" t="str">
        <f t="array" ref="I116">IFERROR(
 INDEX(Master!Q$2:Q$272,
  SMALL(
   IF(EXACT(Master!$M$2:$M$272,Rosters!$A$96),
    ROW(Master!Q$2:Q$272)-ROW(Master!Q$2)+1
    ),
   ROWS(Master!Q$2:'Master'!Q20)
  )
 ),"")</f>
        <v/>
      </c>
    </row>
    <row r="117" spans="1:9" x14ac:dyDescent="0.25">
      <c r="A117" s="7" t="str">
        <f t="shared" si="2"/>
        <v/>
      </c>
      <c r="B117" s="8" t="str">
        <f t="array" ref="B117">IFERROR(
 INDEX(Master!C$2:C$272,
  SMALL(
   IF(EXACT(Master!$M$2:$M$272,Rosters!$A$96),
    ROW(Master!C$2:C$272)-ROW(Master!C$2)+1
    ),
   ROWS(Master!C$2:'Master'!C21)
  )
 ),"")</f>
        <v/>
      </c>
      <c r="C117" s="8" t="str">
        <f t="array" ref="C117">IFERROR(
INDEX(Master!D$2:D$272,
SMALL(
IF(EXACT(Master!$M$2:$M$272,Rosters!$A$96),
ROW(Master!D$2:D$272)-ROW(Master!D$2)+1
),
ROWS(Master!D$2:'Master'!D21)
)
),"")</f>
        <v/>
      </c>
      <c r="D117" s="7" t="str">
        <f t="array" ref="D117">IFERROR(
 INDEX(Master!O$2:O$272,
  SMALL(
   IF(EXACT(Master!$M$2:$M$272,Rosters!$A$96),
    ROW(Master!O$2:O$272)-ROW(Master!O$2)+1
    ),
   ROWS(Master!O$2:'Master'!O21)
  )
 ),"")</f>
        <v/>
      </c>
      <c r="E117" s="8" t="str">
        <f t="array" ref="E117">IFERROR(
 INDEX(Master!A$2:A$272,
  SMALL(
   IF(EXACT(Master!$M$2:$M$272,Rosters!$A$96),
    ROW(Master!A$2:A$272)-ROW(Master!A$2)+1
    ),
   ROWS(Master!A$2:'Master'!A21)
  )
 ),"")</f>
        <v/>
      </c>
      <c r="F117" s="8" t="str">
        <f t="array" ref="F117">IFERROR(
 INDEX(Master!B$2:B$272,
  SMALL(
   IF(EXACT(Master!$M$2:$M$272,Rosters!$A$96),
    ROW(Master!B$2:B$272)-ROW(Master!B$2)+1
    ),
   ROWS(Master!B$2:'Master'!B21)
  )
 ),"")</f>
        <v/>
      </c>
      <c r="G117" s="7" t="str">
        <f t="array" ref="G117">IFERROR(
 INDEX(Master!K$2:K$272,
  SMALL(
   IF(EXACT(Master!$M$2:$M$272,Rosters!$A$96),
    ROW(Master!K$2:K$272)-ROW(Master!K$2)+1
    ),
   ROWS(Master!K$2:'Master'!K21)
  )
 ),"")</f>
        <v/>
      </c>
      <c r="H117" s="7" t="str">
        <f t="array" ref="H117">IFERROR(
 INDEX(Master!L$2:L$272,
  SMALL(
   IF(EXACT(Master!$M$2:$M$272,Rosters!$A$96),
    ROW(Master!L$2:L$272)-ROW(Master!L$2)+1
    ),
   ROWS(Master!L$2:'Master'!L21)
  )
 ),"")</f>
        <v/>
      </c>
      <c r="I117" s="8" t="str">
        <f t="array" ref="I117">IFERROR(
 INDEX(Master!Q$2:Q$272,
  SMALL(
   IF(EXACT(Master!$M$2:$M$272,Rosters!$A$96),
    ROW(Master!Q$2:Q$272)-ROW(Master!Q$2)+1
    ),
   ROWS(Master!Q$2:'Master'!Q21)
  )
 ),"")</f>
        <v/>
      </c>
    </row>
    <row r="118" spans="1:9" x14ac:dyDescent="0.25">
      <c r="A118" s="7" t="str">
        <f t="shared" si="2"/>
        <v/>
      </c>
      <c r="B118" s="8" t="str">
        <f t="array" ref="B118">IFERROR(
 INDEX(Master!C$2:C$272,
  SMALL(
   IF(EXACT(Master!$M$2:$M$272,Rosters!$A$96),
    ROW(Master!C$2:C$272)-ROW(Master!C$2)+1
    ),
   ROWS(Master!C$2:'Master'!C22)
  )
 ),"")</f>
        <v/>
      </c>
      <c r="C118" s="8" t="str">
        <f t="array" ref="C118">IFERROR(
INDEX(Master!D$2:D$272,
SMALL(
IF(EXACT(Master!$M$2:$M$272,Rosters!$A$96),
ROW(Master!D$2:D$272)-ROW(Master!D$2)+1
),
ROWS(Master!D$2:'Master'!D22)
)
),"")</f>
        <v/>
      </c>
      <c r="D118" s="7" t="str">
        <f t="array" ref="D118">IFERROR(
 INDEX(Master!O$2:O$272,
  SMALL(
   IF(EXACT(Master!$M$2:$M$272,Rosters!$A$96),
    ROW(Master!O$2:O$272)-ROW(Master!O$2)+1
    ),
   ROWS(Master!O$2:'Master'!O22)
  )
 ),"")</f>
        <v/>
      </c>
      <c r="E118" s="8" t="str">
        <f t="array" ref="E118">IFERROR(
 INDEX(Master!A$2:A$272,
  SMALL(
   IF(EXACT(Master!$M$2:$M$272,Rosters!$A$96),
    ROW(Master!A$2:A$272)-ROW(Master!A$2)+1
    ),
   ROWS(Master!A$2:'Master'!A22)
  )
 ),"")</f>
        <v/>
      </c>
      <c r="F118" s="8" t="str">
        <f t="array" ref="F118">IFERROR(
 INDEX(Master!B$2:B$272,
  SMALL(
   IF(EXACT(Master!$M$2:$M$272,Rosters!$A$96),
    ROW(Master!B$2:B$272)-ROW(Master!B$2)+1
    ),
   ROWS(Master!B$2:'Master'!B22)
  )
 ),"")</f>
        <v/>
      </c>
      <c r="G118" s="7" t="str">
        <f t="array" ref="G118">IFERROR(
 INDEX(Master!K$2:K$272,
  SMALL(
   IF(EXACT(Master!$M$2:$M$272,Rosters!$A$96),
    ROW(Master!K$2:K$272)-ROW(Master!K$2)+1
    ),
   ROWS(Master!K$2:'Master'!K22)
  )
 ),"")</f>
        <v/>
      </c>
      <c r="H118" s="7" t="str">
        <f t="array" ref="H118">IFERROR(
 INDEX(Master!L$2:L$272,
  SMALL(
   IF(EXACT(Master!$M$2:$M$272,Rosters!$A$96),
    ROW(Master!L$2:L$272)-ROW(Master!L$2)+1
    ),
   ROWS(Master!L$2:'Master'!L22)
  )
 ),"")</f>
        <v/>
      </c>
      <c r="I118" s="8" t="str">
        <f t="array" ref="I118">IFERROR(
 INDEX(Master!Q$2:Q$272,
  SMALL(
   IF(EXACT(Master!$M$2:$M$272,Rosters!$A$96),
    ROW(Master!Q$2:Q$272)-ROW(Master!Q$2)+1
    ),
   ROWS(Master!Q$2:'Master'!Q22)
  )
 ),"")</f>
        <v/>
      </c>
    </row>
    <row r="119" spans="1:9" x14ac:dyDescent="0.25">
      <c r="A119" s="7" t="str">
        <f t="shared" si="2"/>
        <v/>
      </c>
      <c r="B119" s="8" t="str">
        <f t="array" ref="B119">IFERROR(
 INDEX(Master!C$2:C$272,
  SMALL(
   IF(EXACT(Master!$M$2:$M$272,Rosters!$A$96),
    ROW(Master!C$2:C$272)-ROW(Master!C$2)+1
    ),
   ROWS(Master!C$2:'Master'!C23)
  )
 ),"")</f>
        <v/>
      </c>
      <c r="C119" s="8" t="str">
        <f t="array" ref="C119">IFERROR(
INDEX(Master!D$2:D$272,
SMALL(
IF(EXACT(Master!$M$2:$M$272,Rosters!$A$96),
ROW(Master!D$2:D$272)-ROW(Master!D$2)+1
),
ROWS(Master!D$2:'Master'!D23)
)
),"")</f>
        <v/>
      </c>
      <c r="D119" s="7" t="str">
        <f t="array" ref="D119">IFERROR(
 INDEX(Master!O$2:O$272,
  SMALL(
   IF(EXACT(Master!$M$2:$M$272,Rosters!$A$96),
    ROW(Master!O$2:O$272)-ROW(Master!O$2)+1
    ),
   ROWS(Master!O$2:'Master'!O23)
  )
 ),"")</f>
        <v/>
      </c>
      <c r="E119" s="8" t="str">
        <f t="array" ref="E119">IFERROR(
 INDEX(Master!A$2:A$272,
  SMALL(
   IF(EXACT(Master!$M$2:$M$272,Rosters!$A$96),
    ROW(Master!A$2:A$272)-ROW(Master!A$2)+1
    ),
   ROWS(Master!A$2:'Master'!A23)
  )
 ),"")</f>
        <v/>
      </c>
      <c r="F119" s="8" t="str">
        <f t="array" ref="F119">IFERROR(
 INDEX(Master!B$2:B$272,
  SMALL(
   IF(EXACT(Master!$M$2:$M$272,Rosters!$A$96),
    ROW(Master!B$2:B$272)-ROW(Master!B$2)+1
    ),
   ROWS(Master!B$2:'Master'!B23)
  )
 ),"")</f>
        <v/>
      </c>
      <c r="G119" s="7" t="str">
        <f t="array" ref="G119">IFERROR(
 INDEX(Master!K$2:K$272,
  SMALL(
   IF(EXACT(Master!$M$2:$M$272,Rosters!$A$96),
    ROW(Master!K$2:K$272)-ROW(Master!K$2)+1
    ),
   ROWS(Master!K$2:'Master'!K23)
  )
 ),"")</f>
        <v/>
      </c>
      <c r="H119" s="7" t="str">
        <f t="array" ref="H119">IFERROR(
 INDEX(Master!L$2:L$272,
  SMALL(
   IF(EXACT(Master!$M$2:$M$272,Rosters!$A$96),
    ROW(Master!L$2:L$272)-ROW(Master!L$2)+1
    ),
   ROWS(Master!L$2:'Master'!L23)
  )
 ),"")</f>
        <v/>
      </c>
      <c r="I119" s="8" t="str">
        <f t="array" ref="I119">IFERROR(
 INDEX(Master!Q$2:Q$272,
  SMALL(
   IF(EXACT(Master!$M$2:$M$272,Rosters!$A$96),
    ROW(Master!Q$2:Q$272)-ROW(Master!Q$2)+1
    ),
   ROWS(Master!Q$2:'Master'!Q23)
  )
 ),"")</f>
        <v/>
      </c>
    </row>
    <row r="120" spans="1:9" x14ac:dyDescent="0.25">
      <c r="A120" s="7" t="str">
        <f t="shared" si="2"/>
        <v/>
      </c>
      <c r="B120" s="8" t="str">
        <f t="array" ref="B120">IFERROR(
 INDEX(Master!C$2:C$272,
  SMALL(
   IF(EXACT(Master!$M$2:$M$272,Rosters!$A$96),
    ROW(Master!C$2:C$272)-ROW(Master!C$2)+1
    ),
   ROWS(Master!C$2:'Master'!C24)
  )
 ),"")</f>
        <v/>
      </c>
      <c r="C120" s="8" t="str">
        <f t="array" ref="C120">IFERROR(
INDEX(Master!D$2:D$272,
SMALL(
IF(EXACT(Master!$M$2:$M$272,Rosters!$A$96),
ROW(Master!D$2:D$272)-ROW(Master!D$2)+1
),
ROWS(Master!D$2:'Master'!D24)
)
),"")</f>
        <v/>
      </c>
      <c r="D120" s="7" t="str">
        <f t="array" ref="D120">IFERROR(
 INDEX(Master!O$2:O$272,
  SMALL(
   IF(EXACT(Master!$M$2:$M$272,Rosters!$A$96),
    ROW(Master!O$2:O$272)-ROW(Master!O$2)+1
    ),
   ROWS(Master!O$2:'Master'!O24)
  )
 ),"")</f>
        <v/>
      </c>
      <c r="E120" s="8" t="str">
        <f t="array" ref="E120">IFERROR(
 INDEX(Master!A$2:A$272,
  SMALL(
   IF(EXACT(Master!$M$2:$M$272,Rosters!$A$96),
    ROW(Master!A$2:A$272)-ROW(Master!A$2)+1
    ),
   ROWS(Master!A$2:'Master'!A24)
  )
 ),"")</f>
        <v/>
      </c>
      <c r="F120" s="8" t="str">
        <f t="array" ref="F120">IFERROR(
 INDEX(Master!B$2:B$272,
  SMALL(
   IF(EXACT(Master!$M$2:$M$272,Rosters!$A$96),
    ROW(Master!B$2:B$272)-ROW(Master!B$2)+1
    ),
   ROWS(Master!B$2:'Master'!B24)
  )
 ),"")</f>
        <v/>
      </c>
      <c r="G120" s="7" t="str">
        <f t="array" ref="G120">IFERROR(
 INDEX(Master!K$2:K$272,
  SMALL(
   IF(EXACT(Master!$M$2:$M$272,Rosters!$A$96),
    ROW(Master!K$2:K$272)-ROW(Master!K$2)+1
    ),
   ROWS(Master!K$2:'Master'!K24)
  )
 ),"")</f>
        <v/>
      </c>
      <c r="H120" s="7" t="str">
        <f t="array" ref="H120">IFERROR(
 INDEX(Master!L$2:L$272,
  SMALL(
   IF(EXACT(Master!$M$2:$M$272,Rosters!$A$96),
    ROW(Master!L$2:L$272)-ROW(Master!L$2)+1
    ),
   ROWS(Master!L$2:'Master'!L24)
  )
 ),"")</f>
        <v/>
      </c>
      <c r="I120" s="8" t="str">
        <f t="array" ref="I120">IFERROR(
 INDEX(Master!Q$2:Q$272,
  SMALL(
   IF(EXACT(Master!$M$2:$M$272,Rosters!$A$96),
    ROW(Master!Q$2:Q$272)-ROW(Master!Q$2)+1
    ),
   ROWS(Master!Q$2:'Master'!Q24)
  )
 ),"")</f>
        <v/>
      </c>
    </row>
    <row r="121" spans="1:9" x14ac:dyDescent="0.25">
      <c r="A121" s="7" t="str">
        <f t="shared" si="2"/>
        <v/>
      </c>
      <c r="B121" s="8" t="str">
        <f t="array" ref="B121">IFERROR(
 INDEX(Master!C$2:C$272,
  SMALL(
   IF(EXACT(Master!$M$2:$M$272,Rosters!$A$96),
    ROW(Master!C$2:C$272)-ROW(Master!C$2)+1
    ),
   ROWS(Master!C$2:'Master'!C25)
  )
 ),"")</f>
        <v/>
      </c>
      <c r="C121" s="8" t="str">
        <f t="array" ref="C121">IFERROR(
INDEX(Master!D$2:D$272,
SMALL(
IF(EXACT(Master!$M$2:$M$272,Rosters!$A$96),
ROW(Master!D$2:D$272)-ROW(Master!D$2)+1
),
ROWS(Master!D$2:'Master'!D25)
)
),"")</f>
        <v/>
      </c>
      <c r="D121" s="7" t="str">
        <f t="array" ref="D121">IFERROR(
 INDEX(Master!O$2:O$272,
  SMALL(
   IF(EXACT(Master!$M$2:$M$272,Rosters!$A$96),
    ROW(Master!O$2:O$272)-ROW(Master!O$2)+1
    ),
   ROWS(Master!O$2:'Master'!O25)
  )
 ),"")</f>
        <v/>
      </c>
      <c r="E121" s="8" t="str">
        <f t="array" ref="E121">IFERROR(
 INDEX(Master!A$2:A$272,
  SMALL(
   IF(EXACT(Master!$M$2:$M$272,Rosters!$A$96),
    ROW(Master!A$2:A$272)-ROW(Master!A$2)+1
    ),
   ROWS(Master!A$2:'Master'!A25)
  )
 ),"")</f>
        <v/>
      </c>
      <c r="F121" s="8" t="str">
        <f t="array" ref="F121">IFERROR(
 INDEX(Master!B$2:B$272,
  SMALL(
   IF(EXACT(Master!$M$2:$M$272,Rosters!$A$96),
    ROW(Master!B$2:B$272)-ROW(Master!B$2)+1
    ),
   ROWS(Master!B$2:'Master'!B25)
  )
 ),"")</f>
        <v/>
      </c>
      <c r="G121" s="7" t="str">
        <f t="array" ref="G121">IFERROR(
 INDEX(Master!K$2:K$272,
  SMALL(
   IF(EXACT(Master!$M$2:$M$272,Rosters!$A$96),
    ROW(Master!K$2:K$272)-ROW(Master!K$2)+1
    ),
   ROWS(Master!K$2:'Master'!K25)
  )
 ),"")</f>
        <v/>
      </c>
      <c r="H121" s="7" t="str">
        <f t="array" ref="H121">IFERROR(
 INDEX(Master!L$2:L$272,
  SMALL(
   IF(EXACT(Master!$M$2:$M$272,Rosters!$A$96),
    ROW(Master!L$2:L$272)-ROW(Master!L$2)+1
    ),
   ROWS(Master!L$2:'Master'!L25)
  )
 ),"")</f>
        <v/>
      </c>
      <c r="I121" s="8" t="str">
        <f t="array" ref="I121">IFERROR(
 INDEX(Master!Q$2:Q$272,
  SMALL(
   IF(EXACT(Master!$M$2:$M$272,Rosters!$A$96),
    ROW(Master!Q$2:Q$272)-ROW(Master!Q$2)+1
    ),
   ROWS(Master!Q$2:'Master'!Q25)
  )
 ),"")</f>
        <v/>
      </c>
    </row>
    <row r="122" spans="1:9" x14ac:dyDescent="0.25">
      <c r="A122" s="7" t="str">
        <f t="shared" si="2"/>
        <v/>
      </c>
      <c r="B122" s="8" t="str">
        <f t="array" ref="B122">IFERROR(
 INDEX(Master!C$2:C$272,
  SMALL(
   IF(EXACT(Master!$M$2:$M$272,Rosters!$A$96),
    ROW(Master!C$2:C$272)-ROW(Master!C$2)+1
    ),
   ROWS(Master!C$2:'Master'!C26)
  )
 ),"")</f>
        <v/>
      </c>
      <c r="C122" s="8" t="str">
        <f t="array" ref="C122">IFERROR(
INDEX(Master!D$2:D$272,
SMALL(
IF(EXACT(Master!$M$2:$M$272,Rosters!$A$96),
ROW(Master!D$2:D$272)-ROW(Master!D$2)+1
),
ROWS(Master!D$2:'Master'!D26)
)
),"")</f>
        <v/>
      </c>
      <c r="D122" s="7" t="str">
        <f t="array" ref="D122">IFERROR(
 INDEX(Master!O$2:O$272,
  SMALL(
   IF(EXACT(Master!$M$2:$M$272,Rosters!$A$96),
    ROW(Master!O$2:O$272)-ROW(Master!O$2)+1
    ),
   ROWS(Master!O$2:'Master'!O26)
  )
 ),"")</f>
        <v/>
      </c>
      <c r="E122" s="8" t="str">
        <f t="array" ref="E122">IFERROR(
 INDEX(Master!A$2:A$272,
  SMALL(
   IF(EXACT(Master!$M$2:$M$272,Rosters!$A$96),
    ROW(Master!A$2:A$272)-ROW(Master!A$2)+1
    ),
   ROWS(Master!A$2:'Master'!A26)
  )
 ),"")</f>
        <v/>
      </c>
      <c r="F122" s="8" t="str">
        <f t="array" ref="F122">IFERROR(
 INDEX(Master!B$2:B$272,
  SMALL(
   IF(EXACT(Master!$M$2:$M$272,Rosters!$A$96),
    ROW(Master!B$2:B$272)-ROW(Master!B$2)+1
    ),
   ROWS(Master!B$2:'Master'!B26)
  )
 ),"")</f>
        <v/>
      </c>
      <c r="G122" s="7" t="str">
        <f t="array" ref="G122">IFERROR(
 INDEX(Master!K$2:K$272,
  SMALL(
   IF(EXACT(Master!$M$2:$M$272,Rosters!$A$96),
    ROW(Master!K$2:K$272)-ROW(Master!K$2)+1
    ),
   ROWS(Master!K$2:'Master'!K26)
  )
 ),"")</f>
        <v/>
      </c>
      <c r="H122" s="7" t="str">
        <f t="array" ref="H122">IFERROR(
 INDEX(Master!L$2:L$272,
  SMALL(
   IF(EXACT(Master!$M$2:$M$272,Rosters!$A$96),
    ROW(Master!L$2:L$272)-ROW(Master!L$2)+1
    ),
   ROWS(Master!L$2:'Master'!L26)
  )
 ),"")</f>
        <v/>
      </c>
      <c r="I122" s="8" t="str">
        <f t="array" ref="I122">IFERROR(
 INDEX(Master!Q$2:Q$272,
  SMALL(
   IF(EXACT(Master!$M$2:$M$272,Rosters!$A$96),
    ROW(Master!Q$2:Q$272)-ROW(Master!Q$2)+1
    ),
   ROWS(Master!Q$2:'Master'!Q26)
  )
 ),"")</f>
        <v/>
      </c>
    </row>
    <row r="123" spans="1:9" x14ac:dyDescent="0.25">
      <c r="A123" s="7" t="str">
        <f t="shared" si="2"/>
        <v/>
      </c>
      <c r="B123" s="8" t="str">
        <f t="array" ref="B123">IFERROR(
 INDEX(Master!C$2:C$272,
  SMALL(
   IF(EXACT(Master!$M$2:$M$272,Rosters!$A$96),
    ROW(Master!C$2:C$272)-ROW(Master!C$2)+1
    ),
   ROWS(Master!C$2:'Master'!C27)
  )
 ),"")</f>
        <v/>
      </c>
      <c r="C123" s="8" t="str">
        <f t="array" ref="C123">IFERROR(
INDEX(Master!D$2:D$272,
SMALL(
IF(EXACT(Master!$M$2:$M$272,Rosters!$A$96),
ROW(Master!D$2:D$272)-ROW(Master!D$2)+1
),
ROWS(Master!D$2:'Master'!D27)
)
),"")</f>
        <v/>
      </c>
      <c r="D123" s="7" t="str">
        <f t="array" ref="D123">IFERROR(
 INDEX(Master!O$2:O$272,
  SMALL(
   IF(EXACT(Master!$M$2:$M$272,Rosters!$A$96),
    ROW(Master!O$2:O$272)-ROW(Master!O$2)+1
    ),
   ROWS(Master!O$2:'Master'!O27)
  )
 ),"")</f>
        <v/>
      </c>
      <c r="E123" s="8" t="str">
        <f t="array" ref="E123">IFERROR(
 INDEX(Master!A$2:A$272,
  SMALL(
   IF(EXACT(Master!$M$2:$M$272,Rosters!$A$96),
    ROW(Master!A$2:A$272)-ROW(Master!A$2)+1
    ),
   ROWS(Master!A$2:'Master'!A27)
  )
 ),"")</f>
        <v/>
      </c>
      <c r="F123" s="8" t="str">
        <f t="array" ref="F123">IFERROR(
 INDEX(Master!B$2:B$272,
  SMALL(
   IF(EXACT(Master!$M$2:$M$272,Rosters!$A$96),
    ROW(Master!B$2:B$272)-ROW(Master!B$2)+1
    ),
   ROWS(Master!B$2:'Master'!B27)
  )
 ),"")</f>
        <v/>
      </c>
      <c r="G123" s="7" t="str">
        <f t="array" ref="G123">IFERROR(
 INDEX(Master!K$2:K$272,
  SMALL(
   IF(EXACT(Master!$M$2:$M$272,Rosters!$A$96),
    ROW(Master!K$2:K$272)-ROW(Master!K$2)+1
    ),
   ROWS(Master!K$2:'Master'!K27)
  )
 ),"")</f>
        <v/>
      </c>
      <c r="H123" s="7" t="str">
        <f t="array" ref="H123">IFERROR(
 INDEX(Master!L$2:L$272,
  SMALL(
   IF(EXACT(Master!$M$2:$M$272,Rosters!$A$96),
    ROW(Master!L$2:L$272)-ROW(Master!L$2)+1
    ),
   ROWS(Master!L$2:'Master'!L27)
  )
 ),"")</f>
        <v/>
      </c>
      <c r="I123" s="8" t="str">
        <f t="array" ref="I123">IFERROR(
 INDEX(Master!Q$2:Q$272,
  SMALL(
   IF(EXACT(Master!$M$2:$M$272,Rosters!$A$96),
    ROW(Master!Q$2:Q$272)-ROW(Master!Q$2)+1
    ),
   ROWS(Master!Q$2:'Master'!Q27)
  )
 ),"")</f>
        <v/>
      </c>
    </row>
    <row r="124" spans="1:9" x14ac:dyDescent="0.25">
      <c r="A124" s="7" t="str">
        <f t="shared" si="2"/>
        <v/>
      </c>
      <c r="B124" s="8" t="str">
        <f t="array" ref="B124">IFERROR(
 INDEX(Master!C$2:C$272,
  SMALL(
   IF(EXACT(Master!$M$2:$M$272,Rosters!$A$96),
    ROW(Master!C$2:C$272)-ROW(Master!C$2)+1
    ),
   ROWS(Master!C$2:'Master'!C28)
  )
 ),"")</f>
        <v/>
      </c>
      <c r="C124" s="8" t="str">
        <f t="array" ref="C124">IFERROR(
INDEX(Master!D$2:D$272,
SMALL(
IF(EXACT(Master!$M$2:$M$272,Rosters!$A$96),
ROW(Master!D$2:D$272)-ROW(Master!D$2)+1
),
ROWS(Master!D$2:'Master'!D28)
)
),"")</f>
        <v/>
      </c>
      <c r="D124" s="7" t="str">
        <f t="array" ref="D124">IFERROR(
 INDEX(Master!O$2:O$272,
  SMALL(
   IF(EXACT(Master!$M$2:$M$272,Rosters!$A$96),
    ROW(Master!O$2:O$272)-ROW(Master!O$2)+1
    ),
   ROWS(Master!O$2:'Master'!O28)
  )
 ),"")</f>
        <v/>
      </c>
      <c r="E124" s="8" t="str">
        <f t="array" ref="E124">IFERROR(
 INDEX(Master!A$2:A$272,
  SMALL(
   IF(EXACT(Master!$M$2:$M$272,Rosters!$A$96),
    ROW(Master!A$2:A$272)-ROW(Master!A$2)+1
    ),
   ROWS(Master!A$2:'Master'!A28)
  )
 ),"")</f>
        <v/>
      </c>
      <c r="F124" s="8" t="str">
        <f t="array" ref="F124">IFERROR(
 INDEX(Master!B$2:B$272,
  SMALL(
   IF(EXACT(Master!$M$2:$M$272,Rosters!$A$96),
    ROW(Master!B$2:B$272)-ROW(Master!B$2)+1
    ),
   ROWS(Master!B$2:'Master'!B28)
  )
 ),"")</f>
        <v/>
      </c>
      <c r="G124" s="7" t="str">
        <f t="array" ref="G124">IFERROR(
 INDEX(Master!K$2:K$272,
  SMALL(
   IF(EXACT(Master!$M$2:$M$272,Rosters!$A$96),
    ROW(Master!K$2:K$272)-ROW(Master!K$2)+1
    ),
   ROWS(Master!K$2:'Master'!K28)
  )
 ),"")</f>
        <v/>
      </c>
      <c r="H124" s="7" t="str">
        <f t="array" ref="H124">IFERROR(
 INDEX(Master!L$2:L$272,
  SMALL(
   IF(EXACT(Master!$M$2:$M$272,Rosters!$A$96),
    ROW(Master!L$2:L$272)-ROW(Master!L$2)+1
    ),
   ROWS(Master!L$2:'Master'!L28)
  )
 ),"")</f>
        <v/>
      </c>
      <c r="I124" s="8" t="str">
        <f t="array" ref="I124">IFERROR(
 INDEX(Master!Q$2:Q$272,
  SMALL(
   IF(EXACT(Master!$M$2:$M$272,Rosters!$A$96),
    ROW(Master!Q$2:Q$272)-ROW(Master!Q$2)+1
    ),
   ROWS(Master!Q$2:'Master'!Q28)
  )
 ),"")</f>
        <v/>
      </c>
    </row>
    <row r="125" spans="1:9" x14ac:dyDescent="0.25">
      <c r="A125" s="7" t="str">
        <f t="shared" si="2"/>
        <v/>
      </c>
      <c r="B125" s="8" t="str">
        <f t="array" ref="B125">IFERROR(
 INDEX(Master!C$2:C$272,
  SMALL(
   IF(EXACT(Master!$M$2:$M$272,Rosters!$A$96),
    ROW(Master!C$2:C$272)-ROW(Master!C$2)+1
    ),
   ROWS(Master!C$2:'Master'!C29)
  )
 ),"")</f>
        <v/>
      </c>
      <c r="C125" s="8" t="str">
        <f t="array" ref="C125">IFERROR(
INDEX(Master!D$2:D$272,
SMALL(
IF(EXACT(Master!$M$2:$M$272,Rosters!$A$96),
ROW(Master!D$2:D$272)-ROW(Master!D$2)+1
),
ROWS(Master!D$2:'Master'!D29)
)
),"")</f>
        <v/>
      </c>
      <c r="D125" s="7" t="str">
        <f t="array" ref="D125">IFERROR(
 INDEX(Master!O$2:O$272,
  SMALL(
   IF(EXACT(Master!$M$2:$M$272,Rosters!$A$96),
    ROW(Master!O$2:O$272)-ROW(Master!O$2)+1
    ),
   ROWS(Master!O$2:'Master'!O29)
  )
 ),"")</f>
        <v/>
      </c>
      <c r="E125" s="8" t="str">
        <f t="array" ref="E125">IFERROR(
 INDEX(Master!A$2:A$272,
  SMALL(
   IF(EXACT(Master!$M$2:$M$272,Rosters!$A$96),
    ROW(Master!A$2:A$272)-ROW(Master!A$2)+1
    ),
   ROWS(Master!A$2:'Master'!A29)
  )
 ),"")</f>
        <v/>
      </c>
      <c r="F125" s="8" t="str">
        <f t="array" ref="F125">IFERROR(
 INDEX(Master!B$2:B$272,
  SMALL(
   IF(EXACT(Master!$M$2:$M$272,Rosters!$A$96),
    ROW(Master!B$2:B$272)-ROW(Master!B$2)+1
    ),
   ROWS(Master!B$2:'Master'!B29)
  )
 ),"")</f>
        <v/>
      </c>
      <c r="G125" s="7" t="str">
        <f t="array" ref="G125">IFERROR(
 INDEX(Master!K$2:K$272,
  SMALL(
   IF(EXACT(Master!$M$2:$M$272,Rosters!$A$96),
    ROW(Master!K$2:K$272)-ROW(Master!K$2)+1
    ),
   ROWS(Master!K$2:'Master'!K29)
  )
 ),"")</f>
        <v/>
      </c>
      <c r="H125" s="7" t="str">
        <f t="array" ref="H125">IFERROR(
 INDEX(Master!L$2:L$272,
  SMALL(
   IF(EXACT(Master!$M$2:$M$272,Rosters!$A$96),
    ROW(Master!L$2:L$272)-ROW(Master!L$2)+1
    ),
   ROWS(Master!L$2:'Master'!L29)
  )
 ),"")</f>
        <v/>
      </c>
      <c r="I125" s="8" t="str">
        <f t="array" ref="I125">IFERROR(
 INDEX(Master!Q$2:Q$272,
  SMALL(
   IF(EXACT(Master!$M$2:$M$272,Rosters!$A$96),
    ROW(Master!Q$2:Q$272)-ROW(Master!Q$2)+1
    ),
   ROWS(Master!Q$2:'Master'!Q29)
  )
 ),"")</f>
        <v/>
      </c>
    </row>
    <row r="126" spans="1:9" x14ac:dyDescent="0.25">
      <c r="A126" s="7" t="str">
        <f t="shared" si="2"/>
        <v/>
      </c>
      <c r="B126" s="8" t="str">
        <f t="array" ref="B126">IFERROR(
 INDEX(Master!C$2:C$272,
  SMALL(
   IF(EXACT(Master!$M$2:$M$272,Rosters!$A$96),
    ROW(Master!C$2:C$272)-ROW(Master!C$2)+1
    ),
   ROWS(Master!C$2:'Master'!C30)
  )
 ),"")</f>
        <v/>
      </c>
      <c r="C126" s="8" t="str">
        <f t="array" ref="C126">IFERROR(
INDEX(Master!D$2:D$272,
SMALL(
IF(EXACT(Master!$M$2:$M$272,Rosters!$A$96),
ROW(Master!D$2:D$272)-ROW(Master!D$2)+1
),
ROWS(Master!D$2:'Master'!D30)
)
),"")</f>
        <v/>
      </c>
      <c r="D126" s="7" t="str">
        <f t="array" ref="D126">IFERROR(
 INDEX(Master!O$2:O$272,
  SMALL(
   IF(EXACT(Master!$M$2:$M$272,Rosters!$A$96),
    ROW(Master!O$2:O$272)-ROW(Master!O$2)+1
    ),
   ROWS(Master!O$2:'Master'!O30)
  )
 ),"")</f>
        <v/>
      </c>
      <c r="E126" s="8" t="str">
        <f t="array" ref="E126">IFERROR(
 INDEX(Master!A$2:A$272,
  SMALL(
   IF(EXACT(Master!$M$2:$M$272,Rosters!$A$96),
    ROW(Master!A$2:A$272)-ROW(Master!A$2)+1
    ),
   ROWS(Master!A$2:'Master'!A30)
  )
 ),"")</f>
        <v/>
      </c>
      <c r="F126" s="8" t="str">
        <f t="array" ref="F126">IFERROR(
 INDEX(Master!B$2:B$272,
  SMALL(
   IF(EXACT(Master!$M$2:$M$272,Rosters!$A$96),
    ROW(Master!B$2:B$272)-ROW(Master!B$2)+1
    ),
   ROWS(Master!B$2:'Master'!B30)
  )
 ),"")</f>
        <v/>
      </c>
      <c r="G126" s="7" t="str">
        <f t="array" ref="G126">IFERROR(
 INDEX(Master!K$2:K$272,
  SMALL(
   IF(EXACT(Master!$M$2:$M$272,Rosters!$A$96),
    ROW(Master!K$2:K$272)-ROW(Master!K$2)+1
    ),
   ROWS(Master!K$2:'Master'!K30)
  )
 ),"")</f>
        <v/>
      </c>
      <c r="H126" s="7" t="str">
        <f t="array" ref="H126">IFERROR(
 INDEX(Master!L$2:L$272,
  SMALL(
   IF(EXACT(Master!$M$2:$M$272,Rosters!$A$96),
    ROW(Master!L$2:L$272)-ROW(Master!L$2)+1
    ),
   ROWS(Master!L$2:'Master'!L30)
  )
 ),"")</f>
        <v/>
      </c>
      <c r="I126" s="8" t="str">
        <f t="array" ref="I126">IFERROR(
 INDEX(Master!Q$2:Q$272,
  SMALL(
   IF(EXACT(Master!$M$2:$M$272,Rosters!$A$96),
    ROW(Master!Q$2:Q$272)-ROW(Master!Q$2)+1
    ),
   ROWS(Master!Q$2:'Master'!Q30)
  )
 ),"")</f>
        <v/>
      </c>
    </row>
    <row r="127" spans="1:9" x14ac:dyDescent="0.25">
      <c r="A127" s="7" t="str">
        <f t="shared" si="2"/>
        <v/>
      </c>
      <c r="B127" s="8" t="str">
        <f t="array" ref="B127">IFERROR(
 INDEX(Master!C$2:C$272,
  SMALL(
   IF(EXACT(Master!$M$2:$M$272,Rosters!$A$96),
    ROW(Master!C$2:C$272)-ROW(Master!C$2)+1
    ),
   ROWS(Master!C$2:'Master'!C31)
  )
 ),"")</f>
        <v/>
      </c>
      <c r="C127" s="8" t="str">
        <f t="array" ref="C127">IFERROR(
INDEX(Master!D$2:D$272,
SMALL(
IF(EXACT(Master!$M$2:$M$272,Rosters!$A$96),
ROW(Master!D$2:D$272)-ROW(Master!D$2)+1
),
ROWS(Master!D$2:'Master'!D31)
)
),"")</f>
        <v/>
      </c>
      <c r="D127" s="7" t="str">
        <f t="array" ref="D127">IFERROR(
 INDEX(Master!O$2:O$272,
  SMALL(
   IF(EXACT(Master!$M$2:$M$272,Rosters!$A$96),
    ROW(Master!O$2:O$272)-ROW(Master!O$2)+1
    ),
   ROWS(Master!O$2:'Master'!O31)
  )
 ),"")</f>
        <v/>
      </c>
      <c r="E127" s="8" t="str">
        <f t="array" ref="E127">IFERROR(
 INDEX(Master!A$2:A$272,
  SMALL(
   IF(EXACT(Master!$M$2:$M$272,Rosters!$A$96),
    ROW(Master!A$2:A$272)-ROW(Master!A$2)+1
    ),
   ROWS(Master!A$2:'Master'!A31)
  )
 ),"")</f>
        <v/>
      </c>
      <c r="F127" s="8" t="str">
        <f t="array" ref="F127">IFERROR(
 INDEX(Master!B$2:B$272,
  SMALL(
   IF(EXACT(Master!$M$2:$M$272,Rosters!$A$96),
    ROW(Master!B$2:B$272)-ROW(Master!B$2)+1
    ),
   ROWS(Master!B$2:'Master'!B31)
  )
 ),"")</f>
        <v/>
      </c>
      <c r="G127" s="7" t="str">
        <f t="array" ref="G127">IFERROR(
 INDEX(Master!K$2:K$272,
  SMALL(
   IF(EXACT(Master!$M$2:$M$272,Rosters!$A$96),
    ROW(Master!K$2:K$272)-ROW(Master!K$2)+1
    ),
   ROWS(Master!K$2:'Master'!K31)
  )
 ),"")</f>
        <v/>
      </c>
      <c r="H127" s="7" t="str">
        <f t="array" ref="H127">IFERROR(
 INDEX(Master!L$2:L$272,
  SMALL(
   IF(EXACT(Master!$M$2:$M$272,Rosters!$A$96),
    ROW(Master!L$2:L$272)-ROW(Master!L$2)+1
    ),
   ROWS(Master!L$2:'Master'!L31)
  )
 ),"")</f>
        <v/>
      </c>
      <c r="I127" s="8" t="str">
        <f t="array" ref="I127">IFERROR(
 INDEX(Master!Q$2:Q$272,
  SMALL(
   IF(EXACT(Master!$M$2:$M$272,Rosters!$A$96),
    ROW(Master!Q$2:Q$272)-ROW(Master!Q$2)+1
    ),
   ROWS(Master!Q$2:'Master'!Q31)
  )
 ),"")</f>
        <v/>
      </c>
    </row>
    <row r="128" spans="1:9" ht="35.1" customHeight="1" x14ac:dyDescent="0.4">
      <c r="A128" s="3" t="s">
        <v>181</v>
      </c>
      <c r="B128" s="1"/>
      <c r="C128" s="1"/>
      <c r="D128" s="4"/>
      <c r="E128" s="1" t="s">
        <v>1481</v>
      </c>
      <c r="F128" s="1" t="s">
        <v>482</v>
      </c>
      <c r="G128" s="4"/>
      <c r="H128" s="4"/>
      <c r="I128" s="35">
        <f ca="1">TODAY()</f>
        <v>46195</v>
      </c>
    </row>
    <row r="129" spans="1:9" ht="31.5" customHeight="1" x14ac:dyDescent="0.25">
      <c r="B129" s="5" t="s">
        <v>103</v>
      </c>
      <c r="C129" s="5" t="s">
        <v>104</v>
      </c>
      <c r="D129" s="5" t="s">
        <v>1624</v>
      </c>
      <c r="E129" s="5" t="s">
        <v>105</v>
      </c>
      <c r="F129" s="5" t="s">
        <v>106</v>
      </c>
      <c r="G129" s="5" t="s">
        <v>107</v>
      </c>
      <c r="H129" s="5" t="s">
        <v>108</v>
      </c>
      <c r="I129" s="6" t="s">
        <v>1</v>
      </c>
    </row>
    <row r="130" spans="1:9" x14ac:dyDescent="0.25">
      <c r="A130" s="7">
        <v>1</v>
      </c>
      <c r="B130" s="8" t="str">
        <f t="array" ref="B130">IFERROR(
 INDEX(Master!C$2:C$272,
  SMALL(
   IF(EXACT(Master!$M$2:$M$272,Rosters!$A$128),
    ROW(Master!C$2:C$272)-ROW(Master!C$2)+1
    ),
   ROWS(Master!C$2:'Master'!C2)
  )
 ),"")</f>
        <v>Gordon (JR)</v>
      </c>
      <c r="C130" s="8" t="str">
        <f t="array" ref="C130">IFERROR(
INDEX(Master!D$2:D$272,
SMALL(
IF(EXACT(Master!$M$2:$M$272,Rosters!$A$128),
ROW(Master!D$2:D$272)-ROW(Master!D$2)+1
),
ROWS(Master!D$2:'Master'!D2)
)
),"")</f>
        <v>Alobwede</v>
      </c>
      <c r="D130" s="7">
        <f t="array" aca="1" ref="D130" ca="1">IFERROR(
 INDEX(Master!O$2:O$272,
  SMALL(
   IF(EXACT(Master!$M$2:$M$272,Rosters!$A$128),
    ROW(Master!O$2:O$272)-ROW(Master!O$2)+1
    ),
   ROWS(Master!O$2:'Master'!O2)
  )
 ),"")</f>
        <v>18</v>
      </c>
      <c r="E130" s="8" t="str">
        <f t="array" ref="E130">IFERROR(
 INDEX(Master!A$2:A$272,
  SMALL(
   IF(EXACT(Master!$M$2:$M$272,Rosters!$A$128),
    ROW(Master!A$2:A$272)-ROW(Master!A$2)+1
    ),
   ROWS(Master!A$2:'Master'!A2)
  )
 ),"")</f>
        <v>Victoria</v>
      </c>
      <c r="F130" s="8" t="str">
        <f t="array" ref="F130">IFERROR(
 INDEX(Master!B$2:B$272,
  SMALL(
   IF(EXACT(Master!$M$2:$M$272,Rosters!$A$128),
    ROW(Master!B$2:B$272)-ROW(Master!B$2)+1
    ),
   ROWS(Master!B$2:'Master'!B2)
  )
 ),"")</f>
        <v>Alobwede</v>
      </c>
      <c r="G130" s="7">
        <f t="array" ref="G130">IFERROR(
 INDEX(Master!K$2:K$272,
  SMALL(
   IF(EXACT(Master!$M$2:$M$272,Rosters!$A$128),
    ROW(Master!K$2:K$272)-ROW(Master!K$2)+1
    ),
   ROWS(Master!K$2:'Master'!K2)
  )
 ),"")</f>
        <v>937</v>
      </c>
      <c r="H130" s="7" t="str">
        <f t="array" ref="H130">IFERROR(
 INDEX(Master!L$2:L$272,
  SMALL(
   IF(EXACT(Master!$M$2:$M$272,Rosters!$A$128),
    ROW(Master!L$2:L$272)-ROW(Master!L$2)+1
    ),
   ROWS(Master!L$2:'Master'!L2)
  )
 ),"")</f>
        <v>859-1427</v>
      </c>
      <c r="I130" s="8" t="str">
        <f t="array" ref="I130">IFERROR(
 INDEX(Master!Q$2:Q$272,
  SMALL(
   IF(EXACT(Master!$M$2:$M$272,Rosters!$A$128),
    ROW(Master!Q$2:Q$272)-ROW(Master!Q$2)+1
    ),
   ROWS(Master!Q$2:'Master'!Q2)
  )
 ),"")</f>
        <v>vetinge@yahoo.com</v>
      </c>
    </row>
    <row r="131" spans="1:9" x14ac:dyDescent="0.25">
      <c r="A131" s="7">
        <v>2</v>
      </c>
      <c r="B131" s="8" t="str">
        <f t="array" ref="B131">IFERROR(
 INDEX(Master!C$2:C$272,
  SMALL(
   IF(EXACT(Master!$M$2:$M$272,Rosters!$A$128),
    ROW(Master!C$2:C$272)-ROW(Master!C$2)+1
    ),
   ROWS(Master!C$2:'Master'!C3)
  )
 ),"")</f>
        <v>Landrie</v>
      </c>
      <c r="C131" s="8" t="str">
        <f t="array" ref="C131">IFERROR(
INDEX(Master!D$2:D$272,
SMALL(
IF(EXACT(Master!$M$2:$M$272,Rosters!$A$128),
ROW(Master!D$2:D$272)-ROW(Master!D$2)+1
),
ROWS(Master!D$2:'Master'!D3)
)
),"")</f>
        <v>Amaro</v>
      </c>
      <c r="D131" s="7">
        <f t="array" aca="1" ref="D131" ca="1">IFERROR(
 INDEX(Master!O$2:O$272,
  SMALL(
   IF(EXACT(Master!$M$2:$M$272,Rosters!$A$128),
    ROW(Master!O$2:O$272)-ROW(Master!O$2)+1
    ),
   ROWS(Master!O$2:'Master'!O3)
  )
 ),"")</f>
        <v>15</v>
      </c>
      <c r="E131" s="8" t="str">
        <f t="array" ref="E131">IFERROR(
 INDEX(Master!A$2:A$272,
  SMALL(
   IF(EXACT(Master!$M$2:$M$272,Rosters!$A$128),
    ROW(Master!A$2:A$272)-ROW(Master!A$2)+1
    ),
   ROWS(Master!A$2:'Master'!A3)
  )
 ),"")</f>
        <v xml:space="preserve">Lauren </v>
      </c>
      <c r="F131" s="8" t="str">
        <f t="array" ref="F131">IFERROR(
 INDEX(Master!B$2:B$272,
  SMALL(
   IF(EXACT(Master!$M$2:$M$272,Rosters!$A$128),
    ROW(Master!B$2:B$272)-ROW(Master!B$2)+1
    ),
   ROWS(Master!B$2:'Master'!B3)
  )
 ),"")</f>
        <v>Amaro</v>
      </c>
      <c r="G131" s="7">
        <f t="array" ref="G131">IFERROR(
 INDEX(Master!K$2:K$272,
  SMALL(
   IF(EXACT(Master!$M$2:$M$272,Rosters!$A$128),
    ROW(Master!K$2:K$272)-ROW(Master!K$2)+1
    ),
   ROWS(Master!K$2:'Master'!K3)
  )
 ),"")</f>
        <v>513</v>
      </c>
      <c r="H131" s="7" t="str">
        <f t="array" ref="H131">IFERROR(
 INDEX(Master!L$2:L$272,
  SMALL(
   IF(EXACT(Master!$M$2:$M$272,Rosters!$A$128),
    ROW(Master!L$2:L$272)-ROW(Master!L$2)+1
    ),
   ROWS(Master!L$2:'Master'!L3)
  )
 ),"")</f>
        <v>267-3256</v>
      </c>
      <c r="I131" s="8" t="str">
        <f t="array" ref="I131">IFERROR(
 INDEX(Master!Q$2:Q$272,
  SMALL(
   IF(EXACT(Master!$M$2:$M$272,Rosters!$A$128),
    ROW(Master!Q$2:Q$272)-ROW(Master!Q$2)+1
    ),
   ROWS(Master!Q$2:'Master'!Q3)
  )
 ),"")</f>
        <v>lauren.nicole0522@gmail.com</v>
      </c>
    </row>
    <row r="132" spans="1:9" x14ac:dyDescent="0.25">
      <c r="A132" s="7">
        <v>3</v>
      </c>
      <c r="B132" s="8" t="str">
        <f t="array" ref="B132">IFERROR(
 INDEX(Master!C$2:C$272,
  SMALL(
   IF(EXACT(Master!$M$2:$M$272,Rosters!$A$128),
    ROW(Master!C$2:C$272)-ROW(Master!C$2)+1
    ),
   ROWS(Master!C$2:'Master'!C4)
  )
 ),"")</f>
        <v>Dylan</v>
      </c>
      <c r="C132" s="8" t="str">
        <f t="array" ref="C132">IFERROR(
INDEX(Master!D$2:D$272,
SMALL(
IF(EXACT(Master!$M$2:$M$272,Rosters!$A$128),
ROW(Master!D$2:D$272)-ROW(Master!D$2)+1
),
ROWS(Master!D$2:'Master'!D4)
)
),"")</f>
        <v>Bowling</v>
      </c>
      <c r="D132" s="7">
        <f t="array" aca="1" ref="D132" ca="1">IFERROR(
 INDEX(Master!O$2:O$272,
  SMALL(
   IF(EXACT(Master!$M$2:$M$272,Rosters!$A$128),
    ROW(Master!O$2:O$272)-ROW(Master!O$2)+1
    ),
   ROWS(Master!O$2:'Master'!O4)
  )
 ),"")</f>
        <v>13</v>
      </c>
      <c r="E132" s="8" t="str">
        <f t="array" ref="E132">IFERROR(
 INDEX(Master!A$2:A$272,
  SMALL(
   IF(EXACT(Master!$M$2:$M$272,Rosters!$A$128),
    ROW(Master!A$2:A$272)-ROW(Master!A$2)+1
    ),
   ROWS(Master!A$2:'Master'!A4)
  )
 ),"")</f>
        <v>Mary</v>
      </c>
      <c r="F132" s="8" t="str">
        <f t="array" ref="F132">IFERROR(
 INDEX(Master!B$2:B$272,
  SMALL(
   IF(EXACT(Master!$M$2:$M$272,Rosters!$A$128),
    ROW(Master!B$2:B$272)-ROW(Master!B$2)+1
    ),
   ROWS(Master!B$2:'Master'!B4)
  )
 ),"")</f>
        <v>Bowling</v>
      </c>
      <c r="G132" s="7">
        <f t="array" ref="G132">IFERROR(
 INDEX(Master!K$2:K$272,
  SMALL(
   IF(EXACT(Master!$M$2:$M$272,Rosters!$A$128),
    ROW(Master!K$2:K$272)-ROW(Master!K$2)+1
    ),
   ROWS(Master!K$2:'Master'!K4)
  )
 ),"")</f>
        <v>326</v>
      </c>
      <c r="H132" s="7" t="str">
        <f t="array" ref="H132">IFERROR(
 INDEX(Master!L$2:L$272,
  SMALL(
   IF(EXACT(Master!$M$2:$M$272,Rosters!$A$128),
    ROW(Master!L$2:L$272)-ROW(Master!L$2)+1
    ),
   ROWS(Master!L$2:'Master'!L4)
  )
 ),"")</f>
        <v>213-0975</v>
      </c>
      <c r="I132" s="8" t="str">
        <f t="array" ref="I132">IFERROR(
 INDEX(Master!Q$2:Q$272,
  SMALL(
   IF(EXACT(Master!$M$2:$M$272,Rosters!$A$128),
    ROW(Master!Q$2:Q$272)-ROW(Master!Q$2)+1
    ),
   ROWS(Master!Q$2:'Master'!Q4)
  )
 ),"")</f>
        <v>autizm1mom@gmail.com</v>
      </c>
    </row>
    <row r="133" spans="1:9" x14ac:dyDescent="0.25">
      <c r="A133" s="7">
        <v>4</v>
      </c>
      <c r="B133" s="8" t="str">
        <f t="array" ref="B133">IFERROR(
 INDEX(Master!C$2:C$272,
  SMALL(
   IF(EXACT(Master!$M$2:$M$272,Rosters!$A$128),
    ROW(Master!C$2:C$272)-ROW(Master!C$2)+1
    ),
   ROWS(Master!C$2:'Master'!C5)
  )
 ),"")</f>
        <v>Charles</v>
      </c>
      <c r="C133" s="8" t="str">
        <f t="array" ref="C133">IFERROR(
INDEX(Master!D$2:D$272,
SMALL(
IF(EXACT(Master!$M$2:$M$272,Rosters!$A$128),
ROW(Master!D$2:D$272)-ROW(Master!D$2)+1
),
ROWS(Master!D$2:'Master'!D5)
)
),"")</f>
        <v>Brewer</v>
      </c>
      <c r="D133" s="7">
        <f t="array" aca="1" ref="D133" ca="1">IFERROR(
 INDEX(Master!O$2:O$272,
  SMALL(
   IF(EXACT(Master!$M$2:$M$272,Rosters!$A$128),
    ROW(Master!O$2:O$272)-ROW(Master!O$2)+1
    ),
   ROWS(Master!O$2:'Master'!O5)
  )
 ),"")</f>
        <v>16</v>
      </c>
      <c r="E133" s="8" t="str">
        <f t="array" ref="E133">IFERROR(
 INDEX(Master!A$2:A$272,
  SMALL(
   IF(EXACT(Master!$M$2:$M$272,Rosters!$A$128),
    ROW(Master!A$2:A$272)-ROW(Master!A$2)+1
    ),
   ROWS(Master!A$2:'Master'!A5)
  )
 ),"")</f>
        <v>Wesley</v>
      </c>
      <c r="F133" s="8" t="str">
        <f t="array" ref="F133">IFERROR(
 INDEX(Master!B$2:B$272,
  SMALL(
   IF(EXACT(Master!$M$2:$M$272,Rosters!$A$128),
    ROW(Master!B$2:B$272)-ROW(Master!B$2)+1
    ),
   ROWS(Master!B$2:'Master'!B5)
  )
 ),"")</f>
        <v>Brewer</v>
      </c>
      <c r="G133" s="7">
        <f t="array" ref="G133">IFERROR(
 INDEX(Master!K$2:K$272,
  SMALL(
   IF(EXACT(Master!$M$2:$M$272,Rosters!$A$128),
    ROW(Master!K$2:K$272)-ROW(Master!K$2)+1
    ),
   ROWS(Master!K$2:'Master'!K5)
  )
 ),"")</f>
        <v>937</v>
      </c>
      <c r="H133" s="7" t="str">
        <f t="array" ref="H133">IFERROR(
 INDEX(Master!L$2:L$272,
  SMALL(
   IF(EXACT(Master!$M$2:$M$272,Rosters!$A$128),
    ROW(Master!L$2:L$272)-ROW(Master!L$2)+1
    ),
   ROWS(Master!L$2:'Master'!L5)
  )
 ),"")</f>
        <v>367-6852</v>
      </c>
      <c r="I133" s="8" t="str">
        <f t="array" ref="I133">IFERROR(
 INDEX(Master!Q$2:Q$272,
  SMALL(
   IF(EXACT(Master!$M$2:$M$272,Rosters!$A$128),
    ROW(Master!Q$2:Q$272)-ROW(Master!Q$2)+1
    ),
   ROWS(Master!Q$2:'Master'!Q5)
  )
 ),"")</f>
        <v>rewerb937@gmail.com</v>
      </c>
    </row>
    <row r="134" spans="1:9" x14ac:dyDescent="0.25">
      <c r="A134" s="7">
        <v>5</v>
      </c>
      <c r="B134" s="8" t="str">
        <f t="array" ref="B134">IFERROR(
 INDEX(Master!C$2:C$272,
  SMALL(
   IF(EXACT(Master!$M$2:$M$272,Rosters!$A$128),
    ROW(Master!C$2:C$272)-ROW(Master!C$2)+1
    ),
   ROWS(Master!C$2:'Master'!C6)
  )
 ),"")</f>
        <v>Ian</v>
      </c>
      <c r="C134" s="8" t="str">
        <f t="array" ref="C134">IFERROR(
INDEX(Master!D$2:D$272,
SMALL(
IF(EXACT(Master!$M$2:$M$272,Rosters!$A$128),
ROW(Master!D$2:D$272)-ROW(Master!D$2)+1
),
ROWS(Master!D$2:'Master'!D6)
)
),"")</f>
        <v>Davis</v>
      </c>
      <c r="D134" s="7">
        <f t="array" aca="1" ref="D134" ca="1">IFERROR(
 INDEX(Master!O$2:O$272,
  SMALL(
   IF(EXACT(Master!$M$2:$M$272,Rosters!$A$128),
    ROW(Master!O$2:O$272)-ROW(Master!O$2)+1
    ),
   ROWS(Master!O$2:'Master'!O6)
  )
 ),"")</f>
        <v>19</v>
      </c>
      <c r="E134" s="8" t="str">
        <f t="array" ref="E134">IFERROR(
 INDEX(Master!A$2:A$272,
  SMALL(
   IF(EXACT(Master!$M$2:$M$272,Rosters!$A$128),
    ROW(Master!A$2:A$272)-ROW(Master!A$2)+1
    ),
   ROWS(Master!A$2:'Master'!A6)
  )
 ),"")</f>
        <v>Shawna/John</v>
      </c>
      <c r="F134" s="8" t="str">
        <f t="array" ref="F134">IFERROR(
 INDEX(Master!B$2:B$272,
  SMALL(
   IF(EXACT(Master!$M$2:$M$272,Rosters!$A$128),
    ROW(Master!B$2:B$272)-ROW(Master!B$2)+1
    ),
   ROWS(Master!B$2:'Master'!B6)
  )
 ),"")</f>
        <v>Davis</v>
      </c>
      <c r="G134" s="7">
        <f t="array" ref="G134">IFERROR(
 INDEX(Master!K$2:K$272,
  SMALL(
   IF(EXACT(Master!$M$2:$M$272,Rosters!$A$128),
    ROW(Master!K$2:K$272)-ROW(Master!K$2)+1
    ),
   ROWS(Master!K$2:'Master'!K6)
  )
 ),"")</f>
        <v>937</v>
      </c>
      <c r="H134" s="7" t="str">
        <f t="array" ref="H134">IFERROR(
 INDEX(Master!L$2:L$272,
  SMALL(
   IF(EXACT(Master!$M$2:$M$272,Rosters!$A$128),
    ROW(Master!L$2:L$272)-ROW(Master!L$2)+1
    ),
   ROWS(Master!L$2:'Master'!L6)
  )
 ),"")</f>
        <v>241-3595</v>
      </c>
      <c r="I134" s="8" t="str">
        <f t="array" ref="I134">IFERROR(
 INDEX(Master!Q$2:Q$272,
  SMALL(
   IF(EXACT(Master!$M$2:$M$272,Rosters!$A$128),
    ROW(Master!Q$2:Q$272)-ROW(Master!Q$2)+1
    ),
   ROWS(Master!Q$2:'Master'!Q6)
  )
 ),"")</f>
        <v>iansmom247@gmail.com</v>
      </c>
    </row>
    <row r="135" spans="1:9" x14ac:dyDescent="0.25">
      <c r="A135" s="7">
        <v>6</v>
      </c>
      <c r="B135" s="8" t="str">
        <f t="array" ref="B135">IFERROR(
 INDEX(Master!C$2:C$272,
  SMALL(
   IF(EXACT(Master!$M$2:$M$272,Rosters!$A$128),
    ROW(Master!C$2:C$272)-ROW(Master!C$2)+1
    ),
   ROWS(Master!C$2:'Master'!C7)
  )
 ),"")</f>
        <v>Leighton</v>
      </c>
      <c r="C135" s="8" t="str">
        <f t="array" ref="C135">IFERROR(
INDEX(Master!D$2:D$272,
SMALL(
IF(EXACT(Master!$M$2:$M$272,Rosters!$A$128),
ROW(Master!D$2:D$272)-ROW(Master!D$2)+1
),
ROWS(Master!D$2:'Master'!D7)
)
),"")</f>
        <v>Ellinger</v>
      </c>
      <c r="D135" s="7">
        <f t="array" aca="1" ref="D135" ca="1">IFERROR(
 INDEX(Master!O$2:O$272,
  SMALL(
   IF(EXACT(Master!$M$2:$M$272,Rosters!$A$128),
    ROW(Master!O$2:O$272)-ROW(Master!O$2)+1
    ),
   ROWS(Master!O$2:'Master'!O7)
  )
 ),"")</f>
        <v>12</v>
      </c>
      <c r="E135" s="8" t="str">
        <f t="array" ref="E135">IFERROR(
 INDEX(Master!A$2:A$272,
  SMALL(
   IF(EXACT(Master!$M$2:$M$272,Rosters!$A$128),
    ROW(Master!A$2:A$272)-ROW(Master!A$2)+1
    ),
   ROWS(Master!A$2:'Master'!A7)
  )
 ),"")</f>
        <v>Brandi</v>
      </c>
      <c r="F135" s="8" t="str">
        <f t="array" ref="F135">IFERROR(
 INDEX(Master!B$2:B$272,
  SMALL(
   IF(EXACT(Master!$M$2:$M$272,Rosters!$A$128),
    ROW(Master!B$2:B$272)-ROW(Master!B$2)+1
    ),
   ROWS(Master!B$2:'Master'!B7)
  )
 ),"")</f>
        <v>Schaefer</v>
      </c>
      <c r="G135" s="7">
        <f t="array" ref="G135">IFERROR(
 INDEX(Master!K$2:K$272,
  SMALL(
   IF(EXACT(Master!$M$2:$M$272,Rosters!$A$128),
    ROW(Master!K$2:K$272)-ROW(Master!K$2)+1
    ),
   ROWS(Master!K$2:'Master'!K7)
  )
 ),"")</f>
        <v>937</v>
      </c>
      <c r="H135" s="7" t="str">
        <f t="array" ref="H135">IFERROR(
 INDEX(Master!L$2:L$272,
  SMALL(
   IF(EXACT(Master!$M$2:$M$272,Rosters!$A$128),
    ROW(Master!L$2:L$272)-ROW(Master!L$2)+1
    ),
   ROWS(Master!L$2:'Master'!L7)
  )
 ),"")</f>
        <v>925-6722</v>
      </c>
      <c r="I135" s="8" t="str">
        <f t="array" ref="I135">IFERROR(
 INDEX(Master!Q$2:Q$272,
  SMALL(
   IF(EXACT(Master!$M$2:$M$272,Rosters!$A$128),
    ROW(Master!Q$2:Q$272)-ROW(Master!Q$2)+1
    ),
   ROWS(Master!Q$2:'Master'!Q7)
  )
 ),"")</f>
        <v>blschaefer@rocketmail.com</v>
      </c>
    </row>
    <row r="136" spans="1:9" x14ac:dyDescent="0.25">
      <c r="A136" s="7">
        <v>7</v>
      </c>
      <c r="B136" s="8" t="str">
        <f t="array" ref="B136">IFERROR(
 INDEX(Master!C$2:C$272,
  SMALL(
   IF(EXACT(Master!$M$2:$M$272,Rosters!$A$128),
    ROW(Master!C$2:C$272)-ROW(Master!C$2)+1
    ),
   ROWS(Master!C$2:'Master'!C8)
  )
 ),"")</f>
        <v>Matthew</v>
      </c>
      <c r="C136" s="8" t="str">
        <f t="array" ref="C136">IFERROR(
INDEX(Master!D$2:D$272,
SMALL(
IF(EXACT(Master!$M$2:$M$272,Rosters!$A$128),
ROW(Master!D$2:D$272)-ROW(Master!D$2)+1
),
ROWS(Master!D$2:'Master'!D8)
)
),"")</f>
        <v>Greely</v>
      </c>
      <c r="D136" s="7">
        <f t="array" aca="1" ref="D136" ca="1">IFERROR(
 INDEX(Master!O$2:O$272,
  SMALL(
   IF(EXACT(Master!$M$2:$M$272,Rosters!$A$128),
    ROW(Master!O$2:O$272)-ROW(Master!O$2)+1
    ),
   ROWS(Master!O$2:'Master'!O8)
  )
 ),"")</f>
        <v>16</v>
      </c>
      <c r="E136" s="8" t="str">
        <f t="array" ref="E136">IFERROR(
 INDEX(Master!A$2:A$272,
  SMALL(
   IF(EXACT(Master!$M$2:$M$272,Rosters!$A$128),
    ROW(Master!A$2:A$272)-ROW(Master!A$2)+1
    ),
   ROWS(Master!A$2:'Master'!A8)
  )
 ),"")</f>
        <v>Poleena/Michael</v>
      </c>
      <c r="F136" s="8" t="str">
        <f t="array" ref="F136">IFERROR(
 INDEX(Master!B$2:B$272,
  SMALL(
   IF(EXACT(Master!$M$2:$M$272,Rosters!$A$128),
    ROW(Master!B$2:B$272)-ROW(Master!B$2)+1
    ),
   ROWS(Master!B$2:'Master'!B8)
  )
 ),"")</f>
        <v>Greely</v>
      </c>
      <c r="G136" s="7">
        <f t="array" ref="G136">IFERROR(
 INDEX(Master!K$2:K$272,
  SMALL(
   IF(EXACT(Master!$M$2:$M$272,Rosters!$A$128),
    ROW(Master!K$2:K$272)-ROW(Master!K$2)+1
    ),
   ROWS(Master!K$2:'Master'!K8)
  )
 ),"")</f>
        <v>937</v>
      </c>
      <c r="H136" s="7" t="str">
        <f t="array" ref="H136">IFERROR(
 INDEX(Master!L$2:L$272,
  SMALL(
   IF(EXACT(Master!$M$2:$M$272,Rosters!$A$128),
    ROW(Master!L$2:L$272)-ROW(Master!L$2)+1
    ),
   ROWS(Master!L$2:'Master'!L8)
  )
 ),"")</f>
        <v>829-5953</v>
      </c>
      <c r="I136" s="8" t="str">
        <f t="array" ref="I136">IFERROR(
 INDEX(Master!Q$2:Q$272,
  SMALL(
   IF(EXACT(Master!$M$2:$M$272,Rosters!$A$128),
    ROW(Master!Q$2:Q$272)-ROW(Master!Q$2)+1
    ),
   ROWS(Master!Q$2:'Master'!Q8)
  )
 ),"")</f>
        <v>poleena@ymail.com</v>
      </c>
    </row>
    <row r="137" spans="1:9" x14ac:dyDescent="0.25">
      <c r="A137" s="7">
        <v>8</v>
      </c>
      <c r="B137" s="8" t="str">
        <f t="array" ref="B137">IFERROR(
 INDEX(Master!C$2:C$272,
  SMALL(
   IF(EXACT(Master!$M$2:$M$272,Rosters!$A$128),
    ROW(Master!C$2:C$272)-ROW(Master!C$2)+1
    ),
   ROWS(Master!C$2:'Master'!C9)
  )
 ),"")</f>
        <v>Alexander</v>
      </c>
      <c r="C137" s="8" t="str">
        <f t="array" ref="C137">IFERROR(
INDEX(Master!D$2:D$272,
SMALL(
IF(EXACT(Master!$M$2:$M$272,Rosters!$A$128),
ROW(Master!D$2:D$272)-ROW(Master!D$2)+1
),
ROWS(Master!D$2:'Master'!D9)
)
),"")</f>
        <v>Holecek</v>
      </c>
      <c r="D137" s="7">
        <f t="array" aca="1" ref="D137" ca="1">IFERROR(
 INDEX(Master!O$2:O$272,
  SMALL(
   IF(EXACT(Master!$M$2:$M$272,Rosters!$A$128),
    ROW(Master!O$2:O$272)-ROW(Master!O$2)+1
    ),
   ROWS(Master!O$2:'Master'!O9)
  )
 ),"")</f>
        <v>19</v>
      </c>
      <c r="E137" s="8" t="str">
        <f t="array" ref="E137">IFERROR(
 INDEX(Master!A$2:A$272,
  SMALL(
   IF(EXACT(Master!$M$2:$M$272,Rosters!$A$128),
    ROW(Master!A$2:A$272)-ROW(Master!A$2)+1
    ),
   ROWS(Master!A$2:'Master'!A9)
  )
 ),"")</f>
        <v>Angela</v>
      </c>
      <c r="F137" s="8" t="str">
        <f t="array" ref="F137">IFERROR(
 INDEX(Master!B$2:B$272,
  SMALL(
   IF(EXACT(Master!$M$2:$M$272,Rosters!$A$128),
    ROW(Master!B$2:B$272)-ROW(Master!B$2)+1
    ),
   ROWS(Master!B$2:'Master'!B9)
  )
 ),"")</f>
        <v>Cleveland-Holecek</v>
      </c>
      <c r="G137" s="7">
        <f t="array" ref="G137">IFERROR(
 INDEX(Master!K$2:K$272,
  SMALL(
   IF(EXACT(Master!$M$2:$M$272,Rosters!$A$128),
    ROW(Master!K$2:K$272)-ROW(Master!K$2)+1
    ),
   ROWS(Master!K$2:'Master'!K9)
  )
 ),"")</f>
        <v>608</v>
      </c>
      <c r="H137" s="7" t="str">
        <f t="array" ref="H137">IFERROR(
 INDEX(Master!L$2:L$272,
  SMALL(
   IF(EXACT(Master!$M$2:$M$272,Rosters!$A$128),
    ROW(Master!L$2:L$272)-ROW(Master!L$2)+1
    ),
   ROWS(Master!L$2:'Master'!L9)
  )
 ),"")</f>
        <v>385-1007</v>
      </c>
      <c r="I137" s="8" t="str">
        <f t="array" ref="I137">IFERROR(
 INDEX(Master!Q$2:Q$272,
  SMALL(
   IF(EXACT(Master!$M$2:$M$272,Rosters!$A$128),
    ROW(Master!Q$2:Q$272)-ROW(Master!Q$2)+1
    ),
   ROWS(Master!Q$2:'Master'!Q9)
  )
 ),"")</f>
        <v>aclevelalax@gmail.com</v>
      </c>
    </row>
    <row r="138" spans="1:9" x14ac:dyDescent="0.25">
      <c r="A138" s="7">
        <v>9</v>
      </c>
      <c r="B138" s="8" t="str">
        <f t="array" ref="B138">IFERROR(
 INDEX(Master!C$2:C$272,
  SMALL(
   IF(EXACT(Master!$M$2:$M$272,Rosters!$A$128),
    ROW(Master!C$2:C$272)-ROW(Master!C$2)+1
    ),
   ROWS(Master!C$2:'Master'!C10)
  )
 ),"")</f>
        <v>Sophie</v>
      </c>
      <c r="C138" s="8" t="str">
        <f t="array" ref="C138">IFERROR(
INDEX(Master!D$2:D$272,
SMALL(
IF(EXACT(Master!$M$2:$M$272,Rosters!$A$128),
ROW(Master!D$2:D$272)-ROW(Master!D$2)+1
),
ROWS(Master!D$2:'Master'!D10)
)
),"")</f>
        <v>Jackson</v>
      </c>
      <c r="D138" s="7">
        <f t="array" aca="1" ref="D138" ca="1">IFERROR(
 INDEX(Master!O$2:O$272,
  SMALL(
   IF(EXACT(Master!$M$2:$M$272,Rosters!$A$128),
    ROW(Master!O$2:O$272)-ROW(Master!O$2)+1
    ),
   ROWS(Master!O$2:'Master'!O10)
  )
 ),"")</f>
        <v>18</v>
      </c>
      <c r="E138" s="8" t="str">
        <f t="array" ref="E138">IFERROR(
 INDEX(Master!A$2:A$272,
  SMALL(
   IF(EXACT(Master!$M$2:$M$272,Rosters!$A$128),
    ROW(Master!A$2:A$272)-ROW(Master!A$2)+1
    ),
   ROWS(Master!A$2:'Master'!A10)
  )
 ),"")</f>
        <v>Diane/Bob</v>
      </c>
      <c r="F138" s="8" t="str">
        <f t="array" ref="F138">IFERROR(
 INDEX(Master!B$2:B$272,
  SMALL(
   IF(EXACT(Master!$M$2:$M$272,Rosters!$A$128),
    ROW(Master!B$2:B$272)-ROW(Master!B$2)+1
    ),
   ROWS(Master!B$2:'Master'!B10)
  )
 ),"")</f>
        <v>Jackson</v>
      </c>
      <c r="G138" s="7">
        <f t="array" ref="G138">IFERROR(
 INDEX(Master!K$2:K$272,
  SMALL(
   IF(EXACT(Master!$M$2:$M$272,Rosters!$A$128),
    ROW(Master!K$2:K$272)-ROW(Master!K$2)+1
    ),
   ROWS(Master!K$2:'Master'!K10)
  )
 ),"")</f>
        <v>937</v>
      </c>
      <c r="H138" s="7" t="str">
        <f t="array" ref="H138">IFERROR(
 INDEX(Master!L$2:L$272,
  SMALL(
   IF(EXACT(Master!$M$2:$M$272,Rosters!$A$128),
    ROW(Master!L$2:L$272)-ROW(Master!L$2)+1
    ),
   ROWS(Master!L$2:'Master'!L10)
  )
 ),"")</f>
        <v>320-9753</v>
      </c>
      <c r="I138" s="8" t="str">
        <f t="array" ref="I138">IFERROR(
 INDEX(Master!Q$2:Q$272,
  SMALL(
   IF(EXACT(Master!$M$2:$M$272,Rosters!$A$128),
    ROW(Master!Q$2:Q$272)-ROW(Master!Q$2)+1
    ),
   ROWS(Master!Q$2:'Master'!Q10)
  )
 ),"")</f>
        <v>bndjackson@ameritech.net</v>
      </c>
    </row>
    <row r="139" spans="1:9" x14ac:dyDescent="0.25">
      <c r="A139" s="7">
        <v>10</v>
      </c>
      <c r="B139" s="8" t="str">
        <f t="array" ref="B139">IFERROR(
 INDEX(Master!C$2:C$272,
  SMALL(
   IF(EXACT(Master!$M$2:$M$272,Rosters!$A$128),
    ROW(Master!C$2:C$272)-ROW(Master!C$2)+1
    ),
   ROWS(Master!C$2:'Master'!C11)
  )
 ),"")</f>
        <v>Everett</v>
      </c>
      <c r="C139" s="8" t="str">
        <f t="array" ref="C139">IFERROR(
INDEX(Master!D$2:D$272,
SMALL(
IF(EXACT(Master!$M$2:$M$272,Rosters!$A$128),
ROW(Master!D$2:D$272)-ROW(Master!D$2)+1
),
ROWS(Master!D$2:'Master'!D11)
)
),"")</f>
        <v>Jones</v>
      </c>
      <c r="D139" s="7">
        <f t="array" aca="1" ref="D139" ca="1">IFERROR(
 INDEX(Master!O$2:O$272,
  SMALL(
   IF(EXACT(Master!$M$2:$M$272,Rosters!$A$128),
    ROW(Master!O$2:O$272)-ROW(Master!O$2)+1
    ),
   ROWS(Master!O$2:'Master'!O11)
  )
 ),"")</f>
        <v>13</v>
      </c>
      <c r="E139" s="8" t="str">
        <f t="array" ref="E139">IFERROR(
 INDEX(Master!A$2:A$272,
  SMALL(
   IF(EXACT(Master!$M$2:$M$272,Rosters!$A$128),
    ROW(Master!A$2:A$272)-ROW(Master!A$2)+1
    ),
   ROWS(Master!A$2:'Master'!A11)
  )
 ),"")</f>
        <v>Lisa</v>
      </c>
      <c r="F139" s="8" t="str">
        <f t="array" ref="F139">IFERROR(
 INDEX(Master!B$2:B$272,
  SMALL(
   IF(EXACT(Master!$M$2:$M$272,Rosters!$A$128),
    ROW(Master!B$2:B$272)-ROW(Master!B$2)+1
    ),
   ROWS(Master!B$2:'Master'!B11)
  )
 ),"")</f>
        <v>Jones</v>
      </c>
      <c r="G139" s="7">
        <f t="array" ref="G139">IFERROR(
 INDEX(Master!K$2:K$272,
  SMALL(
   IF(EXACT(Master!$M$2:$M$272,Rosters!$A$128),
    ROW(Master!K$2:K$272)-ROW(Master!K$2)+1
    ),
   ROWS(Master!K$2:'Master'!K11)
  )
 ),"")</f>
        <v>937</v>
      </c>
      <c r="H139" s="7" t="str">
        <f t="array" ref="H139">IFERROR(
 INDEX(Master!L$2:L$272,
  SMALL(
   IF(EXACT(Master!$M$2:$M$272,Rosters!$A$128),
    ROW(Master!L$2:L$272)-ROW(Master!L$2)+1
    ),
   ROWS(Master!L$2:'Master'!L11)
  )
 ),"")</f>
        <v>293-9366</v>
      </c>
      <c r="I139" s="8" t="str">
        <f t="array" ref="I139">IFERROR(
 INDEX(Master!Q$2:Q$272,
  SMALL(
   IF(EXACT(Master!$M$2:$M$272,Rosters!$A$128),
    ROW(Master!Q$2:Q$272)-ROW(Master!Q$2)+1
    ),
   ROWS(Master!Q$2:'Master'!Q11)
  )
 ),"")</f>
        <v>lrjones3414@roadrunner.com</v>
      </c>
    </row>
    <row r="140" spans="1:9" x14ac:dyDescent="0.25">
      <c r="A140" s="7">
        <v>11</v>
      </c>
      <c r="B140" s="8" t="str">
        <f t="array" ref="B140">IFERROR(
 INDEX(Master!C$2:C$272,
  SMALL(
   IF(EXACT(Master!$M$2:$M$272,Rosters!$A$128),
    ROW(Master!C$2:C$272)-ROW(Master!C$2)+1
    ),
   ROWS(Master!C$2:'Master'!C12)
  )
 ),"")</f>
        <v>Madison</v>
      </c>
      <c r="C140" s="8" t="str">
        <f t="array" ref="C140">IFERROR(
INDEX(Master!D$2:D$272,
SMALL(
IF(EXACT(Master!$M$2:$M$272,Rosters!$A$128),
ROW(Master!D$2:D$272)-ROW(Master!D$2)+1
),
ROWS(Master!D$2:'Master'!D12)
)
),"")</f>
        <v>Landers</v>
      </c>
      <c r="D140" s="7">
        <f t="array" aca="1" ref="D140" ca="1">IFERROR(
 INDEX(Master!O$2:O$272,
  SMALL(
   IF(EXACT(Master!$M$2:$M$272,Rosters!$A$128),
    ROW(Master!O$2:O$272)-ROW(Master!O$2)+1
    ),
   ROWS(Master!O$2:'Master'!O12)
  )
 ),"")</f>
        <v>20</v>
      </c>
      <c r="E140" s="8" t="str">
        <f t="array" ref="E140">IFERROR(
 INDEX(Master!A$2:A$272,
  SMALL(
   IF(EXACT(Master!$M$2:$M$272,Rosters!$A$128),
    ROW(Master!A$2:A$272)-ROW(Master!A$2)+1
    ),
   ROWS(Master!A$2:'Master'!A12)
  )
 ),"")</f>
        <v>Nataleee</v>
      </c>
      <c r="F140" s="8" t="str">
        <f t="array" ref="F140">IFERROR(
 INDEX(Master!B$2:B$272,
  SMALL(
   IF(EXACT(Master!$M$2:$M$272,Rosters!$A$128),
    ROW(Master!B$2:B$272)-ROW(Master!B$2)+1
    ),
   ROWS(Master!B$2:'Master'!B12)
  )
 ),"")</f>
        <v>Mossing</v>
      </c>
      <c r="G140" s="7">
        <f t="array" ref="G140">IFERROR(
 INDEX(Master!K$2:K$272,
  SMALL(
   IF(EXACT(Master!$M$2:$M$272,Rosters!$A$128),
    ROW(Master!K$2:K$272)-ROW(Master!K$2)+1
    ),
   ROWS(Master!K$2:'Master'!K12)
  )
 ),"")</f>
        <v>937</v>
      </c>
      <c r="H140" s="7" t="str">
        <f t="array" ref="H140">IFERROR(
 INDEX(Master!L$2:L$272,
  SMALL(
   IF(EXACT(Master!$M$2:$M$272,Rosters!$A$128),
    ROW(Master!L$2:L$272)-ROW(Master!L$2)+1
    ),
   ROWS(Master!L$2:'Master'!L12)
  )
 ),"")</f>
        <v>671-0416</v>
      </c>
      <c r="I140" s="8" t="str">
        <f t="array" ref="I140">IFERROR(
 INDEX(Master!Q$2:Q$272,
  SMALL(
   IF(EXACT(Master!$M$2:$M$272,Rosters!$A$128),
    ROW(Master!Q$2:Q$272)-ROW(Master!Q$2)+1
    ),
   ROWS(Master!Q$2:'Master'!Q12)
  )
 ),"")</f>
        <v>mossingnat@yahoo.com</v>
      </c>
    </row>
    <row r="141" spans="1:9" x14ac:dyDescent="0.25">
      <c r="A141" s="7">
        <v>12</v>
      </c>
      <c r="B141" s="8" t="str">
        <f t="array" ref="B141">IFERROR(
 INDEX(Master!C$2:C$272,
  SMALL(
   IF(EXACT(Master!$M$2:$M$272,Rosters!$A$128),
    ROW(Master!C$2:C$272)-ROW(Master!C$2)+1
    ),
   ROWS(Master!C$2:'Master'!C13)
  )
 ),"")</f>
        <v>Gemma</v>
      </c>
      <c r="C141" s="8" t="str">
        <f t="array" ref="C141">IFERROR(
INDEX(Master!D$2:D$272,
SMALL(
IF(EXACT(Master!$M$2:$M$272,Rosters!$A$128),
ROW(Master!D$2:D$272)-ROW(Master!D$2)+1
),
ROWS(Master!D$2:'Master'!D13)
)
),"")</f>
        <v>Nessler</v>
      </c>
      <c r="D141" s="7">
        <f t="array" aca="1" ref="D141" ca="1">IFERROR(
 INDEX(Master!O$2:O$272,
  SMALL(
   IF(EXACT(Master!$M$2:$M$272,Rosters!$A$128),
    ROW(Master!O$2:O$272)-ROW(Master!O$2)+1
    ),
   ROWS(Master!O$2:'Master'!O13)
  )
 ),"")</f>
        <v>13</v>
      </c>
      <c r="E141" s="8" t="str">
        <f t="array" ref="E141">IFERROR(
 INDEX(Master!A$2:A$272,
  SMALL(
   IF(EXACT(Master!$M$2:$M$272,Rosters!$A$128),
    ROW(Master!A$2:A$272)-ROW(Master!A$2)+1
    ),
   ROWS(Master!A$2:'Master'!A13)
  )
 ),"")</f>
        <v>Krista</v>
      </c>
      <c r="F141" s="8" t="str">
        <f t="array" ref="F141">IFERROR(
 INDEX(Master!B$2:B$272,
  SMALL(
   IF(EXACT(Master!$M$2:$M$272,Rosters!$A$128),
    ROW(Master!B$2:B$272)-ROW(Master!B$2)+1
    ),
   ROWS(Master!B$2:'Master'!B13)
  )
 ),"")</f>
        <v>Nessler</v>
      </c>
      <c r="G141" s="7">
        <f t="array" ref="G141">IFERROR(
 INDEX(Master!K$2:K$272,
  SMALL(
   IF(EXACT(Master!$M$2:$M$272,Rosters!$A$128),
    ROW(Master!K$2:K$272)-ROW(Master!K$2)+1
    ),
   ROWS(Master!K$2:'Master'!K13)
  )
 ),"")</f>
        <v>513</v>
      </c>
      <c r="H141" s="7" t="str">
        <f t="array" ref="H141">IFERROR(
 INDEX(Master!L$2:L$272,
  SMALL(
   IF(EXACT(Master!$M$2:$M$272,Rosters!$A$128),
    ROW(Master!L$2:L$272)-ROW(Master!L$2)+1
    ),
   ROWS(Master!L$2:'Master'!L13)
  )
 ),"")</f>
        <v>348-9564</v>
      </c>
      <c r="I141" s="8" t="str">
        <f t="array" ref="I141">IFERROR(
 INDEX(Master!Q$2:Q$272,
  SMALL(
   IF(EXACT(Master!$M$2:$M$272,Rosters!$A$128),
    ROW(Master!Q$2:Q$272)-ROW(Master!Q$2)+1
    ),
   ROWS(Master!Q$2:'Master'!Q13)
  )
 ),"")</f>
        <v>kdnessler@gmail.com</v>
      </c>
    </row>
    <row r="142" spans="1:9" x14ac:dyDescent="0.25">
      <c r="A142" s="7">
        <v>13</v>
      </c>
      <c r="B142" s="8" t="str">
        <f t="array" ref="B142">IFERROR(
 INDEX(Master!C$2:C$272,
  SMALL(
   IF(EXACT(Master!$M$2:$M$272,Rosters!$A$128),
    ROW(Master!C$2:C$272)-ROW(Master!C$2)+1
    ),
   ROWS(Master!C$2:'Master'!C14)
  )
 ),"")</f>
        <v>Patrick</v>
      </c>
      <c r="C142" s="8" t="str">
        <f t="array" ref="C142">IFERROR(
INDEX(Master!D$2:D$272,
SMALL(
IF(EXACT(Master!$M$2:$M$272,Rosters!$A$128),
ROW(Master!D$2:D$272)-ROW(Master!D$2)+1
),
ROWS(Master!D$2:'Master'!D14)
)
),"")</f>
        <v>O'Brien</v>
      </c>
      <c r="D142" s="7">
        <f t="array" aca="1" ref="D142" ca="1">IFERROR(
 INDEX(Master!O$2:O$272,
  SMALL(
   IF(EXACT(Master!$M$2:$M$272,Rosters!$A$128),
    ROW(Master!O$2:O$272)-ROW(Master!O$2)+1
    ),
   ROWS(Master!O$2:'Master'!O14)
  )
 ),"")</f>
        <v>16</v>
      </c>
      <c r="E142" s="8" t="str">
        <f t="array" ref="E142">IFERROR(
 INDEX(Master!A$2:A$272,
  SMALL(
   IF(EXACT(Master!$M$2:$M$272,Rosters!$A$128),
    ROW(Master!A$2:A$272)-ROW(Master!A$2)+1
    ),
   ROWS(Master!A$2:'Master'!A14)
  )
 ),"")</f>
        <v>Kara</v>
      </c>
      <c r="F142" s="8" t="str">
        <f t="array" ref="F142">IFERROR(
 INDEX(Master!B$2:B$272,
  SMALL(
   IF(EXACT(Master!$M$2:$M$272,Rosters!$A$128),
    ROW(Master!B$2:B$272)-ROW(Master!B$2)+1
    ),
   ROWS(Master!B$2:'Master'!B14)
  )
 ),"")</f>
        <v>Kilian</v>
      </c>
      <c r="G142" s="7">
        <f t="array" ref="G142">IFERROR(
 INDEX(Master!K$2:K$272,
  SMALL(
   IF(EXACT(Master!$M$2:$M$272,Rosters!$A$128),
    ROW(Master!K$2:K$272)-ROW(Master!K$2)+1
    ),
   ROWS(Master!K$2:'Master'!K14)
  )
 ),"")</f>
        <v>937</v>
      </c>
      <c r="H142" s="7" t="str">
        <f t="array" ref="H142">IFERROR(
 INDEX(Master!L$2:L$272,
  SMALL(
   IF(EXACT(Master!$M$2:$M$272,Rosters!$A$128),
    ROW(Master!L$2:L$272)-ROW(Master!L$2)+1
    ),
   ROWS(Master!L$2:'Master'!L14)
  )
 ),"")</f>
        <v>474-7216</v>
      </c>
      <c r="I142" s="8" t="str">
        <f t="array" ref="I142">IFERROR(
 INDEX(Master!Q$2:Q$272,
  SMALL(
   IF(EXACT(Master!$M$2:$M$272,Rosters!$A$128),
    ROW(Master!Q$2:Q$272)-ROW(Master!Q$2)+1
    ),
   ROWS(Master!Q$2:'Master'!Q14)
  )
 ),"")</f>
        <v>kara_kilian@hotmail.com</v>
      </c>
    </row>
    <row r="143" spans="1:9" x14ac:dyDescent="0.25">
      <c r="A143" s="7">
        <v>14</v>
      </c>
      <c r="B143" s="8" t="str">
        <f t="array" ref="B143">IFERROR(
 INDEX(Master!C$2:C$272,
  SMALL(
   IF(EXACT(Master!$M$2:$M$272,Rosters!$A$128),
    ROW(Master!C$2:C$272)-ROW(Master!C$2)+1
    ),
   ROWS(Master!C$2:'Master'!C15)
  )
 ),"")</f>
        <v>Kylie</v>
      </c>
      <c r="C143" s="8" t="str">
        <f t="array" ref="C143">IFERROR(
INDEX(Master!D$2:D$272,
SMALL(
IF(EXACT(Master!$M$2:$M$272,Rosters!$A$128),
ROW(Master!D$2:D$272)-ROW(Master!D$2)+1
),
ROWS(Master!D$2:'Master'!D15)
)
),"")</f>
        <v>Peters</v>
      </c>
      <c r="D143" s="7">
        <f t="array" aca="1" ref="D143" ca="1">IFERROR(
 INDEX(Master!O$2:O$272,
  SMALL(
   IF(EXACT(Master!$M$2:$M$272,Rosters!$A$128),
    ROW(Master!O$2:O$272)-ROW(Master!O$2)+1
    ),
   ROWS(Master!O$2:'Master'!O15)
  )
 ),"")</f>
        <v>17</v>
      </c>
      <c r="E143" s="8" t="str">
        <f t="array" ref="E143">IFERROR(
 INDEX(Master!A$2:A$272,
  SMALL(
   IF(EXACT(Master!$M$2:$M$272,Rosters!$A$128),
    ROW(Master!A$2:A$272)-ROW(Master!A$2)+1
    ),
   ROWS(Master!A$2:'Master'!A15)
  )
 ),"")</f>
        <v>Kent</v>
      </c>
      <c r="F143" s="8" t="str">
        <f t="array" ref="F143">IFERROR(
 INDEX(Master!B$2:B$272,
  SMALL(
   IF(EXACT(Master!$M$2:$M$272,Rosters!$A$128),
    ROW(Master!B$2:B$272)-ROW(Master!B$2)+1
    ),
   ROWS(Master!B$2:'Master'!B15)
  )
 ),"")</f>
        <v>Peters</v>
      </c>
      <c r="G143" s="7">
        <f t="array" ref="G143">IFERROR(
 INDEX(Master!K$2:K$272,
  SMALL(
   IF(EXACT(Master!$M$2:$M$272,Rosters!$A$128),
    ROW(Master!K$2:K$272)-ROW(Master!K$2)+1
    ),
   ROWS(Master!K$2:'Master'!K15)
  )
 ),"")</f>
        <v>937</v>
      </c>
      <c r="H143" s="7" t="str">
        <f t="array" ref="H143">IFERROR(
 INDEX(Master!L$2:L$272,
  SMALL(
   IF(EXACT(Master!$M$2:$M$272,Rosters!$A$128),
    ROW(Master!L$2:L$272)-ROW(Master!L$2)+1
    ),
   ROWS(Master!L$2:'Master'!L15)
  )
 ),"")</f>
        <v>580-8721</v>
      </c>
      <c r="I143" s="8" t="str">
        <f t="array" ref="I143">IFERROR(
 INDEX(Master!Q$2:Q$272,
  SMALL(
   IF(EXACT(Master!$M$2:$M$272,Rosters!$A$128),
    ROW(Master!Q$2:Q$272)-ROW(Master!Q$2)+1
    ),
   ROWS(Master!Q$2:'Master'!Q15)
  )
 ),"")</f>
        <v>kentnative12@gmail.com</v>
      </c>
    </row>
    <row r="144" spans="1:9" x14ac:dyDescent="0.25">
      <c r="A144" s="7">
        <v>15</v>
      </c>
      <c r="B144" s="8" t="str">
        <f t="array" ref="B144">IFERROR(
 INDEX(Master!C$2:C$272,
  SMALL(
   IF(EXACT(Master!$M$2:$M$272,Rosters!$A$128),
    ROW(Master!C$2:C$272)-ROW(Master!C$2)+1
    ),
   ROWS(Master!C$2:'Master'!C16)
  )
 ),"")</f>
        <v>Breyshun</v>
      </c>
      <c r="C144" s="8" t="str">
        <f t="array" ref="C144">IFERROR(
INDEX(Master!D$2:D$272,
SMALL(
IF(EXACT(Master!$M$2:$M$272,Rosters!$A$128),
ROW(Master!D$2:D$272)-ROW(Master!D$2)+1
),
ROWS(Master!D$2:'Master'!D16)
)
),"")</f>
        <v>Price</v>
      </c>
      <c r="D144" s="7">
        <f t="array" aca="1" ref="D144" ca="1">IFERROR(
 INDEX(Master!O$2:O$272,
  SMALL(
   IF(EXACT(Master!$M$2:$M$272,Rosters!$A$128),
    ROW(Master!O$2:O$272)-ROW(Master!O$2)+1
    ),
   ROWS(Master!O$2:'Master'!O16)
  )
 ),"")</f>
        <v>16</v>
      </c>
      <c r="E144" s="8" t="str">
        <f t="array" ref="E144">IFERROR(
 INDEX(Master!A$2:A$272,
  SMALL(
   IF(EXACT(Master!$M$2:$M$272,Rosters!$A$128),
    ROW(Master!A$2:A$272)-ROW(Master!A$2)+1
    ),
   ROWS(Master!A$2:'Master'!A16)
  )
 ),"")</f>
        <v>Michelle</v>
      </c>
      <c r="F144" s="8" t="str">
        <f t="array" ref="F144">IFERROR(
 INDEX(Master!B$2:B$272,
  SMALL(
   IF(EXACT(Master!$M$2:$M$272,Rosters!$A$128),
    ROW(Master!B$2:B$272)-ROW(Master!B$2)+1
    ),
   ROWS(Master!B$2:'Master'!B16)
  )
 ),"")</f>
        <v>Hoefler</v>
      </c>
      <c r="G144" s="7">
        <f t="array" ref="G144">IFERROR(
 INDEX(Master!K$2:K$272,
  SMALL(
   IF(EXACT(Master!$M$2:$M$272,Rosters!$A$128),
    ROW(Master!K$2:K$272)-ROW(Master!K$2)+1
    ),
   ROWS(Master!K$2:'Master'!K16)
  )
 ),"")</f>
        <v>326</v>
      </c>
      <c r="H144" s="7" t="str">
        <f t="array" ref="H144">IFERROR(
 INDEX(Master!L$2:L$272,
  SMALL(
   IF(EXACT(Master!$M$2:$M$272,Rosters!$A$128),
    ROW(Master!L$2:L$272)-ROW(Master!L$2)+1
    ),
   ROWS(Master!L$2:'Master'!L16)
  )
 ),"")</f>
        <v>202-4006</v>
      </c>
      <c r="I144" s="8" t="str">
        <f t="array" ref="I144">IFERROR(
 INDEX(Master!Q$2:Q$272,
  SMALL(
   IF(EXACT(Master!$M$2:$M$272,Rosters!$A$128),
    ROW(Master!Q$2:Q$272)-ROW(Master!Q$2)+1
    ),
   ROWS(Master!Q$2:'Master'!Q16)
  )
 ),"")</f>
        <v>michellehoefler29@gmail.com</v>
      </c>
    </row>
    <row r="145" spans="1:9" x14ac:dyDescent="0.25">
      <c r="A145" s="7">
        <v>16</v>
      </c>
      <c r="B145" s="8" t="str">
        <f t="array" ref="B145">IFERROR(
 INDEX(Master!C$2:C$272,
  SMALL(
   IF(EXACT(Master!$M$2:$M$272,Rosters!$A$128),
    ROW(Master!C$2:C$272)-ROW(Master!C$2)+1
    ),
   ROWS(Master!C$2:'Master'!C17)
  )
 ),"")</f>
        <v>Zac</v>
      </c>
      <c r="C145" s="8" t="str">
        <f t="array" ref="C145">IFERROR(
INDEX(Master!D$2:D$272,
SMALL(
IF(EXACT(Master!$M$2:$M$272,Rosters!$A$128),
ROW(Master!D$2:D$272)-ROW(Master!D$2)+1
),
ROWS(Master!D$2:'Master'!D17)
)
),"")</f>
        <v>Sparks</v>
      </c>
      <c r="D145" s="7">
        <f t="array" aca="1" ref="D145" ca="1">IFERROR(
 INDEX(Master!O$2:O$272,
  SMALL(
   IF(EXACT(Master!$M$2:$M$272,Rosters!$A$128),
    ROW(Master!O$2:O$272)-ROW(Master!O$2)+1
    ),
   ROWS(Master!O$2:'Master'!O17)
  )
 ),"")</f>
        <v>17</v>
      </c>
      <c r="E145" s="8" t="str">
        <f t="array" ref="E145">IFERROR(
 INDEX(Master!A$2:A$272,
  SMALL(
   IF(EXACT(Master!$M$2:$M$272,Rosters!$A$128),
    ROW(Master!A$2:A$272)-ROW(Master!A$2)+1
    ),
   ROWS(Master!A$2:'Master'!A17)
  )
 ),"")</f>
        <v>Megan</v>
      </c>
      <c r="F145" s="8" t="str">
        <f t="array" ref="F145">IFERROR(
 INDEX(Master!B$2:B$272,
  SMALL(
   IF(EXACT(Master!$M$2:$M$272,Rosters!$A$128),
    ROW(Master!B$2:B$272)-ROW(Master!B$2)+1
    ),
   ROWS(Master!B$2:'Master'!B17)
  )
 ),"")</f>
        <v>Sparks</v>
      </c>
      <c r="G145" s="7">
        <f t="array" ref="G145">IFERROR(
 INDEX(Master!K$2:K$272,
  SMALL(
   IF(EXACT(Master!$M$2:$M$272,Rosters!$A$128),
    ROW(Master!K$2:K$272)-ROW(Master!K$2)+1
    ),
   ROWS(Master!K$2:'Master'!K17)
  )
 ),"")</f>
        <v>937</v>
      </c>
      <c r="H145" s="7" t="str">
        <f t="array" ref="H145">IFERROR(
 INDEX(Master!L$2:L$272,
  SMALL(
   IF(EXACT(Master!$M$2:$M$272,Rosters!$A$128),
    ROW(Master!L$2:L$272)-ROW(Master!L$2)+1
    ),
   ROWS(Master!L$2:'Master'!L17)
  )
 ),"")</f>
        <v>439-3923</v>
      </c>
      <c r="I145" s="8" t="str">
        <f t="array" ref="I145">IFERROR(
 INDEX(Master!Q$2:Q$272,
  SMALL(
   IF(EXACT(Master!$M$2:$M$272,Rosters!$A$128),
    ROW(Master!Q$2:Q$272)-ROW(Master!Q$2)+1
    ),
   ROWS(Master!Q$2:'Master'!Q17)
  )
 ),"")</f>
        <v>spar_4234@hotmail.com</v>
      </c>
    </row>
    <row r="146" spans="1:9" x14ac:dyDescent="0.25">
      <c r="A146" s="7">
        <v>17</v>
      </c>
      <c r="B146" s="8" t="str">
        <f t="array" ref="B146">IFERROR(
 INDEX(Master!C$2:C$272,
  SMALL(
   IF(EXACT(Master!$M$2:$M$272,Rosters!$A$128),
    ROW(Master!C$2:C$272)-ROW(Master!C$2)+1
    ),
   ROWS(Master!C$2:'Master'!C18)
  )
 ),"")</f>
        <v>Jack</v>
      </c>
      <c r="C146" s="8" t="str">
        <f t="array" ref="C146">IFERROR(
INDEX(Master!D$2:D$272,
SMALL(
IF(EXACT(Master!$M$2:$M$272,Rosters!$A$128),
ROW(Master!D$2:D$272)-ROW(Master!D$2)+1
),
ROWS(Master!D$2:'Master'!D18)
)
),"")</f>
        <v>Tittle</v>
      </c>
      <c r="D146" s="7">
        <f t="array" aca="1" ref="D146" ca="1">IFERROR(
 INDEX(Master!O$2:O$272,
  SMALL(
   IF(EXACT(Master!$M$2:$M$272,Rosters!$A$128),
    ROW(Master!O$2:O$272)-ROW(Master!O$2)+1
    ),
   ROWS(Master!O$2:'Master'!O18)
  )
 ),"")</f>
        <v>13</v>
      </c>
      <c r="E146" s="8" t="str">
        <f t="array" ref="E146">IFERROR(
 INDEX(Master!A$2:A$272,
  SMALL(
   IF(EXACT(Master!$M$2:$M$272,Rosters!$A$128),
    ROW(Master!A$2:A$272)-ROW(Master!A$2)+1
    ),
   ROWS(Master!A$2:'Master'!A18)
  )
 ),"")</f>
        <v>Kellli</v>
      </c>
      <c r="F146" s="8" t="str">
        <f t="array" ref="F146">IFERROR(
 INDEX(Master!B$2:B$272,
  SMALL(
   IF(EXACT(Master!$M$2:$M$272,Rosters!$A$128),
    ROW(Master!B$2:B$272)-ROW(Master!B$2)+1
    ),
   ROWS(Master!B$2:'Master'!B18)
  )
 ),"")</f>
        <v>Tittle</v>
      </c>
      <c r="G146" s="7">
        <f t="array" ref="G146">IFERROR(
 INDEX(Master!K$2:K$272,
  SMALL(
   IF(EXACT(Master!$M$2:$M$272,Rosters!$A$128),
    ROW(Master!K$2:K$272)-ROW(Master!K$2)+1
    ),
   ROWS(Master!K$2:'Master'!K18)
  )
 ),"")</f>
        <v>937</v>
      </c>
      <c r="H146" s="7" t="str">
        <f t="array" ref="H146">IFERROR(
 INDEX(Master!L$2:L$272,
  SMALL(
   IF(EXACT(Master!$M$2:$M$272,Rosters!$A$128),
    ROW(Master!L$2:L$272)-ROW(Master!L$2)+1
    ),
   ROWS(Master!L$2:'Master'!L18)
  )
 ),"")</f>
        <v>266-6650</v>
      </c>
      <c r="I146" s="8" t="str">
        <f t="array" ref="I146">IFERROR(
 INDEX(Master!Q$2:Q$272,
  SMALL(
   IF(EXACT(Master!$M$2:$M$272,Rosters!$A$128),
    ROW(Master!Q$2:Q$272)-ROW(Master!Q$2)+1
    ),
   ROWS(Master!Q$2:'Master'!Q18)
  )
 ),"")</f>
        <v>kcraig6650@gmail.com</v>
      </c>
    </row>
    <row r="147" spans="1:9" x14ac:dyDescent="0.25">
      <c r="A147" s="7">
        <v>18</v>
      </c>
      <c r="B147" s="8" t="str">
        <f t="array" ref="B147">IFERROR(
 INDEX(Master!C$2:C$272,
  SMALL(
   IF(EXACT(Master!$M$2:$M$272,Rosters!$A$128),
    ROW(Master!C$2:C$272)-ROW(Master!C$2)+1
    ),
   ROWS(Master!C$2:'Master'!C19)
  )
 ),"")</f>
        <v>Vincent</v>
      </c>
      <c r="C147" s="8" t="str">
        <f t="array" ref="C147">IFERROR(
INDEX(Master!D$2:D$272,
SMALL(
IF(EXACT(Master!$M$2:$M$272,Rosters!$A$128),
ROW(Master!D$2:D$272)-ROW(Master!D$2)+1
),
ROWS(Master!D$2:'Master'!D19)
)
),"")</f>
        <v>Van Zant</v>
      </c>
      <c r="D147" s="7">
        <f t="array" aca="1" ref="D147" ca="1">IFERROR(
 INDEX(Master!O$2:O$272,
  SMALL(
   IF(EXACT(Master!$M$2:$M$272,Rosters!$A$128),
    ROW(Master!O$2:O$272)-ROW(Master!O$2)+1
    ),
   ROWS(Master!O$2:'Master'!O19)
  )
 ),"")</f>
        <v>16</v>
      </c>
      <c r="E147" s="8" t="str">
        <f t="array" ref="E147">IFERROR(
 INDEX(Master!A$2:A$272,
  SMALL(
   IF(EXACT(Master!$M$2:$M$272,Rosters!$A$128),
    ROW(Master!A$2:A$272)-ROW(Master!A$2)+1
    ),
   ROWS(Master!A$2:'Master'!A19)
  )
 ),"")</f>
        <v>Jason</v>
      </c>
      <c r="F147" s="8" t="str">
        <f t="array" ref="F147">IFERROR(
 INDEX(Master!B$2:B$272,
  SMALL(
   IF(EXACT(Master!$M$2:$M$272,Rosters!$A$128),
    ROW(Master!B$2:B$272)-ROW(Master!B$2)+1
    ),
   ROWS(Master!B$2:'Master'!B19)
  )
 ),"")</f>
        <v>Van Zant</v>
      </c>
      <c r="G147" s="7">
        <f t="array" ref="G147">IFERROR(
 INDEX(Master!K$2:K$272,
  SMALL(
   IF(EXACT(Master!$M$2:$M$272,Rosters!$A$128),
    ROW(Master!K$2:K$272)-ROW(Master!K$2)+1
    ),
   ROWS(Master!K$2:'Master'!K19)
  )
 ),"")</f>
        <v>937</v>
      </c>
      <c r="H147" s="7" t="str">
        <f t="array" ref="H147">IFERROR(
 INDEX(Master!L$2:L$272,
  SMALL(
   IF(EXACT(Master!$M$2:$M$272,Rosters!$A$128),
    ROW(Master!L$2:L$272)-ROW(Master!L$2)+1
    ),
   ROWS(Master!L$2:'Master'!L19)
  )
 ),"")</f>
        <v>603-8199</v>
      </c>
      <c r="I147" s="8" t="str">
        <f t="array" ref="I147">IFERROR(
 INDEX(Master!Q$2:Q$272,
  SMALL(
   IF(EXACT(Master!$M$2:$M$272,Rosters!$A$128),
    ROW(Master!Q$2:Q$272)-ROW(Master!Q$2)+1
    ),
   ROWS(Master!Q$2:'Master'!Q19)
  )
 ),"")</f>
        <v>jlv2125@gmail.com</v>
      </c>
    </row>
    <row r="148" spans="1:9" x14ac:dyDescent="0.25">
      <c r="A148" s="7">
        <v>19</v>
      </c>
      <c r="B148" s="8" t="str">
        <f t="array" ref="B148">IFERROR(
 INDEX(Master!C$2:C$272,
  SMALL(
   IF(EXACT(Master!$M$2:$M$272,Rosters!$A$128),
    ROW(Master!C$2:C$272)-ROW(Master!C$2)+1
    ),
   ROWS(Master!C$2:'Master'!C20)
  )
 ),"")</f>
        <v>Andrew</v>
      </c>
      <c r="C148" s="8" t="str">
        <f t="array" ref="C148">IFERROR(
INDEX(Master!D$2:D$272,
SMALL(
IF(EXACT(Master!$M$2:$M$272,Rosters!$A$128),
ROW(Master!D$2:D$272)-ROW(Master!D$2)+1
),
ROWS(Master!D$2:'Master'!D20)
)
),"")</f>
        <v>Zecchini</v>
      </c>
      <c r="D148" s="7">
        <f t="array" aca="1" ref="D148" ca="1">IFERROR(
 INDEX(Master!O$2:O$272,
  SMALL(
   IF(EXACT(Master!$M$2:$M$272,Rosters!$A$128),
    ROW(Master!O$2:O$272)-ROW(Master!O$2)+1
    ),
   ROWS(Master!O$2:'Master'!O20)
  )
 ),"")</f>
        <v>14</v>
      </c>
      <c r="E148" s="8" t="str">
        <f t="array" ref="E148">IFERROR(
 INDEX(Master!A$2:A$272,
  SMALL(
   IF(EXACT(Master!$M$2:$M$272,Rosters!$A$128),
    ROW(Master!A$2:A$272)-ROW(Master!A$2)+1
    ),
   ROWS(Master!A$2:'Master'!A20)
  )
 ),"")</f>
        <v>Kelly/Andrew</v>
      </c>
      <c r="F148" s="8" t="str">
        <f t="array" ref="F148">IFERROR(
 INDEX(Master!B$2:B$272,
  SMALL(
   IF(EXACT(Master!$M$2:$M$272,Rosters!$A$128),
    ROW(Master!B$2:B$272)-ROW(Master!B$2)+1
    ),
   ROWS(Master!B$2:'Master'!B20)
  )
 ),"")</f>
        <v>Zecchini</v>
      </c>
      <c r="G148" s="7">
        <f t="array" ref="G148">IFERROR(
 INDEX(Master!K$2:K$272,
  SMALL(
   IF(EXACT(Master!$M$2:$M$272,Rosters!$A$128),
    ROW(Master!K$2:K$272)-ROW(Master!K$2)+1
    ),
   ROWS(Master!K$2:'Master'!K20)
  )
 ),"")</f>
        <v>937</v>
      </c>
      <c r="H148" s="7" t="str">
        <f t="array" ref="H148">IFERROR(
 INDEX(Master!L$2:L$272,
  SMALL(
   IF(EXACT(Master!$M$2:$M$272,Rosters!$A$128),
    ROW(Master!L$2:L$272)-ROW(Master!L$2)+1
    ),
   ROWS(Master!L$2:'Master'!L20)
  )
 ),"")</f>
        <v>239-7731</v>
      </c>
      <c r="I148" s="8" t="str">
        <f t="array" ref="I148">IFERROR(
 INDEX(Master!Q$2:Q$272,
  SMALL(
   IF(EXACT(Master!$M$2:$M$272,Rosters!$A$128),
    ROW(Master!Q$2:Q$272)-ROW(Master!Q$2)+1
    ),
   ROWS(Master!Q$2:'Master'!Q20)
  )
 ),"")</f>
        <v>kellymzecchini@gmail.com</v>
      </c>
    </row>
    <row r="149" spans="1:9" x14ac:dyDescent="0.25">
      <c r="A149" s="7"/>
      <c r="B149" s="8" t="str">
        <f t="array" ref="B149">IFERROR(
 INDEX(Master!C$2:C$272,
  SMALL(
   IF(EXACT(Master!$M$2:$M$272,Rosters!$A$128),
    ROW(Master!C$2:C$272)-ROW(Master!C$2)+1
    ),
   ROWS(Master!C$2:'Master'!C21)
  )
 ),"")</f>
        <v/>
      </c>
      <c r="C149" s="8" t="str">
        <f t="array" ref="C149">IFERROR(
INDEX(Master!D$2:D$272,
SMALL(
IF(EXACT(Master!$M$2:$M$272,Rosters!$A$128),
ROW(Master!D$2:D$272)-ROW(Master!D$2)+1
),
ROWS(Master!D$2:'Master'!D21)
)
),"")</f>
        <v/>
      </c>
      <c r="D149" s="7" t="str">
        <f t="array" ref="D149">IFERROR(
 INDEX(Master!O$2:O$272,
  SMALL(
   IF(EXACT(Master!$M$2:$M$272,Rosters!$A$128),
    ROW(Master!O$2:O$272)-ROW(Master!O$2)+1
    ),
   ROWS(Master!O$2:'Master'!O21)
  )
 ),"")</f>
        <v/>
      </c>
      <c r="E149" s="8" t="str">
        <f t="array" ref="E149">IFERROR(
 INDEX(Master!A$2:A$272,
  SMALL(
   IF(EXACT(Master!$M$2:$M$272,Rosters!$A$128),
    ROW(Master!A$2:A$272)-ROW(Master!A$2)+1
    ),
   ROWS(Master!A$2:'Master'!A21)
  )
 ),"")</f>
        <v/>
      </c>
      <c r="F149" s="8" t="str">
        <f t="array" ref="F149">IFERROR(
 INDEX(Master!B$2:B$272,
  SMALL(
   IF(EXACT(Master!$M$2:$M$272,Rosters!$A$128),
    ROW(Master!B$2:B$272)-ROW(Master!B$2)+1
    ),
   ROWS(Master!B$2:'Master'!B21)
  )
 ),"")</f>
        <v/>
      </c>
      <c r="G149" s="7" t="str">
        <f t="array" ref="G149">IFERROR(
 INDEX(Master!K$2:K$272,
  SMALL(
   IF(EXACT(Master!$M$2:$M$272,Rosters!$A$128),
    ROW(Master!K$2:K$272)-ROW(Master!K$2)+1
    ),
   ROWS(Master!K$2:'Master'!K21)
  )
 ),"")</f>
        <v/>
      </c>
      <c r="H149" s="7" t="str">
        <f t="array" ref="H149">IFERROR(
 INDEX(Master!L$2:L$272,
  SMALL(
   IF(EXACT(Master!$M$2:$M$272,Rosters!$A$128),
    ROW(Master!L$2:L$272)-ROW(Master!L$2)+1
    ),
   ROWS(Master!L$2:'Master'!L21)
  )
 ),"")</f>
        <v/>
      </c>
      <c r="I149" s="8" t="str">
        <f t="array" ref="I149">IFERROR(
 INDEX(Master!Q$2:Q$272,
  SMALL(
   IF(EXACT(Master!$M$2:$M$272,Rosters!$A$128),
    ROW(Master!Q$2:Q$272)-ROW(Master!Q$2)+1
    ),
   ROWS(Master!Q$2:'Master'!Q21)
  )
 ),"")</f>
        <v/>
      </c>
    </row>
    <row r="150" spans="1:9" x14ac:dyDescent="0.25">
      <c r="A150" s="7" t="str">
        <f t="shared" ref="A150:A159" si="3">IF($B150&lt;&gt;"",$A149+1,"")</f>
        <v/>
      </c>
      <c r="B150" s="8" t="str">
        <f t="array" ref="B150">IFERROR(
 INDEX(Master!C$2:C$272,
  SMALL(
   IF(EXACT(Master!$M$2:$M$272,Rosters!$A$128),
    ROW(Master!C$2:C$272)-ROW(Master!C$2)+1
    ),
   ROWS(Master!C$2:'Master'!C22)
  )
 ),"")</f>
        <v/>
      </c>
      <c r="C150" s="8" t="str">
        <f t="array" ref="C150">IFERROR(
INDEX(Master!D$2:D$272,
SMALL(
IF(EXACT(Master!$M$2:$M$272,Rosters!$A$128),
ROW(Master!D$2:D$272)-ROW(Master!D$2)+1
),
ROWS(Master!D$2:'Master'!D22)
)
),"")</f>
        <v/>
      </c>
      <c r="D150" s="7" t="str">
        <f t="array" ref="D150">IFERROR(
 INDEX(Master!O$2:O$272,
  SMALL(
   IF(EXACT(Master!$M$2:$M$272,Rosters!$A$128),
    ROW(Master!O$2:O$272)-ROW(Master!O$2)+1
    ),
   ROWS(Master!O$2:'Master'!O22)
  )
 ),"")</f>
        <v/>
      </c>
      <c r="E150" s="8" t="str">
        <f t="array" ref="E150">IFERROR(
 INDEX(Master!A$2:A$272,
  SMALL(
   IF(EXACT(Master!$M$2:$M$272,Rosters!$A$128),
    ROW(Master!A$2:A$272)-ROW(Master!A$2)+1
    ),
   ROWS(Master!A$2:'Master'!A22)
  )
 ),"")</f>
        <v/>
      </c>
      <c r="F150" s="8" t="str">
        <f t="array" ref="F150">IFERROR(
 INDEX(Master!B$2:B$272,
  SMALL(
   IF(EXACT(Master!$M$2:$M$272,Rosters!$A$128),
    ROW(Master!B$2:B$272)-ROW(Master!B$2)+1
    ),
   ROWS(Master!B$2:'Master'!B22)
  )
 ),"")</f>
        <v/>
      </c>
      <c r="G150" s="7" t="str">
        <f t="array" ref="G150">IFERROR(
 INDEX(Master!K$2:K$272,
  SMALL(
   IF(EXACT(Master!$M$2:$M$272,Rosters!$A$128),
    ROW(Master!K$2:K$272)-ROW(Master!K$2)+1
    ),
   ROWS(Master!K$2:'Master'!K22)
  )
 ),"")</f>
        <v/>
      </c>
      <c r="H150" s="7" t="str">
        <f t="array" ref="H150">IFERROR(
 INDEX(Master!L$2:L$272,
  SMALL(
   IF(EXACT(Master!$M$2:$M$272,Rosters!$A$128),
    ROW(Master!L$2:L$272)-ROW(Master!L$2)+1
    ),
   ROWS(Master!L$2:'Master'!L22)
  )
 ),"")</f>
        <v/>
      </c>
      <c r="I150" s="8" t="str">
        <f t="array" ref="I150">IFERROR(
 INDEX(Master!Q$2:Q$272,
  SMALL(
   IF(EXACT(Master!$M$2:$M$272,Rosters!$A$128),
    ROW(Master!Q$2:Q$272)-ROW(Master!Q$2)+1
    ),
   ROWS(Master!Q$2:'Master'!Q22)
  )
 ),"")</f>
        <v/>
      </c>
    </row>
    <row r="151" spans="1:9" x14ac:dyDescent="0.25">
      <c r="A151" s="7" t="str">
        <f t="shared" si="3"/>
        <v/>
      </c>
      <c r="B151" s="8" t="str">
        <f t="array" ref="B151">IFERROR(
 INDEX(Master!C$2:C$272,
  SMALL(
   IF(EXACT(Master!$M$2:$M$272,Rosters!$A$128),
    ROW(Master!C$2:C$272)-ROW(Master!C$2)+1
    ),
   ROWS(Master!C$2:'Master'!C23)
  )
 ),"")</f>
        <v/>
      </c>
      <c r="C151" s="8" t="str">
        <f t="array" ref="C151">IFERROR(
INDEX(Master!D$2:D$272,
SMALL(
IF(EXACT(Master!$M$2:$M$272,Rosters!$A$128),
ROW(Master!D$2:D$272)-ROW(Master!D$2)+1
),
ROWS(Master!D$2:'Master'!D23)
)
),"")</f>
        <v/>
      </c>
      <c r="D151" s="7" t="str">
        <f t="array" ref="D151">IFERROR(
 INDEX(Master!O$2:O$272,
  SMALL(
   IF(EXACT(Master!$M$2:$M$272,Rosters!$A$128),
    ROW(Master!O$2:O$272)-ROW(Master!O$2)+1
    ),
   ROWS(Master!O$2:'Master'!O23)
  )
 ),"")</f>
        <v/>
      </c>
      <c r="E151" s="8" t="str">
        <f t="array" ref="E151">IFERROR(
 INDEX(Master!A$2:A$272,
  SMALL(
   IF(EXACT(Master!$M$2:$M$272,Rosters!$A$128),
    ROW(Master!A$2:A$272)-ROW(Master!A$2)+1
    ),
   ROWS(Master!A$2:'Master'!A23)
  )
 ),"")</f>
        <v/>
      </c>
      <c r="F151" s="8" t="str">
        <f t="array" ref="F151">IFERROR(
 INDEX(Master!B$2:B$272,
  SMALL(
   IF(EXACT(Master!$M$2:$M$272,Rosters!$A$128),
    ROW(Master!B$2:B$272)-ROW(Master!B$2)+1
    ),
   ROWS(Master!B$2:'Master'!B23)
  )
 ),"")</f>
        <v/>
      </c>
      <c r="G151" s="7" t="str">
        <f t="array" ref="G151">IFERROR(
 INDEX(Master!K$2:K$272,
  SMALL(
   IF(EXACT(Master!$M$2:$M$272,Rosters!$A$128),
    ROW(Master!K$2:K$272)-ROW(Master!K$2)+1
    ),
   ROWS(Master!K$2:'Master'!K23)
  )
 ),"")</f>
        <v/>
      </c>
      <c r="H151" s="7" t="str">
        <f t="array" ref="H151">IFERROR(
 INDEX(Master!L$2:L$272,
  SMALL(
   IF(EXACT(Master!$M$2:$M$272,Rosters!$A$128),
    ROW(Master!L$2:L$272)-ROW(Master!L$2)+1
    ),
   ROWS(Master!L$2:'Master'!L23)
  )
 ),"")</f>
        <v/>
      </c>
      <c r="I151" s="8" t="str">
        <f t="array" ref="I151">IFERROR(
 INDEX(Master!Q$2:Q$272,
  SMALL(
   IF(EXACT(Master!$M$2:$M$272,Rosters!$A$128),
    ROW(Master!Q$2:Q$272)-ROW(Master!Q$2)+1
    ),
   ROWS(Master!Q$2:'Master'!Q23)
  )
 ),"")</f>
        <v/>
      </c>
    </row>
    <row r="152" spans="1:9" x14ac:dyDescent="0.25">
      <c r="A152" s="7" t="str">
        <f t="shared" si="3"/>
        <v/>
      </c>
      <c r="B152" s="8" t="str">
        <f t="array" ref="B152">IFERROR(
 INDEX(Master!C$2:C$272,
  SMALL(
   IF(EXACT(Master!$M$2:$M$272,Rosters!$A$128),
    ROW(Master!C$2:C$272)-ROW(Master!C$2)+1
    ),
   ROWS(Master!C$2:'Master'!C24)
  )
 ),"")</f>
        <v/>
      </c>
      <c r="C152" s="8" t="str">
        <f t="array" ref="C152">IFERROR(
INDEX(Master!D$2:D$272,
SMALL(
IF(EXACT(Master!$M$2:$M$272,Rosters!$A$128),
ROW(Master!D$2:D$272)-ROW(Master!D$2)+1
),
ROWS(Master!D$2:'Master'!D24)
)
),"")</f>
        <v/>
      </c>
      <c r="D152" s="7" t="str">
        <f t="array" ref="D152">IFERROR(
 INDEX(Master!O$2:O$272,
  SMALL(
   IF(EXACT(Master!$M$2:$M$272,Rosters!$A$128),
    ROW(Master!O$2:O$272)-ROW(Master!O$2)+1
    ),
   ROWS(Master!O$2:'Master'!O24)
  )
 ),"")</f>
        <v/>
      </c>
      <c r="E152" s="8" t="str">
        <f t="array" ref="E152">IFERROR(
 INDEX(Master!A$2:A$272,
  SMALL(
   IF(EXACT(Master!$M$2:$M$272,Rosters!$A$128),
    ROW(Master!A$2:A$272)-ROW(Master!A$2)+1
    ),
   ROWS(Master!A$2:'Master'!A24)
  )
 ),"")</f>
        <v/>
      </c>
      <c r="F152" s="8" t="str">
        <f t="array" ref="F152">IFERROR(
 INDEX(Master!B$2:B$272,
  SMALL(
   IF(EXACT(Master!$M$2:$M$272,Rosters!$A$128),
    ROW(Master!B$2:B$272)-ROW(Master!B$2)+1
    ),
   ROWS(Master!B$2:'Master'!B24)
  )
 ),"")</f>
        <v/>
      </c>
      <c r="G152" s="7" t="str">
        <f t="array" ref="G152">IFERROR(
 INDEX(Master!K$2:K$272,
  SMALL(
   IF(EXACT(Master!$M$2:$M$272,Rosters!$A$128),
    ROW(Master!K$2:K$272)-ROW(Master!K$2)+1
    ),
   ROWS(Master!K$2:'Master'!K24)
  )
 ),"")</f>
        <v/>
      </c>
      <c r="H152" s="7" t="str">
        <f t="array" ref="H152">IFERROR(
 INDEX(Master!L$2:L$272,
  SMALL(
   IF(EXACT(Master!$M$2:$M$272,Rosters!$A$128),
    ROW(Master!L$2:L$272)-ROW(Master!L$2)+1
    ),
   ROWS(Master!L$2:'Master'!L24)
  )
 ),"")</f>
        <v/>
      </c>
      <c r="I152" s="8" t="str">
        <f t="array" ref="I152">IFERROR(
 INDEX(Master!Q$2:Q$272,
  SMALL(
   IF(EXACT(Master!$M$2:$M$272,Rosters!$A$128),
    ROW(Master!Q$2:Q$272)-ROW(Master!Q$2)+1
    ),
   ROWS(Master!Q$2:'Master'!Q24)
  )
 ),"")</f>
        <v/>
      </c>
    </row>
    <row r="153" spans="1:9" x14ac:dyDescent="0.25">
      <c r="A153" s="7" t="str">
        <f t="shared" si="3"/>
        <v/>
      </c>
      <c r="B153" s="8" t="str">
        <f t="array" ref="B153">IFERROR(
 INDEX(Master!C$2:C$272,
  SMALL(
   IF(EXACT(Master!$M$2:$M$272,Rosters!$A$128),
    ROW(Master!C$2:C$272)-ROW(Master!C$2)+1
    ),
   ROWS(Master!C$2:'Master'!C25)
  )
 ),"")</f>
        <v/>
      </c>
      <c r="C153" s="8" t="str">
        <f t="array" ref="C153">IFERROR(
INDEX(Master!D$2:D$272,
SMALL(
IF(EXACT(Master!$M$2:$M$272,Rosters!$A$128),
ROW(Master!D$2:D$272)-ROW(Master!D$2)+1
),
ROWS(Master!D$2:'Master'!D25)
)
),"")</f>
        <v/>
      </c>
      <c r="D153" s="7" t="str">
        <f t="array" ref="D153">IFERROR(
 INDEX(Master!O$2:O$272,
  SMALL(
   IF(EXACT(Master!$M$2:$M$272,Rosters!$A$128),
    ROW(Master!O$2:O$272)-ROW(Master!O$2)+1
    ),
   ROWS(Master!O$2:'Master'!O25)
  )
 ),"")</f>
        <v/>
      </c>
      <c r="E153" s="8" t="str">
        <f t="array" ref="E153">IFERROR(
 INDEX(Master!A$2:A$272,
  SMALL(
   IF(EXACT(Master!$M$2:$M$272,Rosters!$A$128),
    ROW(Master!A$2:A$272)-ROW(Master!A$2)+1
    ),
   ROWS(Master!A$2:'Master'!A25)
  )
 ),"")</f>
        <v/>
      </c>
      <c r="F153" s="8" t="str">
        <f t="array" ref="F153">IFERROR(
 INDEX(Master!B$2:B$272,
  SMALL(
   IF(EXACT(Master!$M$2:$M$272,Rosters!$A$128),
    ROW(Master!B$2:B$272)-ROW(Master!B$2)+1
    ),
   ROWS(Master!B$2:'Master'!B25)
  )
 ),"")</f>
        <v/>
      </c>
      <c r="G153" s="7" t="str">
        <f t="array" ref="G153">IFERROR(
 INDEX(Master!K$2:K$272,
  SMALL(
   IF(EXACT(Master!$M$2:$M$272,Rosters!$A$128),
    ROW(Master!K$2:K$272)-ROW(Master!K$2)+1
    ),
   ROWS(Master!K$2:'Master'!K25)
  )
 ),"")</f>
        <v/>
      </c>
      <c r="H153" s="7" t="str">
        <f t="array" ref="H153">IFERROR(
 INDEX(Master!L$2:L$272,
  SMALL(
   IF(EXACT(Master!$M$2:$M$272,Rosters!$A$128),
    ROW(Master!L$2:L$272)-ROW(Master!L$2)+1
    ),
   ROWS(Master!L$2:'Master'!L25)
  )
 ),"")</f>
        <v/>
      </c>
      <c r="I153" s="8" t="str">
        <f t="array" ref="I153">IFERROR(
 INDEX(Master!Q$2:Q$272,
  SMALL(
   IF(EXACT(Master!$M$2:$M$272,Rosters!$A$128),
    ROW(Master!Q$2:Q$272)-ROW(Master!Q$2)+1
    ),
   ROWS(Master!Q$2:'Master'!Q25)
  )
 ),"")</f>
        <v/>
      </c>
    </row>
    <row r="154" spans="1:9" x14ac:dyDescent="0.25">
      <c r="A154" s="7" t="str">
        <f t="shared" si="3"/>
        <v/>
      </c>
      <c r="B154" s="8" t="str">
        <f t="array" ref="B154">IFERROR(
 INDEX(Master!C$2:C$272,
  SMALL(
   IF(EXACT(Master!$M$2:$M$272,Rosters!$A$128),
    ROW(Master!C$2:C$272)-ROW(Master!C$2)+1
    ),
   ROWS(Master!C$2:'Master'!C26)
  )
 ),"")</f>
        <v/>
      </c>
      <c r="C154" s="8" t="str">
        <f t="array" ref="C154">IFERROR(
INDEX(Master!D$2:D$272,
SMALL(
IF(EXACT(Master!$M$2:$M$272,Rosters!$A$128),
ROW(Master!D$2:D$272)-ROW(Master!D$2)+1
),
ROWS(Master!D$2:'Master'!D26)
)
),"")</f>
        <v/>
      </c>
      <c r="D154" s="7" t="str">
        <f t="array" ref="D154">IFERROR(
 INDEX(Master!O$2:O$272,
  SMALL(
   IF(EXACT(Master!$M$2:$M$272,Rosters!$A$128),
    ROW(Master!O$2:O$272)-ROW(Master!O$2)+1
    ),
   ROWS(Master!O$2:'Master'!O26)
  )
 ),"")</f>
        <v/>
      </c>
      <c r="E154" s="8" t="str">
        <f t="array" ref="E154">IFERROR(
 INDEX(Master!A$2:A$272,
  SMALL(
   IF(EXACT(Master!$M$2:$M$272,Rosters!$A$128),
    ROW(Master!A$2:A$272)-ROW(Master!A$2)+1
    ),
   ROWS(Master!A$2:'Master'!A26)
  )
 ),"")</f>
        <v/>
      </c>
      <c r="F154" s="8" t="str">
        <f t="array" ref="F154">IFERROR(
 INDEX(Master!B$2:B$272,
  SMALL(
   IF(EXACT(Master!$M$2:$M$272,Rosters!$A$128),
    ROW(Master!B$2:B$272)-ROW(Master!B$2)+1
    ),
   ROWS(Master!B$2:'Master'!B26)
  )
 ),"")</f>
        <v/>
      </c>
      <c r="G154" s="7" t="str">
        <f t="array" ref="G154">IFERROR(
 INDEX(Master!K$2:K$272,
  SMALL(
   IF(EXACT(Master!$M$2:$M$272,Rosters!$A$128),
    ROW(Master!K$2:K$272)-ROW(Master!K$2)+1
    ),
   ROWS(Master!K$2:'Master'!K26)
  )
 ),"")</f>
        <v/>
      </c>
      <c r="H154" s="7" t="str">
        <f t="array" ref="H154">IFERROR(
 INDEX(Master!L$2:L$272,
  SMALL(
   IF(EXACT(Master!$M$2:$M$272,Rosters!$A$128),
    ROW(Master!L$2:L$272)-ROW(Master!L$2)+1
    ),
   ROWS(Master!L$2:'Master'!L26)
  )
 ),"")</f>
        <v/>
      </c>
      <c r="I154" s="8" t="str">
        <f t="array" ref="I154">IFERROR(
 INDEX(Master!Q$2:Q$272,
  SMALL(
   IF(EXACT(Master!$M$2:$M$272,Rosters!$A$128),
    ROW(Master!Q$2:Q$272)-ROW(Master!Q$2)+1
    ),
   ROWS(Master!Q$2:'Master'!Q26)
  )
 ),"")</f>
        <v/>
      </c>
    </row>
    <row r="155" spans="1:9" x14ac:dyDescent="0.25">
      <c r="A155" s="7" t="str">
        <f t="shared" si="3"/>
        <v/>
      </c>
      <c r="B155" s="8" t="str">
        <f t="array" ref="B155">IFERROR(
 INDEX(Master!C$2:C$272,
  SMALL(
   IF(EXACT(Master!$M$2:$M$272,Rosters!$A$128),
    ROW(Master!C$2:C$272)-ROW(Master!C$2)+1
    ),
   ROWS(Master!C$2:'Master'!C27)
  )
 ),"")</f>
        <v/>
      </c>
      <c r="C155" s="8" t="str">
        <f t="array" ref="C155">IFERROR(
INDEX(Master!D$2:D$272,
SMALL(
IF(EXACT(Master!$M$2:$M$272,Rosters!$A$128),
ROW(Master!D$2:D$272)-ROW(Master!D$2)+1
),
ROWS(Master!D$2:'Master'!D27)
)
),"")</f>
        <v/>
      </c>
      <c r="D155" s="7" t="str">
        <f t="array" ref="D155">IFERROR(
 INDEX(Master!O$2:O$272,
  SMALL(
   IF(EXACT(Master!$M$2:$M$272,Rosters!$A$128),
    ROW(Master!O$2:O$272)-ROW(Master!O$2)+1
    ),
   ROWS(Master!O$2:'Master'!O27)
  )
 ),"")</f>
        <v/>
      </c>
      <c r="E155" s="8" t="str">
        <f t="array" ref="E155">IFERROR(
 INDEX(Master!A$2:A$272,
  SMALL(
   IF(EXACT(Master!$M$2:$M$272,Rosters!$A$128),
    ROW(Master!A$2:A$272)-ROW(Master!A$2)+1
    ),
   ROWS(Master!A$2:'Master'!A27)
  )
 ),"")</f>
        <v/>
      </c>
      <c r="F155" s="8" t="str">
        <f t="array" ref="F155">IFERROR(
 INDEX(Master!B$2:B$272,
  SMALL(
   IF(EXACT(Master!$M$2:$M$272,Rosters!$A$128),
    ROW(Master!B$2:B$272)-ROW(Master!B$2)+1
    ),
   ROWS(Master!B$2:'Master'!B27)
  )
 ),"")</f>
        <v/>
      </c>
      <c r="G155" s="7" t="str">
        <f t="array" ref="G155">IFERROR(
 INDEX(Master!K$2:K$272,
  SMALL(
   IF(EXACT(Master!$M$2:$M$272,Rosters!$A$128),
    ROW(Master!K$2:K$272)-ROW(Master!K$2)+1
    ),
   ROWS(Master!K$2:'Master'!K27)
  )
 ),"")</f>
        <v/>
      </c>
      <c r="H155" s="7" t="str">
        <f t="array" ref="H155">IFERROR(
 INDEX(Master!L$2:L$272,
  SMALL(
   IF(EXACT(Master!$M$2:$M$272,Rosters!$A$128),
    ROW(Master!L$2:L$272)-ROW(Master!L$2)+1
    ),
   ROWS(Master!L$2:'Master'!L27)
  )
 ),"")</f>
        <v/>
      </c>
      <c r="I155" s="8" t="str">
        <f t="array" ref="I155">IFERROR(
 INDEX(Master!Q$2:Q$272,
  SMALL(
   IF(EXACT(Master!$M$2:$M$272,Rosters!$A$128),
    ROW(Master!Q$2:Q$272)-ROW(Master!Q$2)+1
    ),
   ROWS(Master!Q$2:'Master'!Q27)
  )
 ),"")</f>
        <v/>
      </c>
    </row>
    <row r="156" spans="1:9" x14ac:dyDescent="0.25">
      <c r="A156" s="7" t="str">
        <f t="shared" si="3"/>
        <v/>
      </c>
      <c r="B156" s="8" t="str">
        <f t="array" ref="B156">IFERROR(
 INDEX(Master!C$2:C$272,
  SMALL(
   IF(EXACT(Master!$M$2:$M$272,Rosters!$A$128),
    ROW(Master!C$2:C$272)-ROW(Master!C$2)+1
    ),
   ROWS(Master!C$2:'Master'!C28)
  )
 ),"")</f>
        <v/>
      </c>
      <c r="C156" s="8" t="str">
        <f t="array" ref="C156">IFERROR(
INDEX(Master!D$2:D$272,
SMALL(
IF(EXACT(Master!$M$2:$M$272,Rosters!$A$128),
ROW(Master!D$2:D$272)-ROW(Master!D$2)+1
),
ROWS(Master!D$2:'Master'!D28)
)
),"")</f>
        <v/>
      </c>
      <c r="D156" s="7" t="str">
        <f t="array" ref="D156">IFERROR(
 INDEX(Master!O$2:O$272,
  SMALL(
   IF(EXACT(Master!$M$2:$M$272,Rosters!$A$128),
    ROW(Master!O$2:O$272)-ROW(Master!O$2)+1
    ),
   ROWS(Master!O$2:'Master'!O28)
  )
 ),"")</f>
        <v/>
      </c>
      <c r="E156" s="8" t="str">
        <f t="array" ref="E156">IFERROR(
 INDEX(Master!A$2:A$272,
  SMALL(
   IF(EXACT(Master!$M$2:$M$272,Rosters!$A$128),
    ROW(Master!A$2:A$272)-ROW(Master!A$2)+1
    ),
   ROWS(Master!A$2:'Master'!A28)
  )
 ),"")</f>
        <v/>
      </c>
      <c r="F156" s="8" t="str">
        <f t="array" ref="F156">IFERROR(
 INDEX(Master!B$2:B$272,
  SMALL(
   IF(EXACT(Master!$M$2:$M$272,Rosters!$A$128),
    ROW(Master!B$2:B$272)-ROW(Master!B$2)+1
    ),
   ROWS(Master!B$2:'Master'!B28)
  )
 ),"")</f>
        <v/>
      </c>
      <c r="G156" s="7" t="str">
        <f t="array" ref="G156">IFERROR(
 INDEX(Master!K$2:K$272,
  SMALL(
   IF(EXACT(Master!$M$2:$M$272,Rosters!$A$128),
    ROW(Master!K$2:K$272)-ROW(Master!K$2)+1
    ),
   ROWS(Master!K$2:'Master'!K28)
  )
 ),"")</f>
        <v/>
      </c>
      <c r="H156" s="7" t="str">
        <f t="array" ref="H156">IFERROR(
 INDEX(Master!L$2:L$272,
  SMALL(
   IF(EXACT(Master!$M$2:$M$272,Rosters!$A$128),
    ROW(Master!L$2:L$272)-ROW(Master!L$2)+1
    ),
   ROWS(Master!L$2:'Master'!L28)
  )
 ),"")</f>
        <v/>
      </c>
      <c r="I156" s="8" t="str">
        <f t="array" ref="I156">IFERROR(
 INDEX(Master!Q$2:Q$272,
  SMALL(
   IF(EXACT(Master!$M$2:$M$272,Rosters!$A$128),
    ROW(Master!Q$2:Q$272)-ROW(Master!Q$2)+1
    ),
   ROWS(Master!Q$2:'Master'!Q28)
  )
 ),"")</f>
        <v/>
      </c>
    </row>
    <row r="157" spans="1:9" x14ac:dyDescent="0.25">
      <c r="A157" s="7" t="str">
        <f t="shared" si="3"/>
        <v/>
      </c>
      <c r="B157" s="8" t="str">
        <f t="array" ref="B157">IFERROR(
 INDEX(Master!C$2:C$272,
  SMALL(
   IF(EXACT(Master!$M$2:$M$272,Rosters!$A$128),
    ROW(Master!C$2:C$272)-ROW(Master!C$2)+1
    ),
   ROWS(Master!C$2:'Master'!C29)
  )
 ),"")</f>
        <v/>
      </c>
      <c r="C157" s="8" t="str">
        <f t="array" ref="C157">IFERROR(
INDEX(Master!D$2:D$272,
SMALL(
IF(EXACT(Master!$M$2:$M$272,Rosters!$A$128),
ROW(Master!D$2:D$272)-ROW(Master!D$2)+1
),
ROWS(Master!D$2:'Master'!D29)
)
),"")</f>
        <v/>
      </c>
      <c r="D157" s="7" t="str">
        <f t="array" ref="D157">IFERROR(
 INDEX(Master!O$2:O$272,
  SMALL(
   IF(EXACT(Master!$M$2:$M$272,Rosters!$A$128),
    ROW(Master!O$2:O$272)-ROW(Master!O$2)+1
    ),
   ROWS(Master!O$2:'Master'!O29)
  )
 ),"")</f>
        <v/>
      </c>
      <c r="E157" s="8" t="str">
        <f t="array" ref="E157">IFERROR(
 INDEX(Master!A$2:A$272,
  SMALL(
   IF(EXACT(Master!$M$2:$M$272,Rosters!$A$128),
    ROW(Master!A$2:A$272)-ROW(Master!A$2)+1
    ),
   ROWS(Master!A$2:'Master'!A29)
  )
 ),"")</f>
        <v/>
      </c>
      <c r="F157" s="8" t="str">
        <f t="array" ref="F157">IFERROR(
 INDEX(Master!B$2:B$272,
  SMALL(
   IF(EXACT(Master!$M$2:$M$272,Rosters!$A$128),
    ROW(Master!B$2:B$272)-ROW(Master!B$2)+1
    ),
   ROWS(Master!B$2:'Master'!B29)
  )
 ),"")</f>
        <v/>
      </c>
      <c r="G157" s="7" t="str">
        <f t="array" ref="G157">IFERROR(
 INDEX(Master!K$2:K$272,
  SMALL(
   IF(EXACT(Master!$M$2:$M$272,Rosters!$A$128),
    ROW(Master!K$2:K$272)-ROW(Master!K$2)+1
    ),
   ROWS(Master!K$2:'Master'!K29)
  )
 ),"")</f>
        <v/>
      </c>
      <c r="H157" s="7" t="str">
        <f t="array" ref="H157">IFERROR(
 INDEX(Master!L$2:L$272,
  SMALL(
   IF(EXACT(Master!$M$2:$M$272,Rosters!$A$128),
    ROW(Master!L$2:L$272)-ROW(Master!L$2)+1
    ),
   ROWS(Master!L$2:'Master'!L29)
  )
 ),"")</f>
        <v/>
      </c>
      <c r="I157" s="8" t="str">
        <f t="array" ref="I157">IFERROR(
 INDEX(Master!Q$2:Q$272,
  SMALL(
   IF(EXACT(Master!$M$2:$M$272,Rosters!$A$128),
    ROW(Master!Q$2:Q$272)-ROW(Master!Q$2)+1
    ),
   ROWS(Master!Q$2:'Master'!Q29)
  )
 ),"")</f>
        <v/>
      </c>
    </row>
    <row r="158" spans="1:9" x14ac:dyDescent="0.25">
      <c r="A158" s="7" t="str">
        <f t="shared" si="3"/>
        <v/>
      </c>
      <c r="B158" s="8" t="str">
        <f t="array" ref="B158">IFERROR(
 INDEX(Master!C$2:C$272,
  SMALL(
   IF(EXACT(Master!$M$2:$M$272,Rosters!$A$128),
    ROW(Master!C$2:C$272)-ROW(Master!C$2)+1
    ),
   ROWS(Master!C$2:'Master'!C30)
  )
 ),"")</f>
        <v/>
      </c>
      <c r="C158" s="8" t="str">
        <f t="array" ref="C158">IFERROR(
INDEX(Master!D$2:D$272,
SMALL(
IF(EXACT(Master!$M$2:$M$272,Rosters!$A$128),
ROW(Master!D$2:D$272)-ROW(Master!D$2)+1
),
ROWS(Master!D$2:'Master'!D30)
)
),"")</f>
        <v/>
      </c>
      <c r="D158" s="7" t="str">
        <f t="array" ref="D158">IFERROR(
 INDEX(Master!O$2:O$272,
  SMALL(
   IF(EXACT(Master!$M$2:$M$272,Rosters!$A$128),
    ROW(Master!O$2:O$272)-ROW(Master!O$2)+1
    ),
   ROWS(Master!O$2:'Master'!O30)
  )
 ),"")</f>
        <v/>
      </c>
      <c r="E158" s="8" t="str">
        <f t="array" ref="E158">IFERROR(
 INDEX(Master!A$2:A$272,
  SMALL(
   IF(EXACT(Master!$M$2:$M$272,Rosters!$A$128),
    ROW(Master!A$2:A$272)-ROW(Master!A$2)+1
    ),
   ROWS(Master!A$2:'Master'!A30)
  )
 ),"")</f>
        <v/>
      </c>
      <c r="F158" s="8" t="str">
        <f t="array" ref="F158">IFERROR(
 INDEX(Master!B$2:B$272,
  SMALL(
   IF(EXACT(Master!$M$2:$M$272,Rosters!$A$128),
    ROW(Master!B$2:B$272)-ROW(Master!B$2)+1
    ),
   ROWS(Master!B$2:'Master'!B30)
  )
 ),"")</f>
        <v/>
      </c>
      <c r="G158" s="7" t="str">
        <f t="array" ref="G158">IFERROR(
 INDEX(Master!K$2:K$272,
  SMALL(
   IF(EXACT(Master!$M$2:$M$272,Rosters!$A$128),
    ROW(Master!K$2:K$272)-ROW(Master!K$2)+1
    ),
   ROWS(Master!K$2:'Master'!K30)
  )
 ),"")</f>
        <v/>
      </c>
      <c r="H158" s="7" t="str">
        <f t="array" ref="H158">IFERROR(
 INDEX(Master!L$2:L$272,
  SMALL(
   IF(EXACT(Master!$M$2:$M$272,Rosters!$A$128),
    ROW(Master!L$2:L$272)-ROW(Master!L$2)+1
    ),
   ROWS(Master!L$2:'Master'!L30)
  )
 ),"")</f>
        <v/>
      </c>
      <c r="I158" s="8" t="str">
        <f t="array" ref="I158">IFERROR(
 INDEX(Master!Q$2:Q$272,
  SMALL(
   IF(EXACT(Master!$M$2:$M$272,Rosters!$A$128),
    ROW(Master!Q$2:Q$272)-ROW(Master!Q$2)+1
    ),
   ROWS(Master!Q$2:'Master'!Q30)
  )
 ),"")</f>
        <v/>
      </c>
    </row>
    <row r="159" spans="1:9" x14ac:dyDescent="0.25">
      <c r="A159" s="7" t="str">
        <f t="shared" si="3"/>
        <v/>
      </c>
      <c r="B159" s="8" t="str">
        <f t="array" ref="B159">IFERROR(
 INDEX(Master!C$2:C$272,
  SMALL(
   IF(EXACT(Master!$M$2:$M$272,Rosters!$A$128),
    ROW(Master!C$2:C$272)-ROW(Master!C$2)+1
    ),
   ROWS(Master!C$2:'Master'!C31)
  )
 ),"")</f>
        <v/>
      </c>
      <c r="C159" s="8" t="str">
        <f t="array" ref="C159">IFERROR(
INDEX(Master!D$2:D$272,
SMALL(
IF(EXACT(Master!$M$2:$M$272,Rosters!$A$128),
ROW(Master!D$2:D$272)-ROW(Master!D$2)+1
),
ROWS(Master!D$2:'Master'!D31)
)
),"")</f>
        <v/>
      </c>
      <c r="D159" s="7" t="str">
        <f t="array" ref="D159">IFERROR(
 INDEX(Master!O$2:O$272,
  SMALL(
   IF(EXACT(Master!$M$2:$M$272,Rosters!$A$128),
    ROW(Master!O$2:O$272)-ROW(Master!O$2)+1
    ),
   ROWS(Master!O$2:'Master'!O31)
  )
 ),"")</f>
        <v/>
      </c>
      <c r="E159" s="8" t="str">
        <f t="array" ref="E159">IFERROR(
 INDEX(Master!A$2:A$272,
  SMALL(
   IF(EXACT(Master!$M$2:$M$272,Rosters!$A$128),
    ROW(Master!A$2:A$272)-ROW(Master!A$2)+1
    ),
   ROWS(Master!A$2:'Master'!A31)
  )
 ),"")</f>
        <v/>
      </c>
      <c r="F159" s="8" t="str">
        <f t="array" ref="F159">IFERROR(
 INDEX(Master!B$2:B$272,
  SMALL(
   IF(EXACT(Master!$M$2:$M$272,Rosters!$A$128),
    ROW(Master!B$2:B$272)-ROW(Master!B$2)+1
    ),
   ROWS(Master!B$2:'Master'!B31)
  )
 ),"")</f>
        <v/>
      </c>
      <c r="G159" s="7" t="str">
        <f t="array" ref="G159">IFERROR(
 INDEX(Master!K$2:K$272,
  SMALL(
   IF(EXACT(Master!$M$2:$M$272,Rosters!$A$128),
    ROW(Master!K$2:K$272)-ROW(Master!K$2)+1
    ),
   ROWS(Master!K$2:'Master'!K31)
  )
 ),"")</f>
        <v/>
      </c>
      <c r="H159" s="7" t="str">
        <f t="array" ref="H159">IFERROR(
 INDEX(Master!L$2:L$272,
  SMALL(
   IF(EXACT(Master!$M$2:$M$272,Rosters!$A$128),
    ROW(Master!L$2:L$272)-ROW(Master!L$2)+1
    ),
   ROWS(Master!L$2:'Master'!L31)
  )
 ),"")</f>
        <v/>
      </c>
      <c r="I159" s="8" t="str">
        <f t="array" ref="I159">IFERROR(
 INDEX(Master!Q$2:Q$272,
  SMALL(
   IF(EXACT(Master!$M$2:$M$272,Rosters!$A$128),
    ROW(Master!Q$2:Q$272)-ROW(Master!Q$2)+1
    ),
   ROWS(Master!Q$2:'Master'!Q31)
  )
 ),"")</f>
        <v/>
      </c>
    </row>
    <row r="160" spans="1:9" ht="35.1" customHeight="1" x14ac:dyDescent="0.4">
      <c r="A160" s="3" t="s">
        <v>168</v>
      </c>
      <c r="B160" s="1"/>
      <c r="C160" s="1"/>
      <c r="D160" s="4"/>
      <c r="E160" s="1" t="s">
        <v>1482</v>
      </c>
      <c r="F160" s="1" t="s">
        <v>483</v>
      </c>
      <c r="G160" s="4"/>
      <c r="H160" s="4"/>
      <c r="I160" s="35">
        <f ca="1">TODAY()</f>
        <v>46195</v>
      </c>
    </row>
    <row r="161" spans="1:9" ht="31.5" customHeight="1" x14ac:dyDescent="0.25">
      <c r="B161" s="5" t="s">
        <v>103</v>
      </c>
      <c r="C161" s="5" t="s">
        <v>104</v>
      </c>
      <c r="D161" s="5" t="s">
        <v>1624</v>
      </c>
      <c r="E161" s="5" t="s">
        <v>105</v>
      </c>
      <c r="F161" s="5" t="s">
        <v>106</v>
      </c>
      <c r="G161" s="5" t="s">
        <v>107</v>
      </c>
      <c r="H161" s="5" t="s">
        <v>108</v>
      </c>
      <c r="I161" s="6" t="s">
        <v>1</v>
      </c>
    </row>
    <row r="162" spans="1:9" x14ac:dyDescent="0.25">
      <c r="A162" s="7">
        <v>1</v>
      </c>
      <c r="B162" s="8" t="str">
        <f t="array" ref="B162">IFERROR(
 INDEX(Master!C$2:C$272,
  SMALL(
   IF(EXACT(Master!$M$2:$M$272,Rosters!$A$160),
    ROW(Master!C$2:C$272)-ROW(Master!C$2)+1
    ),
   ROWS(Master!C$2:'Master'!C2)
  )
 ),"")</f>
        <v>Benny</v>
      </c>
      <c r="C162" s="8" t="str">
        <f t="array" ref="C162">IFERROR(
INDEX(Master!D$2:D$272,
SMALL(
IF(EXACT(Master!$M$2:$M$272,Rosters!$A$160),
ROW(Master!D$2:D$272)-ROW(Master!D$2)+1
),
ROWS(Master!D$2:'Master'!D2)
)
),"")</f>
        <v>Calcutta</v>
      </c>
      <c r="D162" s="7">
        <f t="array" aca="1" ref="D162" ca="1">IFERROR(
 INDEX(Master!O$2:O$272,
  SMALL(
   IF(EXACT(Master!$M$2:$M$272,Rosters!$A$160),
    ROW(Master!O$2:O$272)-ROW(Master!O$2)+1
    ),
   ROWS(Master!O$2:'Master'!O2)
  )
 ),"")</f>
        <v>22</v>
      </c>
      <c r="E162" s="8" t="str">
        <f t="array" ref="E162">IFERROR(
 INDEX(Master!A$2:A$272,
  SMALL(
   IF(EXACT(Master!$M$2:$M$272,Rosters!$A$160),
    ROW(Master!A$2:A$272)-ROW(Master!A$2)+1
    ),
   ROWS(Master!A$2:'Master'!A2)
  )
 ),"")</f>
        <v>Tom/Laura</v>
      </c>
      <c r="F162" s="8" t="str">
        <f t="array" ref="F162">IFERROR(
 INDEX(Master!B$2:B$272,
  SMALL(
   IF(EXACT(Master!$M$2:$M$272,Rosters!$A$160),
    ROW(Master!B$2:B$272)-ROW(Master!B$2)+1
    ),
   ROWS(Master!B$2:'Master'!B2)
  )
 ),"")</f>
        <v>Calcutta</v>
      </c>
      <c r="G162" s="7">
        <f t="array" ref="G162">IFERROR(
 INDEX(Master!K$2:K$272,
  SMALL(
   IF(EXACT(Master!$M$2:$M$272,Rosters!$A$160),
    ROW(Master!K$2:K$272)-ROW(Master!K$2)+1
    ),
   ROWS(Master!K$2:'Master'!K2)
  )
 ),"")</f>
        <v>937</v>
      </c>
      <c r="H162" s="7" t="str">
        <f t="array" ref="H162">IFERROR(
 INDEX(Master!L$2:L$272,
  SMALL(
   IF(EXACT(Master!$M$2:$M$272,Rosters!$A$160),
    ROW(Master!L$2:L$272)-ROW(Master!L$2)+1
    ),
   ROWS(Master!L$2:'Master'!L2)
  )
 ),"")</f>
        <v>298-3261</v>
      </c>
      <c r="I162" s="8" t="str">
        <f t="array" ref="I162">IFERROR(
 INDEX(Master!Q$2:Q$272,
  SMALL(
   IF(EXACT(Master!$M$2:$M$272,Rosters!$A$160),
    ROW(Master!Q$2:Q$272)-ROW(Master!Q$2)+1
    ),
   ROWS(Master!Q$2:'Master'!Q2)
  )
 ),"")</f>
        <v>lauracalcutta@gmail.com</v>
      </c>
    </row>
    <row r="163" spans="1:9" x14ac:dyDescent="0.25">
      <c r="A163" s="7">
        <v>2</v>
      </c>
      <c r="B163" s="8" t="str">
        <f t="array" ref="B163">IFERROR(
 INDEX(Master!C$2:C$272,
  SMALL(
   IF(EXACT(Master!$M$2:$M$272,Rosters!$A$160),
    ROW(Master!C$2:C$272)-ROW(Master!C$2)+1
    ),
   ROWS(Master!C$2:'Master'!C3)
  )
 ),"")</f>
        <v>Jackson</v>
      </c>
      <c r="C163" s="8" t="str">
        <f t="array" ref="C163">IFERROR(
INDEX(Master!D$2:D$272,
SMALL(
IF(EXACT(Master!$M$2:$M$272,Rosters!$A$160),
ROW(Master!D$2:D$272)-ROW(Master!D$2)+1
),
ROWS(Master!D$2:'Master'!D3)
)
),"")</f>
        <v>Chockey</v>
      </c>
      <c r="D163" s="7">
        <f t="array" aca="1" ref="D163" ca="1">IFERROR(
 INDEX(Master!O$2:O$272,
  SMALL(
   IF(EXACT(Master!$M$2:$M$272,Rosters!$A$160),
    ROW(Master!O$2:O$272)-ROW(Master!O$2)+1
    ),
   ROWS(Master!O$2:'Master'!O3)
  )
 ),"")</f>
        <v>26</v>
      </c>
      <c r="E163" s="8" t="str">
        <f t="array" ref="E163">IFERROR(
 INDEX(Master!A$2:A$272,
  SMALL(
   IF(EXACT(Master!$M$2:$M$272,Rosters!$A$160),
    ROW(Master!A$2:A$272)-ROW(Master!A$2)+1
    ),
   ROWS(Master!A$2:'Master'!A3)
  )
 ),"")</f>
        <v>Joseph/Angel</v>
      </c>
      <c r="F163" s="8" t="str">
        <f t="array" ref="F163">IFERROR(
 INDEX(Master!B$2:B$272,
  SMALL(
   IF(EXACT(Master!$M$2:$M$272,Rosters!$A$160),
    ROW(Master!B$2:B$272)-ROW(Master!B$2)+1
    ),
   ROWS(Master!B$2:'Master'!B3)
  )
 ),"")</f>
        <v>Chockey</v>
      </c>
      <c r="G163" s="7">
        <f t="array" ref="G163">IFERROR(
 INDEX(Master!K$2:K$272,
  SMALL(
   IF(EXACT(Master!$M$2:$M$272,Rosters!$A$160),
    ROW(Master!K$2:K$272)-ROW(Master!K$2)+1
    ),
   ROWS(Master!K$2:'Master'!K3)
  )
 ),"")</f>
        <v>937</v>
      </c>
      <c r="H163" s="7" t="str">
        <f t="array" ref="H163">IFERROR(
 INDEX(Master!L$2:L$272,
  SMALL(
   IF(EXACT(Master!$M$2:$M$272,Rosters!$A$160),
    ROW(Master!L$2:L$272)-ROW(Master!L$2)+1
    ),
   ROWS(Master!L$2:'Master'!L3)
  )
 ),"")</f>
        <v>675-3430</v>
      </c>
      <c r="I163" s="8" t="str">
        <f t="array" ref="I163">IFERROR(
 INDEX(Master!Q$2:Q$272,
  SMALL(
   IF(EXACT(Master!$M$2:$M$272,Rosters!$A$160),
    ROW(Master!Q$2:Q$272)-ROW(Master!Q$2)+1
    ),
   ROWS(Master!Q$2:'Master'!Q3)
  )
 ),"")</f>
        <v>jchockey@woh.rr.com</v>
      </c>
    </row>
    <row r="164" spans="1:9" x14ac:dyDescent="0.25">
      <c r="A164" s="7">
        <v>3</v>
      </c>
      <c r="B164" s="8" t="str">
        <f t="array" ref="B164">IFERROR(
 INDEX(Master!C$2:C$272,
  SMALL(
   IF(EXACT(Master!$M$2:$M$272,Rosters!$A$160),
    ROW(Master!C$2:C$272)-ROW(Master!C$2)+1
    ),
   ROWS(Master!C$2:'Master'!C4)
  )
 ),"")</f>
        <v>Emma</v>
      </c>
      <c r="C164" s="8" t="str">
        <f t="array" ref="C164">IFERROR(
INDEX(Master!D$2:D$272,
SMALL(
IF(EXACT(Master!$M$2:$M$272,Rosters!$A$160),
ROW(Master!D$2:D$272)-ROW(Master!D$2)+1
),
ROWS(Master!D$2:'Master'!D4)
)
),"")</f>
        <v>Cloyes</v>
      </c>
      <c r="D164" s="7">
        <f t="array" aca="1" ref="D164" ca="1">IFERROR(
 INDEX(Master!O$2:O$272,
  SMALL(
   IF(EXACT(Master!$M$2:$M$272,Rosters!$A$160),
    ROW(Master!O$2:O$272)-ROW(Master!O$2)+1
    ),
   ROWS(Master!O$2:'Master'!O4)
  )
 ),"")</f>
        <v>16</v>
      </c>
      <c r="E164" s="8" t="str">
        <f t="array" ref="E164">IFERROR(
 INDEX(Master!A$2:A$272,
  SMALL(
   IF(EXACT(Master!$M$2:$M$272,Rosters!$A$160),
    ROW(Master!A$2:A$272)-ROW(Master!A$2)+1
    ),
   ROWS(Master!A$2:'Master'!A4)
  )
 ),"")</f>
        <v>Kerriann</v>
      </c>
      <c r="F164" s="8" t="str">
        <f t="array" ref="F164">IFERROR(
 INDEX(Master!B$2:B$272,
  SMALL(
   IF(EXACT(Master!$M$2:$M$272,Rosters!$A$160),
    ROW(Master!B$2:B$272)-ROW(Master!B$2)+1
    ),
   ROWS(Master!B$2:'Master'!B4)
  )
 ),"")</f>
        <v>Cloyes</v>
      </c>
      <c r="G164" s="7">
        <f t="array" ref="G164">IFERROR(
 INDEX(Master!K$2:K$272,
  SMALL(
   IF(EXACT(Master!$M$2:$M$272,Rosters!$A$160),
    ROW(Master!K$2:K$272)-ROW(Master!K$2)+1
    ),
   ROWS(Master!K$2:'Master'!K4)
  )
 ),"")</f>
        <v>937</v>
      </c>
      <c r="H164" s="7" t="str">
        <f t="array" ref="H164">IFERROR(
 INDEX(Master!L$2:L$272,
  SMALL(
   IF(EXACT(Master!$M$2:$M$272,Rosters!$A$160),
    ROW(Master!L$2:L$272)-ROW(Master!L$2)+1
    ),
   ROWS(Master!L$2:'Master'!L4)
  )
 ),"")</f>
        <v>474-0271</v>
      </c>
      <c r="I164" s="8" t="str">
        <f t="array" ref="I164">IFERROR(
 INDEX(Master!Q$2:Q$272,
  SMALL(
   IF(EXACT(Master!$M$2:$M$272,Rosters!$A$160),
    ROW(Master!Q$2:Q$272)-ROW(Master!Q$2)+1
    ),
   ROWS(Master!Q$2:'Master'!Q4)
  )
 ),"")</f>
        <v>kmcloyes@gmail.com</v>
      </c>
    </row>
    <row r="165" spans="1:9" x14ac:dyDescent="0.25">
      <c r="A165" s="7">
        <v>4</v>
      </c>
      <c r="B165" s="8" t="str">
        <f t="array" ref="B165">IFERROR(
 INDEX(Master!C$2:C$272,
  SMALL(
   IF(EXACT(Master!$M$2:$M$272,Rosters!$A$160),
    ROW(Master!C$2:C$272)-ROW(Master!C$2)+1
    ),
   ROWS(Master!C$2:'Master'!C5)
  )
 ),"")</f>
        <v>Aiyanna</v>
      </c>
      <c r="C165" s="8" t="str">
        <f t="array" ref="C165">IFERROR(
INDEX(Master!D$2:D$272,
SMALL(
IF(EXACT(Master!$M$2:$M$272,Rosters!$A$160),
ROW(Master!D$2:D$272)-ROW(Master!D$2)+1
),
ROWS(Master!D$2:'Master'!D5)
)
),"")</f>
        <v>Cornell</v>
      </c>
      <c r="D165" s="7">
        <f t="array" aca="1" ref="D165" ca="1">IFERROR(
 INDEX(Master!O$2:O$272,
  SMALL(
   IF(EXACT(Master!$M$2:$M$272,Rosters!$A$160),
    ROW(Master!O$2:O$272)-ROW(Master!O$2)+1
    ),
   ROWS(Master!O$2:'Master'!O5)
  )
 ),"")</f>
        <v>17</v>
      </c>
      <c r="E165" s="8" t="str">
        <f t="array" ref="E165">IFERROR(
 INDEX(Master!A$2:A$272,
  SMALL(
   IF(EXACT(Master!$M$2:$M$272,Rosters!$A$160),
    ROW(Master!A$2:A$272)-ROW(Master!A$2)+1
    ),
   ROWS(Master!A$2:'Master'!A5)
  )
 ),"")</f>
        <v>Jennifer</v>
      </c>
      <c r="F165" s="8" t="str">
        <f t="array" ref="F165">IFERROR(
 INDEX(Master!B$2:B$272,
  SMALL(
   IF(EXACT(Master!$M$2:$M$272,Rosters!$A$160),
    ROW(Master!B$2:B$272)-ROW(Master!B$2)+1
    ),
   ROWS(Master!B$2:'Master'!B5)
  )
 ),"")</f>
        <v>Donnellon</v>
      </c>
      <c r="G165" s="7">
        <f t="array" ref="G165">IFERROR(
 INDEX(Master!K$2:K$272,
  SMALL(
   IF(EXACT(Master!$M$2:$M$272,Rosters!$A$160),
    ROW(Master!K$2:K$272)-ROW(Master!K$2)+1
    ),
   ROWS(Master!K$2:'Master'!K5)
  )
 ),"")</f>
        <v>586</v>
      </c>
      <c r="H165" s="7" t="str">
        <f t="array" ref="H165">IFERROR(
 INDEX(Master!L$2:L$272,
  SMALL(
   IF(EXACT(Master!$M$2:$M$272,Rosters!$A$160),
    ROW(Master!L$2:L$272)-ROW(Master!L$2)+1
    ),
   ROWS(Master!L$2:'Master'!L5)
  )
 ),"")</f>
        <v>940-0486</v>
      </c>
      <c r="I165" s="8" t="str">
        <f t="array" ref="I165">IFERROR(
 INDEX(Master!Q$2:Q$272,
  SMALL(
   IF(EXACT(Master!$M$2:$M$272,Rosters!$A$160),
    ROW(Master!Q$2:Q$272)-ROW(Master!Q$2)+1
    ),
   ROWS(Master!Q$2:'Master'!Q5)
  )
 ),"")</f>
        <v>jennidonn@yahoo.com</v>
      </c>
    </row>
    <row r="166" spans="1:9" x14ac:dyDescent="0.25">
      <c r="A166" s="7">
        <v>5</v>
      </c>
      <c r="B166" s="8" t="str">
        <f t="array" ref="B166">IFERROR(
 INDEX(Master!C$2:C$272,
  SMALL(
   IF(EXACT(Master!$M$2:$M$272,Rosters!$A$160),
    ROW(Master!C$2:C$272)-ROW(Master!C$2)+1
    ),
   ROWS(Master!C$2:'Master'!C6)
  )
 ),"")</f>
        <v>Will</v>
      </c>
      <c r="C166" s="8" t="str">
        <f t="array" ref="C166">IFERROR(
INDEX(Master!D$2:D$272,
SMALL(
IF(EXACT(Master!$M$2:$M$272,Rosters!$A$160),
ROW(Master!D$2:D$272)-ROW(Master!D$2)+1
),
ROWS(Master!D$2:'Master'!D6)
)
),"")</f>
        <v>Drerup</v>
      </c>
      <c r="D166" s="7">
        <f t="array" aca="1" ref="D166" ca="1">IFERROR(
 INDEX(Master!O$2:O$272,
  SMALL(
   IF(EXACT(Master!$M$2:$M$272,Rosters!$A$160),
    ROW(Master!O$2:O$272)-ROW(Master!O$2)+1
    ),
   ROWS(Master!O$2:'Master'!O6)
  )
 ),"")</f>
        <v>20</v>
      </c>
      <c r="E166" s="8" t="str">
        <f t="array" ref="E166">IFERROR(
 INDEX(Master!A$2:A$272,
  SMALL(
   IF(EXACT(Master!$M$2:$M$272,Rosters!$A$160),
    ROW(Master!A$2:A$272)-ROW(Master!A$2)+1
    ),
   ROWS(Master!A$2:'Master'!A6)
  )
 ),"")</f>
        <v>Scott/Lesley</v>
      </c>
      <c r="F166" s="8" t="str">
        <f t="array" ref="F166">IFERROR(
 INDEX(Master!B$2:B$272,
  SMALL(
   IF(EXACT(Master!$M$2:$M$272,Rosters!$A$160),
    ROW(Master!B$2:B$272)-ROW(Master!B$2)+1
    ),
   ROWS(Master!B$2:'Master'!B6)
  )
 ),"")</f>
        <v>Drerup</v>
      </c>
      <c r="G166" s="7">
        <f t="array" ref="G166">IFERROR(
 INDEX(Master!K$2:K$272,
  SMALL(
   IF(EXACT(Master!$M$2:$M$272,Rosters!$A$160),
    ROW(Master!K$2:K$272)-ROW(Master!K$2)+1
    ),
   ROWS(Master!K$2:'Master'!K6)
  )
 ),"")</f>
        <v>937</v>
      </c>
      <c r="H166" s="7" t="str">
        <f t="array" ref="H166">IFERROR(
 INDEX(Master!L$2:L$272,
  SMALL(
   IF(EXACT(Master!$M$2:$M$272,Rosters!$A$160),
    ROW(Master!L$2:L$272)-ROW(Master!L$2)+1
    ),
   ROWS(Master!L$2:'Master'!L6)
  )
 ),"")</f>
        <v>291-2804</v>
      </c>
      <c r="I166" s="8" t="str">
        <f t="array" ref="I166">IFERROR(
 INDEX(Master!Q$2:Q$272,
  SMALL(
   IF(EXACT(Master!$M$2:$M$272,Rosters!$A$160),
    ROW(Master!Q$2:Q$272)-ROW(Master!Q$2)+1
    ),
   ROWS(Master!Q$2:'Master'!Q6)
  )
 ),"")</f>
        <v>sdrerup@sbcglobal.net</v>
      </c>
    </row>
    <row r="167" spans="1:9" x14ac:dyDescent="0.25">
      <c r="A167" s="7">
        <v>6</v>
      </c>
      <c r="B167" s="8" t="str">
        <f t="array" ref="B167">IFERROR(
 INDEX(Master!C$2:C$272,
  SMALL(
   IF(EXACT(Master!$M$2:$M$272,Rosters!$A$160),
    ROW(Master!C$2:C$272)-ROW(Master!C$2)+1
    ),
   ROWS(Master!C$2:'Master'!C7)
  )
 ),"")</f>
        <v>Avery</v>
      </c>
      <c r="C167" s="8" t="str">
        <f t="array" ref="C167">IFERROR(
INDEX(Master!D$2:D$272,
SMALL(
IF(EXACT(Master!$M$2:$M$272,Rosters!$A$160),
ROW(Master!D$2:D$272)-ROW(Master!D$2)+1
),
ROWS(Master!D$2:'Master'!D7)
)
),"")</f>
        <v>Gillette</v>
      </c>
      <c r="D167" s="7">
        <f t="array" aca="1" ref="D167" ca="1">IFERROR(
 INDEX(Master!O$2:O$272,
  SMALL(
   IF(EXACT(Master!$M$2:$M$272,Rosters!$A$160),
    ROW(Master!O$2:O$272)-ROW(Master!O$2)+1
    ),
   ROWS(Master!O$2:'Master'!O7)
  )
 ),"")</f>
        <v>18</v>
      </c>
      <c r="E167" s="8" t="str">
        <f t="array" ref="E167">IFERROR(
 INDEX(Master!A$2:A$272,
  SMALL(
   IF(EXACT(Master!$M$2:$M$272,Rosters!$A$160),
    ROW(Master!A$2:A$272)-ROW(Master!A$2)+1
    ),
   ROWS(Master!A$2:'Master'!A7)
  )
 ),"")</f>
        <v>Margaret/Steve</v>
      </c>
      <c r="F167" s="8" t="str">
        <f t="array" ref="F167">IFERROR(
 INDEX(Master!B$2:B$272,
  SMALL(
   IF(EXACT(Master!$M$2:$M$272,Rosters!$A$160),
    ROW(Master!B$2:B$272)-ROW(Master!B$2)+1
    ),
   ROWS(Master!B$2:'Master'!B7)
  )
 ),"")</f>
        <v>Gillette</v>
      </c>
      <c r="G167" s="7">
        <f t="array" ref="G167">IFERROR(
 INDEX(Master!K$2:K$272,
  SMALL(
   IF(EXACT(Master!$M$2:$M$272,Rosters!$A$160),
    ROW(Master!K$2:K$272)-ROW(Master!K$2)+1
    ),
   ROWS(Master!K$2:'Master'!K7)
  )
 ),"")</f>
        <v>937</v>
      </c>
      <c r="H167" s="7" t="str">
        <f t="array" ref="H167">IFERROR(
 INDEX(Master!L$2:L$272,
  SMALL(
   IF(EXACT(Master!$M$2:$M$272,Rosters!$A$160),
    ROW(Master!L$2:L$272)-ROW(Master!L$2)+1
    ),
   ROWS(Master!L$2:'Master'!L7)
  )
 ),"")</f>
        <v>886-6923</v>
      </c>
      <c r="I167" s="8" t="str">
        <f t="array" ref="I167">IFERROR(
 INDEX(Master!Q$2:Q$272,
  SMALL(
   IF(EXACT(Master!$M$2:$M$272,Rosters!$A$160),
    ROW(Master!Q$2:Q$272)-ROW(Master!Q$2)+1
    ),
   ROWS(Master!Q$2:'Master'!Q7)
  )
 ),"")</f>
        <v>margaret.gillette@gmail.com</v>
      </c>
    </row>
    <row r="168" spans="1:9" x14ac:dyDescent="0.25">
      <c r="A168" s="7">
        <v>7</v>
      </c>
      <c r="B168" s="8" t="str">
        <f t="array" ref="B168">IFERROR(
 INDEX(Master!C$2:C$272,
  SMALL(
   IF(EXACT(Master!$M$2:$M$272,Rosters!$A$160),
    ROW(Master!C$2:C$272)-ROW(Master!C$2)+1
    ),
   ROWS(Master!C$2:'Master'!C8)
  )
 ),"")</f>
        <v>Killian</v>
      </c>
      <c r="C168" s="8" t="str">
        <f t="array" ref="C168">IFERROR(
INDEX(Master!D$2:D$272,
SMALL(
IF(EXACT(Master!$M$2:$M$272,Rosters!$A$160),
ROW(Master!D$2:D$272)-ROW(Master!D$2)+1
),
ROWS(Master!D$2:'Master'!D8)
)
),"")</f>
        <v>Gillette</v>
      </c>
      <c r="D168" s="7">
        <f t="array" aca="1" ref="D168" ca="1">IFERROR(
 INDEX(Master!O$2:O$272,
  SMALL(
   IF(EXACT(Master!$M$2:$M$272,Rosters!$A$160),
    ROW(Master!O$2:O$272)-ROW(Master!O$2)+1
    ),
   ROWS(Master!O$2:'Master'!O8)
  )
 ),"")</f>
        <v>20</v>
      </c>
      <c r="E168" s="8" t="str">
        <f t="array" ref="E168">IFERROR(
 INDEX(Master!A$2:A$272,
  SMALL(
   IF(EXACT(Master!$M$2:$M$272,Rosters!$A$160),
    ROW(Master!A$2:A$272)-ROW(Master!A$2)+1
    ),
   ROWS(Master!A$2:'Master'!A8)
  )
 ),"")</f>
        <v>Margaret/Steve</v>
      </c>
      <c r="F168" s="8" t="str">
        <f t="array" ref="F168">IFERROR(
 INDEX(Master!B$2:B$272,
  SMALL(
   IF(EXACT(Master!$M$2:$M$272,Rosters!$A$160),
    ROW(Master!B$2:B$272)-ROW(Master!B$2)+1
    ),
   ROWS(Master!B$2:'Master'!B8)
  )
 ),"")</f>
        <v>Gillette</v>
      </c>
      <c r="G168" s="7">
        <f t="array" ref="G168">IFERROR(
 INDEX(Master!K$2:K$272,
  SMALL(
   IF(EXACT(Master!$M$2:$M$272,Rosters!$A$160),
    ROW(Master!K$2:K$272)-ROW(Master!K$2)+1
    ),
   ROWS(Master!K$2:'Master'!K8)
  )
 ),"")</f>
        <v>937</v>
      </c>
      <c r="H168" s="7" t="str">
        <f t="array" ref="H168">IFERROR(
 INDEX(Master!L$2:L$272,
  SMALL(
   IF(EXACT(Master!$M$2:$M$272,Rosters!$A$160),
    ROW(Master!L$2:L$272)-ROW(Master!L$2)+1
    ),
   ROWS(Master!L$2:'Master'!L8)
  )
 ),"")</f>
        <v>886-6923</v>
      </c>
      <c r="I168" s="8" t="str">
        <f t="array" ref="I168">IFERROR(
 INDEX(Master!Q$2:Q$272,
  SMALL(
   IF(EXACT(Master!$M$2:$M$272,Rosters!$A$160),
    ROW(Master!Q$2:Q$272)-ROW(Master!Q$2)+1
    ),
   ROWS(Master!Q$2:'Master'!Q8)
  )
 ),"")</f>
        <v>margaret.gillette@gmail.com</v>
      </c>
    </row>
    <row r="169" spans="1:9" x14ac:dyDescent="0.25">
      <c r="A169" s="7">
        <v>8</v>
      </c>
      <c r="B169" s="8" t="str">
        <f t="array" ref="B169">IFERROR(
 INDEX(Master!C$2:C$272,
  SMALL(
   IF(EXACT(Master!$M$2:$M$272,Rosters!$A$160),
    ROW(Master!C$2:C$272)-ROW(Master!C$2)+1
    ),
   ROWS(Master!C$2:'Master'!C9)
  )
 ),"")</f>
        <v>Diane Georgia</v>
      </c>
      <c r="C169" s="8" t="str">
        <f t="array" ref="C169">IFERROR(
INDEX(Master!D$2:D$272,
SMALL(
IF(EXACT(Master!$M$2:$M$272,Rosters!$A$160),
ROW(Master!D$2:D$272)-ROW(Master!D$2)+1
),
ROWS(Master!D$2:'Master'!D9)
)
),"")</f>
        <v>Kesner</v>
      </c>
      <c r="D169" s="7">
        <f t="array" aca="1" ref="D169" ca="1">IFERROR(
 INDEX(Master!O$2:O$272,
  SMALL(
   IF(EXACT(Master!$M$2:$M$272,Rosters!$A$160),
    ROW(Master!O$2:O$272)-ROW(Master!O$2)+1
    ),
   ROWS(Master!O$2:'Master'!O9)
  )
 ),"")</f>
        <v>16</v>
      </c>
      <c r="E169" s="8" t="str">
        <f t="array" ref="E169">IFERROR(
 INDEX(Master!A$2:A$272,
  SMALL(
   IF(EXACT(Master!$M$2:$M$272,Rosters!$A$160),
    ROW(Master!A$2:A$272)-ROW(Master!A$2)+1
    ),
   ROWS(Master!A$2:'Master'!A9)
  )
 ),"")</f>
        <v>Joanana</v>
      </c>
      <c r="F169" s="8" t="str">
        <f t="array" ref="F169">IFERROR(
 INDEX(Master!B$2:B$272,
  SMALL(
   IF(EXACT(Master!$M$2:$M$272,Rosters!$A$160),
    ROW(Master!B$2:B$272)-ROW(Master!B$2)+1
    ),
   ROWS(Master!B$2:'Master'!B9)
  )
 ),"")</f>
        <v>Kesner</v>
      </c>
      <c r="G169" s="7">
        <f t="array" ref="G169">IFERROR(
 INDEX(Master!K$2:K$272,
  SMALL(
   IF(EXACT(Master!$M$2:$M$272,Rosters!$A$160),
    ROW(Master!K$2:K$272)-ROW(Master!K$2)+1
    ),
   ROWS(Master!K$2:'Master'!K9)
  )
 ),"")</f>
        <v>937</v>
      </c>
      <c r="H169" s="7" t="str">
        <f t="array" ref="H169">IFERROR(
 INDEX(Master!L$2:L$272,
  SMALL(
   IF(EXACT(Master!$M$2:$M$272,Rosters!$A$160),
    ROW(Master!L$2:L$272)-ROW(Master!L$2)+1
    ),
   ROWS(Master!L$2:'Master'!L9)
  )
 ),"")</f>
        <v>776-4780</v>
      </c>
      <c r="I169" s="8" t="str">
        <f t="array" ref="I169">IFERROR(
 INDEX(Master!Q$2:Q$272,
  SMALL(
   IF(EXACT(Master!$M$2:$M$272,Rosters!$A$160),
    ROW(Master!Q$2:Q$272)-ROW(Master!Q$2)+1
    ),
   ROWS(Master!Q$2:'Master'!Q9)
  )
 ),"")</f>
        <v>joanna.kesner@gmail.com</v>
      </c>
    </row>
    <row r="170" spans="1:9" x14ac:dyDescent="0.25">
      <c r="A170" s="7">
        <v>9</v>
      </c>
      <c r="B170" s="8" t="str">
        <f t="array" ref="B170">IFERROR(
 INDEX(Master!C$2:C$272,
  SMALL(
   IF(EXACT(Master!$M$2:$M$272,Rosters!$A$160),
    ROW(Master!C$2:C$272)-ROW(Master!C$2)+1
    ),
   ROWS(Master!C$2:'Master'!C10)
  )
 ),"")</f>
        <v>Ian</v>
      </c>
      <c r="C170" s="8" t="str">
        <f t="array" ref="C170">IFERROR(
INDEX(Master!D$2:D$272,
SMALL(
IF(EXACT(Master!$M$2:$M$272,Rosters!$A$160),
ROW(Master!D$2:D$272)-ROW(Master!D$2)+1
),
ROWS(Master!D$2:'Master'!D10)
)
),"")</f>
        <v>Mauersberg</v>
      </c>
      <c r="D170" s="7">
        <f t="array" aca="1" ref="D170" ca="1">IFERROR(
 INDEX(Master!O$2:O$272,
  SMALL(
   IF(EXACT(Master!$M$2:$M$272,Rosters!$A$160),
    ROW(Master!O$2:O$272)-ROW(Master!O$2)+1
    ),
   ROWS(Master!O$2:'Master'!O10)
  )
 ),"")</f>
        <v>18</v>
      </c>
      <c r="E170" s="8" t="str">
        <f t="array" ref="E170">IFERROR(
 INDEX(Master!A$2:A$272,
  SMALL(
   IF(EXACT(Master!$M$2:$M$272,Rosters!$A$160),
    ROW(Master!A$2:A$272)-ROW(Master!A$2)+1
    ),
   ROWS(Master!A$2:'Master'!A10)
  )
 ),"")</f>
        <v>Ines</v>
      </c>
      <c r="F170" s="8" t="str">
        <f t="array" ref="F170">IFERROR(
 INDEX(Master!B$2:B$272,
  SMALL(
   IF(EXACT(Master!$M$2:$M$272,Rosters!$A$160),
    ROW(Master!B$2:B$272)-ROW(Master!B$2)+1
    ),
   ROWS(Master!B$2:'Master'!B10)
  )
 ),"")</f>
        <v>Mauersberg</v>
      </c>
      <c r="G170" s="7">
        <f t="array" ref="G170">IFERROR(
 INDEX(Master!K$2:K$272,
  SMALL(
   IF(EXACT(Master!$M$2:$M$272,Rosters!$A$160),
    ROW(Master!K$2:K$272)-ROW(Master!K$2)+1
    ),
   ROWS(Master!K$2:'Master'!K10)
  )
 ),"")</f>
        <v>937</v>
      </c>
      <c r="H170" s="7" t="str">
        <f t="array" ref="H170">IFERROR(
 INDEX(Master!L$2:L$272,
  SMALL(
   IF(EXACT(Master!$M$2:$M$272,Rosters!$A$160),
    ROW(Master!L$2:L$272)-ROW(Master!L$2)+1
    ),
   ROWS(Master!L$2:'Master'!L10)
  )
 ),"")</f>
        <v>607-6682</v>
      </c>
      <c r="I170" s="8" t="str">
        <f t="array" ref="I170">IFERROR(
 INDEX(Master!Q$2:Q$272,
  SMALL(
   IF(EXACT(Master!$M$2:$M$272,Rosters!$A$160),
    ROW(Master!Q$2:Q$272)-ROW(Master!Q$2)+1
    ),
   ROWS(Master!Q$2:'Master'!Q10)
  )
 ),"")</f>
        <v>inesmauerberg@yahoo.com</v>
      </c>
    </row>
    <row r="171" spans="1:9" x14ac:dyDescent="0.25">
      <c r="A171" s="7">
        <v>10</v>
      </c>
      <c r="B171" s="8" t="str">
        <f t="array" ref="B171">IFERROR(
 INDEX(Master!C$2:C$272,
  SMALL(
   IF(EXACT(Master!$M$2:$M$272,Rosters!$A$160),
    ROW(Master!C$2:C$272)-ROW(Master!C$2)+1
    ),
   ROWS(Master!C$2:'Master'!C11)
  )
 ),"")</f>
        <v>Carly</v>
      </c>
      <c r="C171" s="8" t="str">
        <f t="array" ref="C171">IFERROR(
INDEX(Master!D$2:D$272,
SMALL(
IF(EXACT(Master!$M$2:$M$272,Rosters!$A$160),
ROW(Master!D$2:D$272)-ROW(Master!D$2)+1
),
ROWS(Master!D$2:'Master'!D11)
)
),"")</f>
        <v>McCall</v>
      </c>
      <c r="D171" s="7">
        <f t="array" aca="1" ref="D171" ca="1">IFERROR(
 INDEX(Master!O$2:O$272,
  SMALL(
   IF(EXACT(Master!$M$2:$M$272,Rosters!$A$160),
    ROW(Master!O$2:O$272)-ROW(Master!O$2)+1
    ),
   ROWS(Master!O$2:'Master'!O11)
  )
 ),"")</f>
        <v>19</v>
      </c>
      <c r="E171" s="8" t="str">
        <f t="array" ref="E171">IFERROR(
 INDEX(Master!A$2:A$272,
  SMALL(
   IF(EXACT(Master!$M$2:$M$272,Rosters!$A$160),
    ROW(Master!A$2:A$272)-ROW(Master!A$2)+1
    ),
   ROWS(Master!A$2:'Master'!A11)
  )
 ),"")</f>
        <v>Laura</v>
      </c>
      <c r="F171" s="8" t="str">
        <f t="array" ref="F171">IFERROR(
 INDEX(Master!B$2:B$272,
  SMALL(
   IF(EXACT(Master!$M$2:$M$272,Rosters!$A$160),
    ROW(Master!B$2:B$272)-ROW(Master!B$2)+1
    ),
   ROWS(Master!B$2:'Master'!B11)
  )
 ),"")</f>
        <v>McCall</v>
      </c>
      <c r="G171" s="7">
        <f t="array" ref="G171">IFERROR(
 INDEX(Master!K$2:K$272,
  SMALL(
   IF(EXACT(Master!$M$2:$M$272,Rosters!$A$160),
    ROW(Master!K$2:K$272)-ROW(Master!K$2)+1
    ),
   ROWS(Master!K$2:'Master'!K11)
  )
 ),"")</f>
        <v>937</v>
      </c>
      <c r="H171" s="7" t="str">
        <f t="array" ref="H171">IFERROR(
 INDEX(Master!L$2:L$272,
  SMALL(
   IF(EXACT(Master!$M$2:$M$272,Rosters!$A$160),
    ROW(Master!L$2:L$272)-ROW(Master!L$2)+1
    ),
   ROWS(Master!L$2:'Master'!L11)
  )
 ),"")</f>
        <v>825-8531</v>
      </c>
      <c r="I171" s="8" t="str">
        <f t="array" ref="I171">IFERROR(
 INDEX(Master!Q$2:Q$272,
  SMALL(
   IF(EXACT(Master!$M$2:$M$272,Rosters!$A$160),
    ROW(Master!Q$2:Q$272)-ROW(Master!Q$2)+1
    ),
   ROWS(Master!Q$2:'Master'!Q11)
  )
 ),"")</f>
        <v>lulumccall@me.com</v>
      </c>
    </row>
    <row r="172" spans="1:9" x14ac:dyDescent="0.25">
      <c r="A172" s="7">
        <v>11</v>
      </c>
      <c r="B172" s="8" t="str">
        <f t="array" ref="B172">IFERROR(
 INDEX(Master!C$2:C$272,
  SMALL(
   IF(EXACT(Master!$M$2:$M$272,Rosters!$A$160),
    ROW(Master!C$2:C$272)-ROW(Master!C$2)+1
    ),
   ROWS(Master!C$2:'Master'!C12)
  )
 ),"")</f>
        <v>Hudsen</v>
      </c>
      <c r="C172" s="8" t="str">
        <f t="array" ref="C172">IFERROR(
INDEX(Master!D$2:D$272,
SMALL(
IF(EXACT(Master!$M$2:$M$272,Rosters!$A$160),
ROW(Master!D$2:D$272)-ROW(Master!D$2)+1
),
ROWS(Master!D$2:'Master'!D12)
)
),"")</f>
        <v>Millen</v>
      </c>
      <c r="D172" s="7">
        <f t="array" aca="1" ref="D172" ca="1">IFERROR(
 INDEX(Master!O$2:O$272,
  SMALL(
   IF(EXACT(Master!$M$2:$M$272,Rosters!$A$160),
    ROW(Master!O$2:O$272)-ROW(Master!O$2)+1
    ),
   ROWS(Master!O$2:'Master'!O12)
  )
 ),"")</f>
        <v>16</v>
      </c>
      <c r="E172" s="8" t="str">
        <f t="array" ref="E172">IFERROR(
 INDEX(Master!A$2:A$272,
  SMALL(
   IF(EXACT(Master!$M$2:$M$272,Rosters!$A$160),
    ROW(Master!A$2:A$272)-ROW(Master!A$2)+1
    ),
   ROWS(Master!A$2:'Master'!A12)
  )
 ),"")</f>
        <v>Amanda</v>
      </c>
      <c r="F172" s="8" t="str">
        <f t="array" ref="F172">IFERROR(
 INDEX(Master!B$2:B$272,
  SMALL(
   IF(EXACT(Master!$M$2:$M$272,Rosters!$A$160),
    ROW(Master!B$2:B$272)-ROW(Master!B$2)+1
    ),
   ROWS(Master!B$2:'Master'!B12)
  )
 ),"")</f>
        <v>Millen</v>
      </c>
      <c r="G172" s="7">
        <f t="array" ref="G172">IFERROR(
 INDEX(Master!K$2:K$272,
  SMALL(
   IF(EXACT(Master!$M$2:$M$272,Rosters!$A$160),
    ROW(Master!K$2:K$272)-ROW(Master!K$2)+1
    ),
   ROWS(Master!K$2:'Master'!K12)
  )
 ),"")</f>
        <v>614</v>
      </c>
      <c r="H172" s="7" t="str">
        <f t="array" ref="H172">IFERROR(
 INDEX(Master!L$2:L$272,
  SMALL(
   IF(EXACT(Master!$M$2:$M$272,Rosters!$A$160),
    ROW(Master!L$2:L$272)-ROW(Master!L$2)+1
    ),
   ROWS(Master!L$2:'Master'!L12)
  )
 ),"")</f>
        <v>570-8891</v>
      </c>
      <c r="I172" s="8" t="str">
        <f t="array" ref="I172">IFERROR(
 INDEX(Master!Q$2:Q$272,
  SMALL(
   IF(EXACT(Master!$M$2:$M$272,Rosters!$A$160),
    ROW(Master!Q$2:Q$272)-ROW(Master!Q$2)+1
    ),
   ROWS(Master!Q$2:'Master'!Q12)
  )
 ),"")</f>
        <v>abauchmoyer@gmail.com</v>
      </c>
    </row>
    <row r="173" spans="1:9" x14ac:dyDescent="0.25">
      <c r="A173" s="7">
        <v>12</v>
      </c>
      <c r="B173" s="8" t="str">
        <f t="array" ref="B173">IFERROR(
 INDEX(Master!C$2:C$272,
  SMALL(
   IF(EXACT(Master!$M$2:$M$272,Rosters!$A$160),
    ROW(Master!C$2:C$272)-ROW(Master!C$2)+1
    ),
   ROWS(Master!C$2:'Master'!C13)
  )
 ),"")</f>
        <v>Alan</v>
      </c>
      <c r="C173" s="8" t="str">
        <f t="array" ref="C173">IFERROR(
INDEX(Master!D$2:D$272,
SMALL(
IF(EXACT(Master!$M$2:$M$272,Rosters!$A$160),
ROW(Master!D$2:D$272)-ROW(Master!D$2)+1
),
ROWS(Master!D$2:'Master'!D13)
)
),"")</f>
        <v>Millhouse</v>
      </c>
      <c r="D173" s="7">
        <f t="array" aca="1" ref="D173" ca="1">IFERROR(
 INDEX(Master!O$2:O$272,
  SMALL(
   IF(EXACT(Master!$M$2:$M$272,Rosters!$A$160),
    ROW(Master!O$2:O$272)-ROW(Master!O$2)+1
    ),
   ROWS(Master!O$2:'Master'!O13)
  )
 ),"")</f>
        <v>21</v>
      </c>
      <c r="E173" s="8" t="str">
        <f t="array" ref="E173">IFERROR(
 INDEX(Master!A$2:A$272,
  SMALL(
   IF(EXACT(Master!$M$2:$M$272,Rosters!$A$160),
    ROW(Master!A$2:A$272)-ROW(Master!A$2)+1
    ),
   ROWS(Master!A$2:'Master'!A13)
  )
 ),"")</f>
        <v>Rob/Dawn</v>
      </c>
      <c r="F173" s="8" t="str">
        <f t="array" ref="F173">IFERROR(
 INDEX(Master!B$2:B$272,
  SMALL(
   IF(EXACT(Master!$M$2:$M$272,Rosters!$A$160),
    ROW(Master!B$2:B$272)-ROW(Master!B$2)+1
    ),
   ROWS(Master!B$2:'Master'!B13)
  )
 ),"")</f>
        <v>Millhouse</v>
      </c>
      <c r="G173" s="7">
        <f t="array" ref="G173">IFERROR(
 INDEX(Master!K$2:K$272,
  SMALL(
   IF(EXACT(Master!$M$2:$M$272,Rosters!$A$160),
    ROW(Master!K$2:K$272)-ROW(Master!K$2)+1
    ),
   ROWS(Master!K$2:'Master'!K13)
  )
 ),"")</f>
        <v>937</v>
      </c>
      <c r="H173" s="7" t="str">
        <f t="array" ref="H173">IFERROR(
 INDEX(Master!L$2:L$272,
  SMALL(
   IF(EXACT(Master!$M$2:$M$272,Rosters!$A$160),
    ROW(Master!L$2:L$272)-ROW(Master!L$2)+1
    ),
   ROWS(Master!L$2:'Master'!L13)
  )
 ),"")</f>
        <v>435-8028</v>
      </c>
      <c r="I173" s="8" t="str">
        <f t="array" ref="I173">IFERROR(
 INDEX(Master!Q$2:Q$272,
  SMALL(
   IF(EXACT(Master!$M$2:$M$272,Rosters!$A$160),
    ROW(Master!Q$2:Q$272)-ROW(Master!Q$2)+1
    ),
   ROWS(Master!Q$2:'Master'!Q13)
  )
 ),"")</f>
        <v>rdmillhouse.outlook.com</v>
      </c>
    </row>
    <row r="174" spans="1:9" x14ac:dyDescent="0.25">
      <c r="A174" s="7">
        <v>13</v>
      </c>
      <c r="B174" s="8" t="str">
        <f t="array" ref="B174">IFERROR(
 INDEX(Master!C$2:C$272,
  SMALL(
   IF(EXACT(Master!$M$2:$M$272,Rosters!$A$160),
    ROW(Master!C$2:C$272)-ROW(Master!C$2)+1
    ),
   ROWS(Master!C$2:'Master'!C14)
  )
 ),"")</f>
        <v>Calvin</v>
      </c>
      <c r="C174" s="8" t="str">
        <f t="array" ref="C174">IFERROR(
INDEX(Master!D$2:D$272,
SMALL(
IF(EXACT(Master!$M$2:$M$272,Rosters!$A$160),
ROW(Master!D$2:D$272)-ROW(Master!D$2)+1
),
ROWS(Master!D$2:'Master'!D14)
)
),"")</f>
        <v>Schneider</v>
      </c>
      <c r="D174" s="7">
        <f t="array" aca="1" ref="D174" ca="1">IFERROR(
 INDEX(Master!O$2:O$272,
  SMALL(
   IF(EXACT(Master!$M$2:$M$272,Rosters!$A$160),
    ROW(Master!O$2:O$272)-ROW(Master!O$2)+1
    ),
   ROWS(Master!O$2:'Master'!O14)
  )
 ),"")</f>
        <v>24</v>
      </c>
      <c r="E174" s="8" t="str">
        <f t="array" ref="E174">IFERROR(
 INDEX(Master!A$2:A$272,
  SMALL(
   IF(EXACT(Master!$M$2:$M$272,Rosters!$A$160),
    ROW(Master!A$2:A$272)-ROW(Master!A$2)+1
    ),
   ROWS(Master!A$2:'Master'!A14)
  )
 ),"")</f>
        <v>Jerry/Lara</v>
      </c>
      <c r="F174" s="8" t="str">
        <f t="array" ref="F174">IFERROR(
 INDEX(Master!B$2:B$272,
  SMALL(
   IF(EXACT(Master!$M$2:$M$272,Rosters!$A$160),
    ROW(Master!B$2:B$272)-ROW(Master!B$2)+1
    ),
   ROWS(Master!B$2:'Master'!B14)
  )
 ),"")</f>
        <v>Schneider</v>
      </c>
      <c r="G174" s="7">
        <f t="array" ref="G174">IFERROR(
 INDEX(Master!K$2:K$272,
  SMALL(
   IF(EXACT(Master!$M$2:$M$272,Rosters!$A$160),
    ROW(Master!K$2:K$272)-ROW(Master!K$2)+1
    ),
   ROWS(Master!K$2:'Master'!K14)
  )
 ),"")</f>
        <v>937</v>
      </c>
      <c r="H174" s="7" t="str">
        <f t="array" ref="H174">IFERROR(
 INDEX(Master!L$2:L$272,
  SMALL(
   IF(EXACT(Master!$M$2:$M$272,Rosters!$A$160),
    ROW(Master!L$2:L$272)-ROW(Master!L$2)+1
    ),
   ROWS(Master!L$2:'Master'!L14)
  )
 ),"")</f>
        <v>626-0660</v>
      </c>
      <c r="I174" s="8" t="str">
        <f t="array" ref="I174">IFERROR(
 INDEX(Master!Q$2:Q$272,
  SMALL(
   IF(EXACT(Master!$M$2:$M$272,Rosters!$A$160),
    ROW(Master!Q$2:Q$272)-ROW(Master!Q$2)+1
    ),
   ROWS(Master!Q$2:'Master'!Q14)
  )
 ),"")</f>
        <v>lschneider1088@gmail.com</v>
      </c>
    </row>
    <row r="175" spans="1:9" x14ac:dyDescent="0.25">
      <c r="A175" s="7">
        <v>14</v>
      </c>
      <c r="B175" s="8" t="str">
        <f t="array" ref="B175">IFERROR(
 INDEX(Master!C$2:C$272,
  SMALL(
   IF(EXACT(Master!$M$2:$M$272,Rosters!$A$160),
    ROW(Master!C$2:C$272)-ROW(Master!C$2)+1
    ),
   ROWS(Master!C$2:'Master'!C15)
  )
 ),"")</f>
        <v>Nate</v>
      </c>
      <c r="C175" s="8" t="str">
        <f t="array" ref="C175">IFERROR(
INDEX(Master!D$2:D$272,
SMALL(
IF(EXACT(Master!$M$2:$M$272,Rosters!$A$160),
ROW(Master!D$2:D$272)-ROW(Master!D$2)+1
),
ROWS(Master!D$2:'Master'!D15)
)
),"")</f>
        <v>Schreck</v>
      </c>
      <c r="D175" s="7">
        <f t="array" aca="1" ref="D175" ca="1">IFERROR(
 INDEX(Master!O$2:O$272,
  SMALL(
   IF(EXACT(Master!$M$2:$M$272,Rosters!$A$160),
    ROW(Master!O$2:O$272)-ROW(Master!O$2)+1
    ),
   ROWS(Master!O$2:'Master'!O15)
  )
 ),"")</f>
        <v>20</v>
      </c>
      <c r="E175" s="8" t="str">
        <f t="array" ref="E175">IFERROR(
 INDEX(Master!A$2:A$272,
  SMALL(
   IF(EXACT(Master!$M$2:$M$272,Rosters!$A$160),
    ROW(Master!A$2:A$272)-ROW(Master!A$2)+1
    ),
   ROWS(Master!A$2:'Master'!A15)
  )
 ),"")</f>
        <v>Heather</v>
      </c>
      <c r="F175" s="8" t="str">
        <f t="array" ref="F175">IFERROR(
 INDEX(Master!B$2:B$272,
  SMALL(
   IF(EXACT(Master!$M$2:$M$272,Rosters!$A$160),
    ROW(Master!B$2:B$272)-ROW(Master!B$2)+1
    ),
   ROWS(Master!B$2:'Master'!B15)
  )
 ),"")</f>
        <v>Schreck</v>
      </c>
      <c r="G175" s="7">
        <f t="array" ref="G175">IFERROR(
 INDEX(Master!K$2:K$272,
  SMALL(
   IF(EXACT(Master!$M$2:$M$272,Rosters!$A$160),
    ROW(Master!K$2:K$272)-ROW(Master!K$2)+1
    ),
   ROWS(Master!K$2:'Master'!K15)
  )
 ),"")</f>
        <v>937</v>
      </c>
      <c r="H175" s="7" t="str">
        <f t="array" ref="H175">IFERROR(
 INDEX(Master!L$2:L$272,
  SMALL(
   IF(EXACT(Master!$M$2:$M$272,Rosters!$A$160),
    ROW(Master!L$2:L$272)-ROW(Master!L$2)+1
    ),
   ROWS(Master!L$2:'Master'!L15)
  )
 ),"")</f>
        <v>750-7575</v>
      </c>
      <c r="I175" s="8" t="str">
        <f t="array" ref="I175">IFERROR(
 INDEX(Master!Q$2:Q$272,
  SMALL(
   IF(EXACT(Master!$M$2:$M$272,Rosters!$A$160),
    ROW(Master!Q$2:Q$272)-ROW(Master!Q$2)+1
    ),
   ROWS(Master!Q$2:'Master'!Q15)
  )
 ),"")</f>
        <v>hschreck05@gmail.com</v>
      </c>
    </row>
    <row r="176" spans="1:9" x14ac:dyDescent="0.25">
      <c r="A176" s="7">
        <v>15</v>
      </c>
      <c r="B176" s="8" t="str">
        <f t="array" ref="B176">IFERROR(
 INDEX(Master!C$2:C$272,
  SMALL(
   IF(EXACT(Master!$M$2:$M$272,Rosters!$A$160),
    ROW(Master!C$2:C$272)-ROW(Master!C$2)+1
    ),
   ROWS(Master!C$2:'Master'!C16)
  )
 ),"")</f>
        <v>Luke</v>
      </c>
      <c r="C176" s="8" t="str">
        <f t="array" ref="C176">IFERROR(
INDEX(Master!D$2:D$272,
SMALL(
IF(EXACT(Master!$M$2:$M$272,Rosters!$A$160),
ROW(Master!D$2:D$272)-ROW(Master!D$2)+1
),
ROWS(Master!D$2:'Master'!D16)
)
),"")</f>
        <v>Struble</v>
      </c>
      <c r="D176" s="7">
        <f t="array" aca="1" ref="D176" ca="1">IFERROR(
 INDEX(Master!O$2:O$272,
  SMALL(
   IF(EXACT(Master!$M$2:$M$272,Rosters!$A$160),
    ROW(Master!O$2:O$272)-ROW(Master!O$2)+1
    ),
   ROWS(Master!O$2:'Master'!O16)
  )
 ),"")</f>
        <v>14</v>
      </c>
      <c r="E176" s="8" t="str">
        <f t="array" ref="E176">IFERROR(
 INDEX(Master!A$2:A$272,
  SMALL(
   IF(EXACT(Master!$M$2:$M$272,Rosters!$A$160),
    ROW(Master!A$2:A$272)-ROW(Master!A$2)+1
    ),
   ROWS(Master!A$2:'Master'!A16)
  )
 ),"")</f>
        <v>Lora</v>
      </c>
      <c r="F176" s="8" t="str">
        <f t="array" ref="F176">IFERROR(
 INDEX(Master!B$2:B$272,
  SMALL(
   IF(EXACT(Master!$M$2:$M$272,Rosters!$A$160),
    ROW(Master!B$2:B$272)-ROW(Master!B$2)+1
    ),
   ROWS(Master!B$2:'Master'!B16)
  )
 ),"")</f>
        <v>Struble</v>
      </c>
      <c r="G176" s="7">
        <f t="array" ref="G176">IFERROR(
 INDEX(Master!K$2:K$272,
  SMALL(
   IF(EXACT(Master!$M$2:$M$272,Rosters!$A$160),
    ROW(Master!K$2:K$272)-ROW(Master!K$2)+1
    ),
   ROWS(Master!K$2:'Master'!K16)
  )
 ),"")</f>
        <v>937</v>
      </c>
      <c r="H176" s="7" t="str">
        <f t="array" ref="H176">IFERROR(
 INDEX(Master!L$2:L$272,
  SMALL(
   IF(EXACT(Master!$M$2:$M$272,Rosters!$A$160),
    ROW(Master!L$2:L$272)-ROW(Master!L$2)+1
    ),
   ROWS(Master!L$2:'Master'!L16)
  )
 ),"")</f>
        <v>414-0928</v>
      </c>
      <c r="I176" s="8" t="str">
        <f t="array" ref="I176">IFERROR(
 INDEX(Master!Q$2:Q$272,
  SMALL(
   IF(EXACT(Master!$M$2:$M$272,Rosters!$A$160),
    ROW(Master!Q$2:Q$272)-ROW(Master!Q$2)+1
    ),
   ROWS(Master!Q$2:'Master'!Q16)
  )
 ),"")</f>
        <v>davidandlora1179@aol.com</v>
      </c>
    </row>
    <row r="177" spans="1:9" x14ac:dyDescent="0.25">
      <c r="A177" s="7">
        <v>16</v>
      </c>
      <c r="B177" s="8" t="str">
        <f t="array" ref="B177">IFERROR(
 INDEX(Master!C$2:C$272,
  SMALL(
   IF(EXACT(Master!$M$2:$M$272,Rosters!$A$160),
    ROW(Master!C$2:C$272)-ROW(Master!C$2)+1
    ),
   ROWS(Master!C$2:'Master'!C17)
  )
 ),"")</f>
        <v>Dominic</v>
      </c>
      <c r="C177" s="8" t="str">
        <f t="array" ref="C177">IFERROR(
INDEX(Master!D$2:D$272,
SMALL(
IF(EXACT(Master!$M$2:$M$272,Rosters!$A$160),
ROW(Master!D$2:D$272)-ROW(Master!D$2)+1
),
ROWS(Master!D$2:'Master'!D17)
)
),"")</f>
        <v>Vorrasi</v>
      </c>
      <c r="D177" s="7">
        <f t="array" aca="1" ref="D177" ca="1">IFERROR(
 INDEX(Master!O$2:O$272,
  SMALL(
   IF(EXACT(Master!$M$2:$M$272,Rosters!$A$160),
    ROW(Master!O$2:O$272)-ROW(Master!O$2)+1
    ),
   ROWS(Master!O$2:'Master'!O17)
  )
 ),"")</f>
        <v>18</v>
      </c>
      <c r="E177" s="8" t="str">
        <f t="array" ref="E177">IFERROR(
 INDEX(Master!A$2:A$272,
  SMALL(
   IF(EXACT(Master!$M$2:$M$272,Rosters!$A$160),
    ROW(Master!A$2:A$272)-ROW(Master!A$2)+1
    ),
   ROWS(Master!A$2:'Master'!A17)
  )
 ),"")</f>
        <v>Aimee/Ed</v>
      </c>
      <c r="F177" s="8" t="str">
        <f t="array" ref="F177">IFERROR(
 INDEX(Master!B$2:B$272,
  SMALL(
   IF(EXACT(Master!$M$2:$M$272,Rosters!$A$160),
    ROW(Master!B$2:B$272)-ROW(Master!B$2)+1
    ),
   ROWS(Master!B$2:'Master'!B17)
  )
 ),"")</f>
        <v>Vorrasi</v>
      </c>
      <c r="G177" s="7">
        <f t="array" ref="G177">IFERROR(
 INDEX(Master!K$2:K$272,
  SMALL(
   IF(EXACT(Master!$M$2:$M$272,Rosters!$A$160),
    ROW(Master!K$2:K$272)-ROW(Master!K$2)+1
    ),
   ROWS(Master!K$2:'Master'!K17)
  )
 ),"")</f>
        <v>937</v>
      </c>
      <c r="H177" s="7" t="str">
        <f t="array" ref="H177">IFERROR(
 INDEX(Master!L$2:L$272,
  SMALL(
   IF(EXACT(Master!$M$2:$M$272,Rosters!$A$160),
    ROW(Master!L$2:L$272)-ROW(Master!L$2)+1
    ),
   ROWS(Master!L$2:'Master'!L17)
  )
 ),"")</f>
        <v>886-5081</v>
      </c>
      <c r="I177" s="8" t="str">
        <f t="array" ref="I177">IFERROR(
 INDEX(Master!Q$2:Q$272,
  SMALL(
   IF(EXACT(Master!$M$2:$M$272,Rosters!$A$160),
    ROW(Master!Q$2:Q$272)-ROW(Master!Q$2)+1
    ),
   ROWS(Master!Q$2:'Master'!Q17)
  )
 ),"")</f>
        <v>avorrasi@hotmail.com</v>
      </c>
    </row>
    <row r="178" spans="1:9" x14ac:dyDescent="0.25">
      <c r="A178" s="7">
        <v>17</v>
      </c>
      <c r="B178" s="8" t="str">
        <f t="array" ref="B178">IFERROR(
 INDEX(Master!C$2:C$272,
  SMALL(
   IF(EXACT(Master!$M$2:$M$272,Rosters!$A$160),
    ROW(Master!C$2:C$272)-ROW(Master!C$2)+1
    ),
   ROWS(Master!C$2:'Master'!C18)
  )
 ),"")</f>
        <v>Grayson</v>
      </c>
      <c r="C178" s="8" t="str">
        <f t="array" ref="C178">IFERROR(
INDEX(Master!D$2:D$272,
SMALL(
IF(EXACT(Master!$M$2:$M$272,Rosters!$A$160),
ROW(Master!D$2:D$272)-ROW(Master!D$2)+1
),
ROWS(Master!D$2:'Master'!D18)
)
),"")</f>
        <v>Willis</v>
      </c>
      <c r="D178" s="7">
        <f t="array" aca="1" ref="D178" ca="1">IFERROR(
 INDEX(Master!O$2:O$272,
  SMALL(
   IF(EXACT(Master!$M$2:$M$272,Rosters!$A$160),
    ROW(Master!O$2:O$272)-ROW(Master!O$2)+1
    ),
   ROWS(Master!O$2:'Master'!O18)
  )
 ),"")</f>
        <v>16</v>
      </c>
      <c r="E178" s="8" t="str">
        <f t="array" ref="E178">IFERROR(
 INDEX(Master!A$2:A$272,
  SMALL(
   IF(EXACT(Master!$M$2:$M$272,Rosters!$A$160),
    ROW(Master!A$2:A$272)-ROW(Master!A$2)+1
    ),
   ROWS(Master!A$2:'Master'!A18)
  )
 ),"")</f>
        <v>Amy</v>
      </c>
      <c r="F178" s="8" t="str">
        <f t="array" ref="F178">IFERROR(
 INDEX(Master!B$2:B$272,
  SMALL(
   IF(EXACT(Master!$M$2:$M$272,Rosters!$A$160),
    ROW(Master!B$2:B$272)-ROW(Master!B$2)+1
    ),
   ROWS(Master!B$2:'Master'!B18)
  )
 ),"")</f>
        <v>Tolson</v>
      </c>
      <c r="G178" s="7">
        <f t="array" ref="G178">IFERROR(
 INDEX(Master!K$2:K$272,
  SMALL(
   IF(EXACT(Master!$M$2:$M$272,Rosters!$A$160),
    ROW(Master!K$2:K$272)-ROW(Master!K$2)+1
    ),
   ROWS(Master!K$2:'Master'!K18)
  )
 ),"")</f>
        <v>937</v>
      </c>
      <c r="H178" s="7" t="str">
        <f t="array" ref="H178">IFERROR(
 INDEX(Master!L$2:L$272,
  SMALL(
   IF(EXACT(Master!$M$2:$M$272,Rosters!$A$160),
    ROW(Master!L$2:L$272)-ROW(Master!L$2)+1
    ),
   ROWS(Master!L$2:'Master'!L18)
  )
 ),"")</f>
        <v>477-4249</v>
      </c>
      <c r="I178" s="8" t="str">
        <f t="array" ref="I178">IFERROR(
 INDEX(Master!Q$2:Q$272,
  SMALL(
   IF(EXACT(Master!$M$2:$M$272,Rosters!$A$160),
    ROW(Master!Q$2:Q$272)-ROW(Master!Q$2)+1
    ),
   ROWS(Master!Q$2:'Master'!Q18)
  )
 ),"")</f>
        <v>amyjtolson34@gmail.com</v>
      </c>
    </row>
    <row r="179" spans="1:9" x14ac:dyDescent="0.25">
      <c r="A179" s="7"/>
      <c r="B179" s="8" t="str">
        <f t="array" ref="B179">IFERROR(
 INDEX(Master!C$2:C$272,
  SMALL(
   IF(EXACT(Master!$M$2:$M$272,Rosters!$A$160),
    ROW(Master!C$2:C$272)-ROW(Master!C$2)+1
    ),
   ROWS(Master!C$2:'Master'!C19)
  )
 ),"")</f>
        <v/>
      </c>
      <c r="C179" s="8" t="str">
        <f t="array" ref="C179">IFERROR(
INDEX(Master!D$2:D$272,
SMALL(
IF(EXACT(Master!$M$2:$M$272,Rosters!$A$160),
ROW(Master!D$2:D$272)-ROW(Master!D$2)+1
),
ROWS(Master!D$2:'Master'!D19)
)
),"")</f>
        <v/>
      </c>
      <c r="D179" s="7" t="str">
        <f t="array" ref="D179">IFERROR(
 INDEX(Master!O$2:O$272,
  SMALL(
   IF(EXACT(Master!$M$2:$M$272,Rosters!$A$160),
    ROW(Master!O$2:O$272)-ROW(Master!O$2)+1
    ),
   ROWS(Master!O$2:'Master'!O19)
  )
 ),"")</f>
        <v/>
      </c>
      <c r="E179" s="8" t="str">
        <f t="array" ref="E179">IFERROR(
 INDEX(Master!A$2:A$272,
  SMALL(
   IF(EXACT(Master!$M$2:$M$272,Rosters!$A$160),
    ROW(Master!A$2:A$272)-ROW(Master!A$2)+1
    ),
   ROWS(Master!A$2:'Master'!A19)
  )
 ),"")</f>
        <v/>
      </c>
      <c r="F179" s="8" t="str">
        <f t="array" ref="F179">IFERROR(
 INDEX(Master!B$2:B$272,
  SMALL(
   IF(EXACT(Master!$M$2:$M$272,Rosters!$A$160),
    ROW(Master!B$2:B$272)-ROW(Master!B$2)+1
    ),
   ROWS(Master!B$2:'Master'!B19)
  )
 ),"")</f>
        <v/>
      </c>
      <c r="G179" s="7" t="str">
        <f t="array" ref="G179">IFERROR(
 INDEX(Master!K$2:K$272,
  SMALL(
   IF(EXACT(Master!$M$2:$M$272,Rosters!$A$160),
    ROW(Master!K$2:K$272)-ROW(Master!K$2)+1
    ),
   ROWS(Master!K$2:'Master'!K19)
  )
 ),"")</f>
        <v/>
      </c>
      <c r="H179" s="7" t="str">
        <f t="array" ref="H179">IFERROR(
 INDEX(Master!L$2:L$272,
  SMALL(
   IF(EXACT(Master!$M$2:$M$272,Rosters!$A$160),
    ROW(Master!L$2:L$272)-ROW(Master!L$2)+1
    ),
   ROWS(Master!L$2:'Master'!L19)
  )
 ),"")</f>
        <v/>
      </c>
      <c r="I179" s="8" t="str">
        <f t="array" ref="I179">IFERROR(
 INDEX(Master!Q$2:Q$272,
  SMALL(
   IF(EXACT(Master!$M$2:$M$272,Rosters!$A$160),
    ROW(Master!Q$2:Q$272)-ROW(Master!Q$2)+1
    ),
   ROWS(Master!Q$2:'Master'!Q19)
  )
 ),"")</f>
        <v/>
      </c>
    </row>
    <row r="180" spans="1:9" x14ac:dyDescent="0.25">
      <c r="A180" s="7"/>
      <c r="B180" s="8" t="str">
        <f t="array" ref="B180">IFERROR(
 INDEX(Master!C$2:C$272,
  SMALL(
   IF(EXACT(Master!$M$2:$M$272,Rosters!$A$160),
    ROW(Master!C$2:C$272)-ROW(Master!C$2)+1
    ),
   ROWS(Master!C$2:'Master'!C19)
  )
 ),"")</f>
        <v/>
      </c>
      <c r="C180" s="8" t="str">
        <f t="array" ref="C180">IFERROR(
INDEX(Master!D$2:D$272,
SMALL(
IF(EXACT(Master!$M$2:$M$272,Rosters!$A$160),
ROW(Master!D$2:D$272)-ROW(Master!D$2)+1
),
ROWS(Master!D$2:'Master'!D19)
)
),"")</f>
        <v/>
      </c>
      <c r="D180" s="7" t="str">
        <f t="array" ref="D180">IFERROR(
 INDEX(Master!O$2:O$272,
  SMALL(
   IF(EXACT(Master!$M$2:$M$272,Rosters!$A$160),
    ROW(Master!O$2:O$272)-ROW(Master!O$2)+1
    ),
   ROWS(Master!O$2:'Master'!O19)
  )
 ),"")</f>
        <v/>
      </c>
      <c r="E180" s="8" t="str">
        <f t="array" ref="E180">IFERROR(
 INDEX(Master!A$2:A$272,
  SMALL(
   IF(EXACT(Master!$M$2:$M$272,Rosters!$A$160),
    ROW(Master!A$2:A$272)-ROW(Master!A$2)+1
    ),
   ROWS(Master!A$2:'Master'!A19)
  )
 ),"")</f>
        <v/>
      </c>
      <c r="F180" s="8" t="str">
        <f t="array" ref="F180">IFERROR(
 INDEX(Master!B$2:B$272,
  SMALL(
   IF(EXACT(Master!$M$2:$M$272,Rosters!$A$160),
    ROW(Master!B$2:B$272)-ROW(Master!B$2)+1
    ),
   ROWS(Master!B$2:'Master'!B19)
  )
 ),"")</f>
        <v/>
      </c>
      <c r="G180" s="7" t="str">
        <f t="array" ref="G180">IFERROR(
 INDEX(Master!K$2:K$272,
  SMALL(
   IF(EXACT(Master!$M$2:$M$272,Rosters!$A$160),
    ROW(Master!K$2:K$272)-ROW(Master!K$2)+1
    ),
   ROWS(Master!K$2:'Master'!K19)
  )
 ),"")</f>
        <v/>
      </c>
      <c r="H180" s="7" t="str">
        <f t="array" ref="H180">IFERROR(
 INDEX(Master!L$2:L$272,
  SMALL(
   IF(EXACT(Master!$M$2:$M$272,Rosters!$A$160),
    ROW(Master!L$2:L$272)-ROW(Master!L$2)+1
    ),
   ROWS(Master!L$2:'Master'!L19)
  )
 ),"")</f>
        <v/>
      </c>
      <c r="I180" s="8" t="str">
        <f t="array" ref="I180">IFERROR(
 INDEX(Master!Q$2:Q$272,
  SMALL(
   IF(EXACT(Master!$M$2:$M$272,Rosters!$A$160),
    ROW(Master!Q$2:Q$272)-ROW(Master!Q$2)+1
    ),
   ROWS(Master!Q$2:'Master'!Q19)
  )
 ),"")</f>
        <v/>
      </c>
    </row>
    <row r="181" spans="1:9" x14ac:dyDescent="0.25">
      <c r="A181" s="7" t="str">
        <f t="shared" ref="A181:A191" si="4">IF($B181&lt;&gt;"",$A180+1,"")</f>
        <v/>
      </c>
      <c r="B181" s="8" t="str">
        <f t="array" ref="B181">IFERROR(
 INDEX(Master!C$2:C$272,
  SMALL(
   IF(EXACT(Master!$M$2:$M$272,Rosters!$A$160),
    ROW(Master!C$2:C$272)-ROW(Master!C$2)+1
    ),
   ROWS(Master!C$2:'Master'!C21)
  )
 ),"")</f>
        <v/>
      </c>
      <c r="C181" s="8" t="str">
        <f t="array" ref="C181">IFERROR(
INDEX(Master!D$2:D$272,
SMALL(
IF(EXACT(Master!$M$2:$M$272,Rosters!$A$160),
ROW(Master!D$2:D$272)-ROW(Master!D$2)+1
),
ROWS(Master!D$2:'Master'!D21)
)
),"")</f>
        <v/>
      </c>
      <c r="D181" s="7" t="str">
        <f t="array" ref="D181">IFERROR(
 INDEX(Master!O$2:O$272,
  SMALL(
   IF(EXACT(Master!$M$2:$M$272,Rosters!$A$160),
    ROW(Master!O$2:O$272)-ROW(Master!O$2)+1
    ),
   ROWS(Master!O$2:'Master'!O21)
  )
 ),"")</f>
        <v/>
      </c>
      <c r="E181" s="8" t="str">
        <f t="array" ref="E181">IFERROR(
 INDEX(Master!A$2:A$272,
  SMALL(
   IF(EXACT(Master!$M$2:$M$272,Rosters!$A$160),
    ROW(Master!A$2:A$272)-ROW(Master!A$2)+1
    ),
   ROWS(Master!A$2:'Master'!A21)
  )
 ),"")</f>
        <v/>
      </c>
      <c r="F181" s="8" t="str">
        <f t="array" ref="F181">IFERROR(
 INDEX(Master!B$2:B$272,
  SMALL(
   IF(EXACT(Master!$M$2:$M$272,Rosters!$A$160),
    ROW(Master!B$2:B$272)-ROW(Master!B$2)+1
    ),
   ROWS(Master!B$2:'Master'!B21)
  )
 ),"")</f>
        <v/>
      </c>
      <c r="G181" s="7" t="str">
        <f t="array" ref="G181">IFERROR(
 INDEX(Master!K$2:K$272,
  SMALL(
   IF(EXACT(Master!$M$2:$M$272,Rosters!$A$160),
    ROW(Master!K$2:K$272)-ROW(Master!K$2)+1
    ),
   ROWS(Master!K$2:'Master'!K21)
  )
 ),"")</f>
        <v/>
      </c>
      <c r="H181" s="7" t="str">
        <f t="array" ref="H181">IFERROR(
 INDEX(Master!L$2:L$272,
  SMALL(
   IF(EXACT(Master!$M$2:$M$272,Rosters!$A$160),
    ROW(Master!L$2:L$272)-ROW(Master!L$2)+1
    ),
   ROWS(Master!L$2:'Master'!L21)
  )
 ),"")</f>
        <v/>
      </c>
      <c r="I181" s="8" t="str">
        <f t="array" ref="I181">IFERROR(
 INDEX(Master!Q$2:Q$272,
  SMALL(
   IF(EXACT(Master!$M$2:$M$272,Rosters!$A$160),
    ROW(Master!Q$2:Q$272)-ROW(Master!Q$2)+1
    ),
   ROWS(Master!Q$2:'Master'!Q21)
  )
 ),"")</f>
        <v/>
      </c>
    </row>
    <row r="182" spans="1:9" x14ac:dyDescent="0.25">
      <c r="A182" s="7" t="str">
        <f t="shared" si="4"/>
        <v/>
      </c>
      <c r="B182" s="8" t="str">
        <f t="array" ref="B182">IFERROR(
 INDEX(Master!C$2:C$272,
  SMALL(
   IF(EXACT(Master!$M$2:$M$272,Rosters!$A$160),
    ROW(Master!C$2:C$272)-ROW(Master!C$2)+1
    ),
   ROWS(Master!C$2:'Master'!C22)
  )
 ),"")</f>
        <v/>
      </c>
      <c r="C182" s="8" t="str">
        <f t="array" ref="C182">IFERROR(
INDEX(Master!D$2:D$272,
SMALL(
IF(EXACT(Master!$M$2:$M$272,Rosters!$A$160),
ROW(Master!D$2:D$272)-ROW(Master!D$2)+1
),
ROWS(Master!D$2:'Master'!D22)
)
),"")</f>
        <v/>
      </c>
      <c r="D182" s="7" t="str">
        <f t="array" ref="D182">IFERROR(
 INDEX(Master!O$2:O$272,
  SMALL(
   IF(EXACT(Master!$M$2:$M$272,Rosters!$A$160),
    ROW(Master!O$2:O$272)-ROW(Master!O$2)+1
    ),
   ROWS(Master!O$2:'Master'!O22)
  )
 ),"")</f>
        <v/>
      </c>
      <c r="E182" s="8" t="str">
        <f t="array" ref="E182">IFERROR(
 INDEX(Master!A$2:A$272,
  SMALL(
   IF(EXACT(Master!$M$2:$M$272,Rosters!$A$160),
    ROW(Master!A$2:A$272)-ROW(Master!A$2)+1
    ),
   ROWS(Master!A$2:'Master'!A22)
  )
 ),"")</f>
        <v/>
      </c>
      <c r="F182" s="8" t="str">
        <f t="array" ref="F182">IFERROR(
 INDEX(Master!B$2:B$272,
  SMALL(
   IF(EXACT(Master!$M$2:$M$272,Rosters!$A$160),
    ROW(Master!B$2:B$272)-ROW(Master!B$2)+1
    ),
   ROWS(Master!B$2:'Master'!B22)
  )
 ),"")</f>
        <v/>
      </c>
      <c r="G182" s="7" t="str">
        <f t="array" ref="G182">IFERROR(
 INDEX(Master!K$2:K$272,
  SMALL(
   IF(EXACT(Master!$M$2:$M$272,Rosters!$A$160),
    ROW(Master!K$2:K$272)-ROW(Master!K$2)+1
    ),
   ROWS(Master!K$2:'Master'!K22)
  )
 ),"")</f>
        <v/>
      </c>
      <c r="H182" s="7" t="str">
        <f t="array" ref="H182">IFERROR(
 INDEX(Master!L$2:L$272,
  SMALL(
   IF(EXACT(Master!$M$2:$M$272,Rosters!$A$160),
    ROW(Master!L$2:L$272)-ROW(Master!L$2)+1
    ),
   ROWS(Master!L$2:'Master'!L22)
  )
 ),"")</f>
        <v/>
      </c>
      <c r="I182" s="8" t="str">
        <f t="array" ref="I182">IFERROR(
 INDEX(Master!Q$2:Q$272,
  SMALL(
   IF(EXACT(Master!$M$2:$M$272,Rosters!$A$160),
    ROW(Master!Q$2:Q$272)-ROW(Master!Q$2)+1
    ),
   ROWS(Master!Q$2:'Master'!Q22)
  )
 ),"")</f>
        <v/>
      </c>
    </row>
    <row r="183" spans="1:9" x14ac:dyDescent="0.25">
      <c r="A183" s="7" t="str">
        <f t="shared" si="4"/>
        <v/>
      </c>
      <c r="B183" s="8" t="str">
        <f t="array" ref="B183">IFERROR(
 INDEX(Master!C$2:C$272,
  SMALL(
   IF(EXACT(Master!$M$2:$M$272,Rosters!$A$160),
    ROW(Master!C$2:C$272)-ROW(Master!C$2)+1
    ),
   ROWS(Master!C$2:'Master'!C23)
  )
 ),"")</f>
        <v/>
      </c>
      <c r="C183" s="8" t="str">
        <f t="array" ref="C183">IFERROR(
INDEX(Master!D$2:D$272,
SMALL(
IF(EXACT(Master!$M$2:$M$272,Rosters!$A$160),
ROW(Master!D$2:D$272)-ROW(Master!D$2)+1
),
ROWS(Master!D$2:'Master'!D23)
)
),"")</f>
        <v/>
      </c>
      <c r="D183" s="7" t="str">
        <f t="array" ref="D183">IFERROR(
 INDEX(Master!O$2:O$272,
  SMALL(
   IF(EXACT(Master!$M$2:$M$272,Rosters!$A$160),
    ROW(Master!O$2:O$272)-ROW(Master!O$2)+1
    ),
   ROWS(Master!O$2:'Master'!O23)
  )
 ),"")</f>
        <v/>
      </c>
      <c r="E183" s="8" t="str">
        <f t="array" ref="E183">IFERROR(
 INDEX(Master!A$2:A$272,
  SMALL(
   IF(EXACT(Master!$M$2:$M$272,Rosters!$A$160),
    ROW(Master!A$2:A$272)-ROW(Master!A$2)+1
    ),
   ROWS(Master!A$2:'Master'!A23)
  )
 ),"")</f>
        <v/>
      </c>
      <c r="F183" s="8" t="str">
        <f t="array" ref="F183">IFERROR(
 INDEX(Master!B$2:B$272,
  SMALL(
   IF(EXACT(Master!$M$2:$M$272,Rosters!$A$160),
    ROW(Master!B$2:B$272)-ROW(Master!B$2)+1
    ),
   ROWS(Master!B$2:'Master'!B23)
  )
 ),"")</f>
        <v/>
      </c>
      <c r="G183" s="7" t="str">
        <f t="array" ref="G183">IFERROR(
 INDEX(Master!K$2:K$272,
  SMALL(
   IF(EXACT(Master!$M$2:$M$272,Rosters!$A$160),
    ROW(Master!K$2:K$272)-ROW(Master!K$2)+1
    ),
   ROWS(Master!K$2:'Master'!K23)
  )
 ),"")</f>
        <v/>
      </c>
      <c r="H183" s="7" t="str">
        <f t="array" ref="H183">IFERROR(
 INDEX(Master!L$2:L$272,
  SMALL(
   IF(EXACT(Master!$M$2:$M$272,Rosters!$A$160),
    ROW(Master!L$2:L$272)-ROW(Master!L$2)+1
    ),
   ROWS(Master!L$2:'Master'!L23)
  )
 ),"")</f>
        <v/>
      </c>
      <c r="I183" s="8" t="str">
        <f t="array" ref="I183">IFERROR(
 INDEX(Master!Q$2:Q$272,
  SMALL(
   IF(EXACT(Master!$M$2:$M$272,Rosters!$A$160),
    ROW(Master!Q$2:Q$272)-ROW(Master!Q$2)+1
    ),
   ROWS(Master!Q$2:'Master'!Q23)
  )
 ),"")</f>
        <v/>
      </c>
    </row>
    <row r="184" spans="1:9" x14ac:dyDescent="0.25">
      <c r="A184" s="7" t="str">
        <f t="shared" si="4"/>
        <v/>
      </c>
      <c r="B184" s="8" t="str">
        <f t="array" ref="B184">IFERROR(
 INDEX(Master!C$2:C$272,
  SMALL(
   IF(EXACT(Master!$M$2:$M$272,Rosters!$A$160),
    ROW(Master!C$2:C$272)-ROW(Master!C$2)+1
    ),
   ROWS(Master!C$2:'Master'!C24)
  )
 ),"")</f>
        <v/>
      </c>
      <c r="C184" s="8" t="str">
        <f t="array" ref="C184">IFERROR(
INDEX(Master!D$2:D$272,
SMALL(
IF(EXACT(Master!$M$2:$M$272,Rosters!$A$160),
ROW(Master!D$2:D$272)-ROW(Master!D$2)+1
),
ROWS(Master!D$2:'Master'!D24)
)
),"")</f>
        <v/>
      </c>
      <c r="D184" s="7" t="str">
        <f t="array" ref="D184">IFERROR(
 INDEX(Master!O$2:O$272,
  SMALL(
   IF(EXACT(Master!$M$2:$M$272,Rosters!$A$160),
    ROW(Master!O$2:O$272)-ROW(Master!O$2)+1
    ),
   ROWS(Master!O$2:'Master'!O24)
  )
 ),"")</f>
        <v/>
      </c>
      <c r="E184" s="8" t="str">
        <f t="array" ref="E184">IFERROR(
 INDEX(Master!A$2:A$272,
  SMALL(
   IF(EXACT(Master!$M$2:$M$272,Rosters!$A$160),
    ROW(Master!A$2:A$272)-ROW(Master!A$2)+1
    ),
   ROWS(Master!A$2:'Master'!A24)
  )
 ),"")</f>
        <v/>
      </c>
      <c r="F184" s="8" t="str">
        <f t="array" ref="F184">IFERROR(
 INDEX(Master!B$2:B$272,
  SMALL(
   IF(EXACT(Master!$M$2:$M$272,Rosters!$A$160),
    ROW(Master!B$2:B$272)-ROW(Master!B$2)+1
    ),
   ROWS(Master!B$2:'Master'!B24)
  )
 ),"")</f>
        <v/>
      </c>
      <c r="G184" s="7" t="str">
        <f t="array" ref="G184">IFERROR(
 INDEX(Master!K$2:K$272,
  SMALL(
   IF(EXACT(Master!$M$2:$M$272,Rosters!$A$160),
    ROW(Master!K$2:K$272)-ROW(Master!K$2)+1
    ),
   ROWS(Master!K$2:'Master'!K24)
  )
 ),"")</f>
        <v/>
      </c>
      <c r="H184" s="7" t="str">
        <f t="array" ref="H184">IFERROR(
 INDEX(Master!L$2:L$272,
  SMALL(
   IF(EXACT(Master!$M$2:$M$272,Rosters!$A$160),
    ROW(Master!L$2:L$272)-ROW(Master!L$2)+1
    ),
   ROWS(Master!L$2:'Master'!L24)
  )
 ),"")</f>
        <v/>
      </c>
      <c r="I184" s="8" t="str">
        <f t="array" ref="I184">IFERROR(
 INDEX(Master!Q$2:Q$272,
  SMALL(
   IF(EXACT(Master!$M$2:$M$272,Rosters!$A$160),
    ROW(Master!Q$2:Q$272)-ROW(Master!Q$2)+1
    ),
   ROWS(Master!Q$2:'Master'!Q24)
  )
 ),"")</f>
        <v/>
      </c>
    </row>
    <row r="185" spans="1:9" x14ac:dyDescent="0.25">
      <c r="A185" s="7" t="str">
        <f t="shared" si="4"/>
        <v/>
      </c>
      <c r="B185" s="8" t="str">
        <f t="array" ref="B185">IFERROR(
 INDEX(Master!C$2:C$272,
  SMALL(
   IF(EXACT(Master!$M$2:$M$272,Rosters!$A$160),
    ROW(Master!C$2:C$272)-ROW(Master!C$2)+1
    ),
   ROWS(Master!C$2:'Master'!C25)
  )
 ),"")</f>
        <v/>
      </c>
      <c r="C185" s="8" t="str">
        <f t="array" ref="C185">IFERROR(
INDEX(Master!D$2:D$272,
SMALL(
IF(EXACT(Master!$M$2:$M$272,Rosters!$A$160),
ROW(Master!D$2:D$272)-ROW(Master!D$2)+1
),
ROWS(Master!D$2:'Master'!D25)
)
),"")</f>
        <v/>
      </c>
      <c r="D185" s="7" t="str">
        <f t="array" ref="D185">IFERROR(
 INDEX(Master!O$2:O$272,
  SMALL(
   IF(EXACT(Master!$M$2:$M$272,Rosters!$A$160),
    ROW(Master!O$2:O$272)-ROW(Master!O$2)+1
    ),
   ROWS(Master!O$2:'Master'!O25)
  )
 ),"")</f>
        <v/>
      </c>
      <c r="E185" s="8" t="str">
        <f t="array" ref="E185">IFERROR(
 INDEX(Master!A$2:A$272,
  SMALL(
   IF(EXACT(Master!$M$2:$M$272,Rosters!$A$160),
    ROW(Master!A$2:A$272)-ROW(Master!A$2)+1
    ),
   ROWS(Master!A$2:'Master'!A25)
  )
 ),"")</f>
        <v/>
      </c>
      <c r="F185" s="8" t="str">
        <f t="array" ref="F185">IFERROR(
 INDEX(Master!B$2:B$272,
  SMALL(
   IF(EXACT(Master!$M$2:$M$272,Rosters!$A$160),
    ROW(Master!B$2:B$272)-ROW(Master!B$2)+1
    ),
   ROWS(Master!B$2:'Master'!B25)
  )
 ),"")</f>
        <v/>
      </c>
      <c r="G185" s="7" t="str">
        <f t="array" ref="G185">IFERROR(
 INDEX(Master!K$2:K$272,
  SMALL(
   IF(EXACT(Master!$M$2:$M$272,Rosters!$A$160),
    ROW(Master!K$2:K$272)-ROW(Master!K$2)+1
    ),
   ROWS(Master!K$2:'Master'!K25)
  )
 ),"")</f>
        <v/>
      </c>
      <c r="H185" s="7" t="str">
        <f t="array" ref="H185">IFERROR(
 INDEX(Master!L$2:L$272,
  SMALL(
   IF(EXACT(Master!$M$2:$M$272,Rosters!$A$160),
    ROW(Master!L$2:L$272)-ROW(Master!L$2)+1
    ),
   ROWS(Master!L$2:'Master'!L25)
  )
 ),"")</f>
        <v/>
      </c>
      <c r="I185" s="8" t="str">
        <f t="array" ref="I185">IFERROR(
 INDEX(Master!Q$2:Q$272,
  SMALL(
   IF(EXACT(Master!$M$2:$M$272,Rosters!$A$160),
    ROW(Master!Q$2:Q$272)-ROW(Master!Q$2)+1
    ),
   ROWS(Master!Q$2:'Master'!Q25)
  )
 ),"")</f>
        <v/>
      </c>
    </row>
    <row r="186" spans="1:9" x14ac:dyDescent="0.25">
      <c r="A186" s="7" t="str">
        <f t="shared" si="4"/>
        <v/>
      </c>
      <c r="B186" s="8" t="str">
        <f t="array" ref="B186">IFERROR(
 INDEX(Master!C$2:C$272,
  SMALL(
   IF(EXACT(Master!$M$2:$M$272,Rosters!$A$160),
    ROW(Master!C$2:C$272)-ROW(Master!C$2)+1
    ),
   ROWS(Master!C$2:'Master'!C26)
  )
 ),"")</f>
        <v/>
      </c>
      <c r="C186" s="8" t="str">
        <f t="array" ref="C186">IFERROR(
INDEX(Master!D$2:D$272,
SMALL(
IF(EXACT(Master!$M$2:$M$272,Rosters!$A$160),
ROW(Master!D$2:D$272)-ROW(Master!D$2)+1
),
ROWS(Master!D$2:'Master'!D26)
)
),"")</f>
        <v/>
      </c>
      <c r="D186" s="7" t="str">
        <f t="array" ref="D186">IFERROR(
 INDEX(Master!O$2:O$272,
  SMALL(
   IF(EXACT(Master!$M$2:$M$272,Rosters!$A$160),
    ROW(Master!O$2:O$272)-ROW(Master!O$2)+1
    ),
   ROWS(Master!O$2:'Master'!O26)
  )
 ),"")</f>
        <v/>
      </c>
      <c r="E186" s="8" t="str">
        <f t="array" ref="E186">IFERROR(
 INDEX(Master!A$2:A$272,
  SMALL(
   IF(EXACT(Master!$M$2:$M$272,Rosters!$A$160),
    ROW(Master!A$2:A$272)-ROW(Master!A$2)+1
    ),
   ROWS(Master!A$2:'Master'!A26)
  )
 ),"")</f>
        <v/>
      </c>
      <c r="F186" s="8" t="str">
        <f t="array" ref="F186">IFERROR(
 INDEX(Master!B$2:B$272,
  SMALL(
   IF(EXACT(Master!$M$2:$M$272,Rosters!$A$160),
    ROW(Master!B$2:B$272)-ROW(Master!B$2)+1
    ),
   ROWS(Master!B$2:'Master'!B26)
  )
 ),"")</f>
        <v/>
      </c>
      <c r="G186" s="7" t="str">
        <f t="array" ref="G186">IFERROR(
 INDEX(Master!K$2:K$272,
  SMALL(
   IF(EXACT(Master!$M$2:$M$272,Rosters!$A$160),
    ROW(Master!K$2:K$272)-ROW(Master!K$2)+1
    ),
   ROWS(Master!K$2:'Master'!K26)
  )
 ),"")</f>
        <v/>
      </c>
      <c r="H186" s="7" t="str">
        <f t="array" ref="H186">IFERROR(
 INDEX(Master!L$2:L$272,
  SMALL(
   IF(EXACT(Master!$M$2:$M$272,Rosters!$A$160),
    ROW(Master!L$2:L$272)-ROW(Master!L$2)+1
    ),
   ROWS(Master!L$2:'Master'!L26)
  )
 ),"")</f>
        <v/>
      </c>
      <c r="I186" s="8" t="str">
        <f t="array" ref="I186">IFERROR(
 INDEX(Master!Q$2:Q$272,
  SMALL(
   IF(EXACT(Master!$M$2:$M$272,Rosters!$A$160),
    ROW(Master!Q$2:Q$272)-ROW(Master!Q$2)+1
    ),
   ROWS(Master!Q$2:'Master'!Q26)
  )
 ),"")</f>
        <v/>
      </c>
    </row>
    <row r="187" spans="1:9" x14ac:dyDescent="0.25">
      <c r="A187" s="7" t="str">
        <f t="shared" si="4"/>
        <v/>
      </c>
      <c r="B187" s="8" t="str">
        <f t="array" ref="B187">IFERROR(
 INDEX(Master!C$2:C$272,
  SMALL(
   IF(EXACT(Master!$M$2:$M$272,Rosters!$A$160),
    ROW(Master!C$2:C$272)-ROW(Master!C$2)+1
    ),
   ROWS(Master!C$2:'Master'!C27)
  )
 ),"")</f>
        <v/>
      </c>
      <c r="C187" s="8" t="str">
        <f t="array" ref="C187">IFERROR(
INDEX(Master!D$2:D$272,
SMALL(
IF(EXACT(Master!$M$2:$M$272,Rosters!$A$160),
ROW(Master!D$2:D$272)-ROW(Master!D$2)+1
),
ROWS(Master!D$2:'Master'!D27)
)
),"")</f>
        <v/>
      </c>
      <c r="D187" s="7" t="str">
        <f t="array" ref="D187">IFERROR(
 INDEX(Master!O$2:O$272,
  SMALL(
   IF(EXACT(Master!$M$2:$M$272,Rosters!$A$160),
    ROW(Master!O$2:O$272)-ROW(Master!O$2)+1
    ),
   ROWS(Master!O$2:'Master'!O27)
  )
 ),"")</f>
        <v/>
      </c>
      <c r="E187" s="8" t="str">
        <f t="array" ref="E187">IFERROR(
 INDEX(Master!A$2:A$272,
  SMALL(
   IF(EXACT(Master!$M$2:$M$272,Rosters!$A$160),
    ROW(Master!A$2:A$272)-ROW(Master!A$2)+1
    ),
   ROWS(Master!A$2:'Master'!A27)
  )
 ),"")</f>
        <v/>
      </c>
      <c r="F187" s="8" t="str">
        <f t="array" ref="F187">IFERROR(
 INDEX(Master!B$2:B$272,
  SMALL(
   IF(EXACT(Master!$M$2:$M$272,Rosters!$A$160),
    ROW(Master!B$2:B$272)-ROW(Master!B$2)+1
    ),
   ROWS(Master!B$2:'Master'!B27)
  )
 ),"")</f>
        <v/>
      </c>
      <c r="G187" s="7" t="str">
        <f t="array" ref="G187">IFERROR(
 INDEX(Master!K$2:K$272,
  SMALL(
   IF(EXACT(Master!$M$2:$M$272,Rosters!$A$160),
    ROW(Master!K$2:K$272)-ROW(Master!K$2)+1
    ),
   ROWS(Master!K$2:'Master'!K27)
  )
 ),"")</f>
        <v/>
      </c>
      <c r="H187" s="7" t="str">
        <f t="array" ref="H187">IFERROR(
 INDEX(Master!L$2:L$272,
  SMALL(
   IF(EXACT(Master!$M$2:$M$272,Rosters!$A$160),
    ROW(Master!L$2:L$272)-ROW(Master!L$2)+1
    ),
   ROWS(Master!L$2:'Master'!L27)
  )
 ),"")</f>
        <v/>
      </c>
      <c r="I187" s="8" t="str">
        <f t="array" ref="I187">IFERROR(
 INDEX(Master!Q$2:Q$272,
  SMALL(
   IF(EXACT(Master!$M$2:$M$272,Rosters!$A$160),
    ROW(Master!Q$2:Q$272)-ROW(Master!Q$2)+1
    ),
   ROWS(Master!Q$2:'Master'!Q27)
  )
 ),"")</f>
        <v/>
      </c>
    </row>
    <row r="188" spans="1:9" x14ac:dyDescent="0.25">
      <c r="A188" s="7" t="str">
        <f t="shared" si="4"/>
        <v/>
      </c>
      <c r="B188" s="8" t="str">
        <f t="array" ref="B188">IFERROR(
 INDEX(Master!C$2:C$272,
  SMALL(
   IF(EXACT(Master!$M$2:$M$272,Rosters!$A$160),
    ROW(Master!C$2:C$272)-ROW(Master!C$2)+1
    ),
   ROWS(Master!C$2:'Master'!C28)
  )
 ),"")</f>
        <v/>
      </c>
      <c r="C188" s="8" t="str">
        <f t="array" ref="C188">IFERROR(
INDEX(Master!D$2:D$272,
SMALL(
IF(EXACT(Master!$M$2:$M$272,Rosters!$A$160),
ROW(Master!D$2:D$272)-ROW(Master!D$2)+1
),
ROWS(Master!D$2:'Master'!D28)
)
),"")</f>
        <v/>
      </c>
      <c r="D188" s="7" t="str">
        <f t="array" ref="D188">IFERROR(
 INDEX(Master!O$2:O$272,
  SMALL(
   IF(EXACT(Master!$M$2:$M$272,Rosters!$A$160),
    ROW(Master!O$2:O$272)-ROW(Master!O$2)+1
    ),
   ROWS(Master!O$2:'Master'!O28)
  )
 ),"")</f>
        <v/>
      </c>
      <c r="E188" s="8" t="str">
        <f t="array" ref="E188">IFERROR(
 INDEX(Master!A$2:A$272,
  SMALL(
   IF(EXACT(Master!$M$2:$M$272,Rosters!$A$160),
    ROW(Master!A$2:A$272)-ROW(Master!A$2)+1
    ),
   ROWS(Master!A$2:'Master'!A28)
  )
 ),"")</f>
        <v/>
      </c>
      <c r="F188" s="8" t="str">
        <f t="array" ref="F188">IFERROR(
 INDEX(Master!B$2:B$272,
  SMALL(
   IF(EXACT(Master!$M$2:$M$272,Rosters!$A$160),
    ROW(Master!B$2:B$272)-ROW(Master!B$2)+1
    ),
   ROWS(Master!B$2:'Master'!B28)
  )
 ),"")</f>
        <v/>
      </c>
      <c r="G188" s="7" t="str">
        <f t="array" ref="G188">IFERROR(
 INDEX(Master!K$2:K$272,
  SMALL(
   IF(EXACT(Master!$M$2:$M$272,Rosters!$A$160),
    ROW(Master!K$2:K$272)-ROW(Master!K$2)+1
    ),
   ROWS(Master!K$2:'Master'!K28)
  )
 ),"")</f>
        <v/>
      </c>
      <c r="H188" s="7" t="str">
        <f t="array" ref="H188">IFERROR(
 INDEX(Master!L$2:L$272,
  SMALL(
   IF(EXACT(Master!$M$2:$M$272,Rosters!$A$160),
    ROW(Master!L$2:L$272)-ROW(Master!L$2)+1
    ),
   ROWS(Master!L$2:'Master'!L28)
  )
 ),"")</f>
        <v/>
      </c>
      <c r="I188" s="8" t="str">
        <f t="array" ref="I188">IFERROR(
 INDEX(Master!Q$2:Q$272,
  SMALL(
   IF(EXACT(Master!$M$2:$M$272,Rosters!$A$160),
    ROW(Master!Q$2:Q$272)-ROW(Master!Q$2)+1
    ),
   ROWS(Master!Q$2:'Master'!Q28)
  )
 ),"")</f>
        <v/>
      </c>
    </row>
    <row r="189" spans="1:9" x14ac:dyDescent="0.25">
      <c r="A189" s="7" t="str">
        <f t="shared" si="4"/>
        <v/>
      </c>
      <c r="B189" s="8" t="str">
        <f t="array" ref="B189">IFERROR(
 INDEX(Master!C$2:C$272,
  SMALL(
   IF(EXACT(Master!$M$2:$M$272,Rosters!$A$160),
    ROW(Master!C$2:C$272)-ROW(Master!C$2)+1
    ),
   ROWS(Master!C$2:'Master'!C29)
  )
 ),"")</f>
        <v/>
      </c>
      <c r="C189" s="8" t="str">
        <f t="array" ref="C189">IFERROR(
INDEX(Master!D$2:D$272,
SMALL(
IF(EXACT(Master!$M$2:$M$272,Rosters!$A$160),
ROW(Master!D$2:D$272)-ROW(Master!D$2)+1
),
ROWS(Master!D$2:'Master'!D29)
)
),"")</f>
        <v/>
      </c>
      <c r="D189" s="7" t="str">
        <f t="array" ref="D189">IFERROR(
 INDEX(Master!O$2:O$272,
  SMALL(
   IF(EXACT(Master!$M$2:$M$272,Rosters!$A$160),
    ROW(Master!O$2:O$272)-ROW(Master!O$2)+1
    ),
   ROWS(Master!O$2:'Master'!O29)
  )
 ),"")</f>
        <v/>
      </c>
      <c r="E189" s="8" t="str">
        <f t="array" ref="E189">IFERROR(
 INDEX(Master!A$2:A$272,
  SMALL(
   IF(EXACT(Master!$M$2:$M$272,Rosters!$A$160),
    ROW(Master!A$2:A$272)-ROW(Master!A$2)+1
    ),
   ROWS(Master!A$2:'Master'!A29)
  )
 ),"")</f>
        <v/>
      </c>
      <c r="F189" s="8" t="str">
        <f t="array" ref="F189">IFERROR(
 INDEX(Master!B$2:B$272,
  SMALL(
   IF(EXACT(Master!$M$2:$M$272,Rosters!$A$160),
    ROW(Master!B$2:B$272)-ROW(Master!B$2)+1
    ),
   ROWS(Master!B$2:'Master'!B29)
  )
 ),"")</f>
        <v/>
      </c>
      <c r="G189" s="7" t="str">
        <f t="array" ref="G189">IFERROR(
 INDEX(Master!K$2:K$272,
  SMALL(
   IF(EXACT(Master!$M$2:$M$272,Rosters!$A$160),
    ROW(Master!K$2:K$272)-ROW(Master!K$2)+1
    ),
   ROWS(Master!K$2:'Master'!K29)
  )
 ),"")</f>
        <v/>
      </c>
      <c r="H189" s="7" t="str">
        <f t="array" ref="H189">IFERROR(
 INDEX(Master!L$2:L$272,
  SMALL(
   IF(EXACT(Master!$M$2:$M$272,Rosters!$A$160),
    ROW(Master!L$2:L$272)-ROW(Master!L$2)+1
    ),
   ROWS(Master!L$2:'Master'!L29)
  )
 ),"")</f>
        <v/>
      </c>
      <c r="I189" s="8" t="str">
        <f t="array" ref="I189">IFERROR(
 INDEX(Master!Q$2:Q$272,
  SMALL(
   IF(EXACT(Master!$M$2:$M$272,Rosters!$A$160),
    ROW(Master!Q$2:Q$272)-ROW(Master!Q$2)+1
    ),
   ROWS(Master!Q$2:'Master'!Q29)
  )
 ),"")</f>
        <v/>
      </c>
    </row>
    <row r="190" spans="1:9" x14ac:dyDescent="0.25">
      <c r="A190" s="7" t="str">
        <f t="shared" si="4"/>
        <v/>
      </c>
      <c r="B190" s="8" t="str">
        <f t="array" ref="B190">IFERROR(
 INDEX(Master!C$2:C$272,
  SMALL(
   IF(EXACT(Master!$M$2:$M$272,Rosters!$A$160),
    ROW(Master!C$2:C$272)-ROW(Master!C$2)+1
    ),
   ROWS(Master!C$2:'Master'!C30)
  )
 ),"")</f>
        <v/>
      </c>
      <c r="C190" s="8" t="str">
        <f t="array" ref="C190">IFERROR(
INDEX(Master!D$2:D$272,
SMALL(
IF(EXACT(Master!$M$2:$M$272,Rosters!$A$160),
ROW(Master!D$2:D$272)-ROW(Master!D$2)+1
),
ROWS(Master!D$2:'Master'!D30)
)
),"")</f>
        <v/>
      </c>
      <c r="D190" s="7" t="str">
        <f t="array" ref="D190">IFERROR(
 INDEX(Master!O$2:O$272,
  SMALL(
   IF(EXACT(Master!$M$2:$M$272,Rosters!$A$160),
    ROW(Master!O$2:O$272)-ROW(Master!O$2)+1
    ),
   ROWS(Master!O$2:'Master'!O30)
  )
 ),"")</f>
        <v/>
      </c>
      <c r="E190" s="8" t="str">
        <f t="array" ref="E190">IFERROR(
 INDEX(Master!A$2:A$272,
  SMALL(
   IF(EXACT(Master!$M$2:$M$272,Rosters!$A$160),
    ROW(Master!A$2:A$272)-ROW(Master!A$2)+1
    ),
   ROWS(Master!A$2:'Master'!A30)
  )
 ),"")</f>
        <v/>
      </c>
      <c r="F190" s="8" t="str">
        <f t="array" ref="F190">IFERROR(
 INDEX(Master!B$2:B$272,
  SMALL(
   IF(EXACT(Master!$M$2:$M$272,Rosters!$A$160),
    ROW(Master!B$2:B$272)-ROW(Master!B$2)+1
    ),
   ROWS(Master!B$2:'Master'!B30)
  )
 ),"")</f>
        <v/>
      </c>
      <c r="G190" s="7" t="str">
        <f t="array" ref="G190">IFERROR(
 INDEX(Master!K$2:K$272,
  SMALL(
   IF(EXACT(Master!$M$2:$M$272,Rosters!$A$160),
    ROW(Master!K$2:K$272)-ROW(Master!K$2)+1
    ),
   ROWS(Master!K$2:'Master'!K30)
  )
 ),"")</f>
        <v/>
      </c>
      <c r="H190" s="7" t="str">
        <f t="array" ref="H190">IFERROR(
 INDEX(Master!L$2:L$272,
  SMALL(
   IF(EXACT(Master!$M$2:$M$272,Rosters!$A$160),
    ROW(Master!L$2:L$272)-ROW(Master!L$2)+1
    ),
   ROWS(Master!L$2:'Master'!L30)
  )
 ),"")</f>
        <v/>
      </c>
      <c r="I190" s="8" t="str">
        <f t="array" ref="I190">IFERROR(
 INDEX(Master!Q$2:Q$272,
  SMALL(
   IF(EXACT(Master!$M$2:$M$272,Rosters!$A$160),
    ROW(Master!Q$2:Q$272)-ROW(Master!Q$2)+1
    ),
   ROWS(Master!Q$2:'Master'!Q30)
  )
 ),"")</f>
        <v/>
      </c>
    </row>
    <row r="191" spans="1:9" x14ac:dyDescent="0.25">
      <c r="A191" s="7" t="str">
        <f t="shared" si="4"/>
        <v/>
      </c>
      <c r="B191" s="8" t="str">
        <f t="array" ref="B191">IFERROR(
 INDEX(Master!C$2:C$272,
  SMALL(
   IF(EXACT(Master!$M$2:$M$272,Rosters!$A$160),
    ROW(Master!C$2:C$272)-ROW(Master!C$2)+1
    ),
   ROWS(Master!C$2:'Master'!C31)
  )
 ),"")</f>
        <v/>
      </c>
      <c r="C191" s="8" t="str">
        <f t="array" ref="C191">IFERROR(
INDEX(Master!D$2:D$272,
SMALL(
IF(EXACT(Master!$M$2:$M$272,Rosters!$A$160),
ROW(Master!D$2:D$272)-ROW(Master!D$2)+1
),
ROWS(Master!D$2:'Master'!D31)
)
),"")</f>
        <v/>
      </c>
      <c r="D191" s="7" t="str">
        <f t="array" ref="D191">IFERROR(
 INDEX(Master!O$2:O$272,
  SMALL(
   IF(EXACT(Master!$M$2:$M$272,Rosters!$A$160),
    ROW(Master!O$2:O$272)-ROW(Master!O$2)+1
    ),
   ROWS(Master!O$2:'Master'!O31)
  )
 ),"")</f>
        <v/>
      </c>
      <c r="E191" s="8" t="str">
        <f t="array" ref="E191">IFERROR(
 INDEX(Master!A$2:A$272,
  SMALL(
   IF(EXACT(Master!$M$2:$M$272,Rosters!$A$160),
    ROW(Master!A$2:A$272)-ROW(Master!A$2)+1
    ),
   ROWS(Master!A$2:'Master'!A31)
  )
 ),"")</f>
        <v/>
      </c>
      <c r="F191" s="8" t="str">
        <f t="array" ref="F191">IFERROR(
 INDEX(Master!B$2:B$272,
  SMALL(
   IF(EXACT(Master!$M$2:$M$272,Rosters!$A$160),
    ROW(Master!B$2:B$272)-ROW(Master!B$2)+1
    ),
   ROWS(Master!B$2:'Master'!B31)
  )
 ),"")</f>
        <v/>
      </c>
      <c r="G191" s="7" t="str">
        <f t="array" ref="G191">IFERROR(
 INDEX(Master!K$2:K$272,
  SMALL(
   IF(EXACT(Master!$M$2:$M$272,Rosters!$A$160),
    ROW(Master!K$2:K$272)-ROW(Master!K$2)+1
    ),
   ROWS(Master!K$2:'Master'!K31)
  )
 ),"")</f>
        <v/>
      </c>
      <c r="H191" s="7" t="str">
        <f t="array" ref="H191">IFERROR(
 INDEX(Master!L$2:L$272,
  SMALL(
   IF(EXACT(Master!$M$2:$M$272,Rosters!$A$160),
    ROW(Master!L$2:L$272)-ROW(Master!L$2)+1
    ),
   ROWS(Master!L$2:'Master'!L31)
  )
 ),"")</f>
        <v/>
      </c>
      <c r="I191" s="8" t="str">
        <f t="array" ref="I191">IFERROR(
 INDEX(Master!Q$2:Q$272,
  SMALL(
   IF(EXACT(Master!$M$2:$M$272,Rosters!$A$160),
    ROW(Master!Q$2:Q$272)-ROW(Master!Q$2)+1
    ),
   ROWS(Master!Q$2:'Master'!Q31)
  )
 ),"")</f>
        <v/>
      </c>
    </row>
    <row r="192" spans="1:9" ht="35.1" customHeight="1" x14ac:dyDescent="0.4">
      <c r="A192" s="3" t="s">
        <v>971</v>
      </c>
      <c r="B192" s="1"/>
      <c r="C192" s="1"/>
      <c r="D192" s="4"/>
      <c r="E192" s="1" t="s">
        <v>1483</v>
      </c>
      <c r="F192" s="1" t="s">
        <v>973</v>
      </c>
      <c r="G192" s="4"/>
      <c r="H192" s="4"/>
      <c r="I192" s="35">
        <f ca="1">TODAY()</f>
        <v>46195</v>
      </c>
    </row>
    <row r="193" spans="1:9" ht="31.5" customHeight="1" x14ac:dyDescent="0.25">
      <c r="B193" s="5" t="s">
        <v>103</v>
      </c>
      <c r="C193" s="5" t="s">
        <v>104</v>
      </c>
      <c r="D193" s="5" t="s">
        <v>1624</v>
      </c>
      <c r="E193" s="5" t="s">
        <v>105</v>
      </c>
      <c r="F193" s="5" t="s">
        <v>106</v>
      </c>
      <c r="G193" s="5" t="s">
        <v>107</v>
      </c>
      <c r="H193" s="5" t="s">
        <v>108</v>
      </c>
      <c r="I193" s="6" t="s">
        <v>1</v>
      </c>
    </row>
    <row r="194" spans="1:9" x14ac:dyDescent="0.25">
      <c r="A194" s="7">
        <v>1</v>
      </c>
      <c r="B194" s="8" t="str">
        <f t="array" ref="B194">IFERROR(
 INDEX(Master!C$2:C$272,
  SMALL(
   IF(EXACT(Master!$M$2:$M$272,Rosters!$A$192),
    ROW(Master!C$2:C$272)-ROW(Master!C$2)+1
    ),
   ROWS(Master!C$2:'Master'!C2)
  )
 ),"")</f>
        <v>Steven</v>
      </c>
      <c r="C194" s="8" t="str">
        <f t="array" ref="C194">IFERROR(
INDEX(Master!D$2:D$272,
SMALL(
IF(EXACT(Master!$M$2:$M$272,Rosters!$A$192),
ROW(Master!D$2:D$272)-ROW(Master!D$2)+1
),
ROWS(Master!D$2:'Master'!D2)
)
),"")</f>
        <v>Conlee</v>
      </c>
      <c r="D194" s="7">
        <f t="array" aca="1" ref="D194" ca="1">IFERROR(
 INDEX(Master!O$2:O$272,
  SMALL(
   IF(EXACT(Master!$M$2:$M$272,Rosters!$A$192),
    ROW(Master!O$2:O$272)-ROW(Master!O$2)+1
    ),
   ROWS(Master!O$2:'Master'!O2)
  )
 ),"")</f>
        <v>25</v>
      </c>
      <c r="E194" s="8" t="str">
        <f t="array" ref="E194">IFERROR(
 INDEX(Master!A$2:A$272,
  SMALL(
   IF(EXACT(Master!$M$2:$M$272,Rosters!$A$192),
    ROW(Master!A$2:A$272)-ROW(Master!A$2)+1
    ),
   ROWS(Master!A$2:'Master'!A2)
  )
 ),"")</f>
        <v>John</v>
      </c>
      <c r="F194" s="8" t="str">
        <f t="array" ref="F194">IFERROR(
 INDEX(Master!B$2:B$272,
  SMALL(
   IF(EXACT(Master!$M$2:$M$272,Rosters!$A$192),
    ROW(Master!B$2:B$272)-ROW(Master!B$2)+1
    ),
   ROWS(Master!B$2:'Master'!B2)
  )
 ),"")</f>
        <v>Conlee</v>
      </c>
      <c r="G194" s="7">
        <f t="array" ref="G194">IFERROR(
 INDEX(Master!K$2:K$272,
  SMALL(
   IF(EXACT(Master!$M$2:$M$272,Rosters!$A$192),
    ROW(Master!K$2:K$272)-ROW(Master!K$2)+1
    ),
   ROWS(Master!K$2:'Master'!K2)
  )
 ),"")</f>
        <v>937</v>
      </c>
      <c r="H194" s="7" t="str">
        <f t="array" ref="H194">IFERROR(
 INDEX(Master!L$2:L$272,
  SMALL(
   IF(EXACT(Master!$M$2:$M$272,Rosters!$A$192),
    ROW(Master!L$2:L$272)-ROW(Master!L$2)+1
    ),
   ROWS(Master!L$2:'Master'!L2)
  )
 ),"")</f>
        <v>623-7402</v>
      </c>
      <c r="I194" s="8" t="str">
        <f t="array" ref="I194">IFERROR(
 INDEX(Master!Q$2:Q$272,
  SMALL(
   IF(EXACT(Master!$M$2:$M$272,Rosters!$A$192),
    ROW(Master!Q$2:Q$272)-ROW(Master!Q$2)+1
    ),
   ROWS(Master!Q$2:'Master'!Q2)
  )
 ),"")</f>
        <v>jtconlee2@yahoo.com</v>
      </c>
    </row>
    <row r="195" spans="1:9" x14ac:dyDescent="0.25">
      <c r="A195" s="7">
        <v>2</v>
      </c>
      <c r="B195" s="8" t="str">
        <f t="array" ref="B195">IFERROR(
 INDEX(Master!C$2:C$272,
  SMALL(
   IF(EXACT(Master!$M$2:$M$272,Rosters!$A$192),
    ROW(Master!C$2:C$272)-ROW(Master!C$2)+1
    ),
   ROWS(Master!C$2:'Master'!C3)
  )
 ),"")</f>
        <v>Andrew</v>
      </c>
      <c r="C195" s="8" t="str">
        <f t="array" ref="C195">IFERROR(
INDEX(Master!D$2:D$272,
SMALL(
IF(EXACT(Master!$M$2:$M$272,Rosters!$A$192),
ROW(Master!D$2:D$272)-ROW(Master!D$2)+1
),
ROWS(Master!D$2:'Master'!D3)
)
),"")</f>
        <v>Crosby</v>
      </c>
      <c r="D195" s="7">
        <f t="array" aca="1" ref="D195" ca="1">IFERROR(
 INDEX(Master!O$2:O$272,
  SMALL(
   IF(EXACT(Master!$M$2:$M$272,Rosters!$A$192),
    ROW(Master!O$2:O$272)-ROW(Master!O$2)+1
    ),
   ROWS(Master!O$2:'Master'!O3)
  )
 ),"")</f>
        <v>29</v>
      </c>
      <c r="E195" s="8" t="str">
        <f t="array" ref="E195">IFERROR(
 INDEX(Master!A$2:A$272,
  SMALL(
   IF(EXACT(Master!$M$2:$M$272,Rosters!$A$192),
    ROW(Master!A$2:A$272)-ROW(Master!A$2)+1
    ),
   ROWS(Master!A$2:'Master'!A3)
  )
 ),"")</f>
        <v>Kathleen</v>
      </c>
      <c r="F195" s="8" t="str">
        <f t="array" ref="F195">IFERROR(
 INDEX(Master!B$2:B$272,
  SMALL(
   IF(EXACT(Master!$M$2:$M$272,Rosters!$A$192),
    ROW(Master!B$2:B$272)-ROW(Master!B$2)+1
    ),
   ROWS(Master!B$2:'Master'!B3)
  )
 ),"")</f>
        <v>Crosby</v>
      </c>
      <c r="G195" s="7">
        <f t="array" ref="G195">IFERROR(
 INDEX(Master!K$2:K$272,
  SMALL(
   IF(EXACT(Master!$M$2:$M$272,Rosters!$A$192),
    ROW(Master!K$2:K$272)-ROW(Master!K$2)+1
    ),
   ROWS(Master!K$2:'Master'!K3)
  )
 ),"")</f>
        <v>937</v>
      </c>
      <c r="H195" s="7" t="str">
        <f t="array" ref="H195">IFERROR(
 INDEX(Master!L$2:L$272,
  SMALL(
   IF(EXACT(Master!$M$2:$M$272,Rosters!$A$192),
    ROW(Master!L$2:L$272)-ROW(Master!L$2)+1
    ),
   ROWS(Master!L$2:'Master'!L3)
  )
 ),"")</f>
        <v>654-2442</v>
      </c>
      <c r="I195" s="8" t="str">
        <f t="array" ref="I195">IFERROR(
 INDEX(Master!Q$2:Q$272,
  SMALL(
   IF(EXACT(Master!$M$2:$M$272,Rosters!$A$192),
    ROW(Master!Q$2:Q$272)-ROW(Master!Q$2)+1
    ),
   ROWS(Master!Q$2:'Master'!Q3)
  )
 ),"")</f>
        <v>jklmjac@aol.com</v>
      </c>
    </row>
    <row r="196" spans="1:9" x14ac:dyDescent="0.25">
      <c r="A196" s="7">
        <v>3</v>
      </c>
      <c r="B196" s="8" t="str">
        <f t="array" ref="B196">IFERROR(
 INDEX(Master!C$2:C$272,
  SMALL(
   IF(EXACT(Master!$M$2:$M$272,Rosters!$A$192),
    ROW(Master!C$2:C$272)-ROW(Master!C$2)+1
    ),
   ROWS(Master!C$2:'Master'!C4)
  )
 ),"")</f>
        <v>Laura</v>
      </c>
      <c r="C196" s="8" t="str">
        <f t="array" ref="C196">IFERROR(
INDEX(Master!D$2:D$272,
SMALL(
IF(EXACT(Master!$M$2:$M$272,Rosters!$A$192),
ROW(Master!D$2:D$272)-ROW(Master!D$2)+1
),
ROWS(Master!D$2:'Master'!D4)
)
),"")</f>
        <v>Doroh</v>
      </c>
      <c r="D196" s="7">
        <f t="array" aca="1" ref="D196" ca="1">IFERROR(
 INDEX(Master!O$2:O$272,
  SMALL(
   IF(EXACT(Master!$M$2:$M$272,Rosters!$A$192),
    ROW(Master!O$2:O$272)-ROW(Master!O$2)+1
    ),
   ROWS(Master!O$2:'Master'!O4)
  )
 ),"")</f>
        <v>33</v>
      </c>
      <c r="E196" s="8" t="str">
        <f t="array" ref="E196">IFERROR(
 INDEX(Master!A$2:A$272,
  SMALL(
   IF(EXACT(Master!$M$2:$M$272,Rosters!$A$192),
    ROW(Master!A$2:A$272)-ROW(Master!A$2)+1
    ),
   ROWS(Master!A$2:'Master'!A4)
  )
 ),"")</f>
        <v>Brian/Barbara</v>
      </c>
      <c r="F196" s="8" t="str">
        <f t="array" ref="F196">IFERROR(
 INDEX(Master!B$2:B$272,
  SMALL(
   IF(EXACT(Master!$M$2:$M$272,Rosters!$A$192),
    ROW(Master!B$2:B$272)-ROW(Master!B$2)+1
    ),
   ROWS(Master!B$2:'Master'!B4)
  )
 ),"")</f>
        <v>Doroh</v>
      </c>
      <c r="G196" s="7">
        <f t="array" ref="G196">IFERROR(
 INDEX(Master!K$2:K$272,
  SMALL(
   IF(EXACT(Master!$M$2:$M$272,Rosters!$A$192),
    ROW(Master!K$2:K$272)-ROW(Master!K$2)+1
    ),
   ROWS(Master!K$2:'Master'!K4)
  )
 ),"")</f>
        <v>937</v>
      </c>
      <c r="H196" s="7" t="str">
        <f t="array" ref="H196">IFERROR(
 INDEX(Master!L$2:L$272,
  SMALL(
   IF(EXACT(Master!$M$2:$M$272,Rosters!$A$192),
    ROW(Master!L$2:L$272)-ROW(Master!L$2)+1
    ),
   ROWS(Master!L$2:'Master'!L4)
  )
 ),"")</f>
        <v>434-0499</v>
      </c>
      <c r="I196" s="8" t="str">
        <f t="array" ref="I196">IFERROR(
 INDEX(Master!Q$2:Q$272,
  SMALL(
   IF(EXACT(Master!$M$2:$M$272,Rosters!$A$192),
    ROW(Master!Q$2:Q$272)-ROW(Master!Q$2)+1
    ),
   ROWS(Master!Q$2:'Master'!Q4)
  )
 ),"")</f>
        <v>bdoroh@msn.com</v>
      </c>
    </row>
    <row r="197" spans="1:9" x14ac:dyDescent="0.25">
      <c r="A197" s="7">
        <v>4</v>
      </c>
      <c r="B197" s="8" t="str">
        <f t="array" ref="B197">IFERROR(
 INDEX(Master!C$2:C$272,
  SMALL(
   IF(EXACT(Master!$M$2:$M$272,Rosters!$A$192),
    ROW(Master!C$2:C$272)-ROW(Master!C$2)+1
    ),
   ROWS(Master!C$2:'Master'!C5)
  )
 ),"")</f>
        <v>Nick</v>
      </c>
      <c r="C197" s="8" t="str">
        <f t="array" ref="C197">IFERROR(
INDEX(Master!D$2:D$272,
SMALL(
IF(EXACT(Master!$M$2:$M$272,Rosters!$A$192),
ROW(Master!D$2:D$272)-ROW(Master!D$2)+1
),
ROWS(Master!D$2:'Master'!D5)
)
),"")</f>
        <v>Drewry</v>
      </c>
      <c r="D197" s="7">
        <f t="array" aca="1" ref="D197" ca="1">IFERROR(
 INDEX(Master!O$2:O$272,
  SMALL(
   IF(EXACT(Master!$M$2:$M$272,Rosters!$A$192),
    ROW(Master!O$2:O$272)-ROW(Master!O$2)+1
    ),
   ROWS(Master!O$2:'Master'!O5)
  )
 ),"")</f>
        <v>24</v>
      </c>
      <c r="E197" s="8" t="str">
        <f t="array" ref="E197">IFERROR(
 INDEX(Master!A$2:A$272,
  SMALL(
   IF(EXACT(Master!$M$2:$M$272,Rosters!$A$192),
    ROW(Master!A$2:A$272)-ROW(Master!A$2)+1
    ),
   ROWS(Master!A$2:'Master'!A5)
  )
 ),"")</f>
        <v>William/Sharon</v>
      </c>
      <c r="F197" s="8" t="str">
        <f t="array" ref="F197">IFERROR(
 INDEX(Master!B$2:B$272,
  SMALL(
   IF(EXACT(Master!$M$2:$M$272,Rosters!$A$192),
    ROW(Master!B$2:B$272)-ROW(Master!B$2)+1
    ),
   ROWS(Master!B$2:'Master'!B5)
  )
 ),"")</f>
        <v>Drewry</v>
      </c>
      <c r="G197" s="7">
        <f t="array" ref="G197">IFERROR(
 INDEX(Master!K$2:K$272,
  SMALL(
   IF(EXACT(Master!$M$2:$M$272,Rosters!$A$192),
    ROW(Master!K$2:K$272)-ROW(Master!K$2)+1
    ),
   ROWS(Master!K$2:'Master'!K5)
  )
 ),"")</f>
        <v>937</v>
      </c>
      <c r="H197" s="7" t="str">
        <f t="array" ref="H197">IFERROR(
 INDEX(Master!L$2:L$272,
  SMALL(
   IF(EXACT(Master!$M$2:$M$272,Rosters!$A$192),
    ROW(Master!L$2:L$272)-ROW(Master!L$2)+1
    ),
   ROWS(Master!L$2:'Master'!L5)
  )
 ),"")</f>
        <v>748-4403</v>
      </c>
      <c r="I197" s="8" t="str">
        <f t="array" ref="I197">IFERROR(
 INDEX(Master!Q$2:Q$272,
  SMALL(
   IF(EXACT(Master!$M$2:$M$272,Rosters!$A$192),
    ROW(Master!Q$2:Q$272)-ROW(Master!Q$2)+1
    ),
   ROWS(Master!Q$2:'Master'!Q5)
  )
 ),"")</f>
        <v>smdrewry@yahoo.com</v>
      </c>
    </row>
    <row r="198" spans="1:9" x14ac:dyDescent="0.25">
      <c r="A198" s="7">
        <v>5</v>
      </c>
      <c r="B198" s="8" t="str">
        <f t="array" ref="B198">IFERROR(
 INDEX(Master!C$2:C$272,
  SMALL(
   IF(EXACT(Master!$M$2:$M$272,Rosters!$A$192),
    ROW(Master!C$2:C$272)-ROW(Master!C$2)+1
    ),
   ROWS(Master!C$2:'Master'!C6)
  )
 ),"")</f>
        <v>Jack</v>
      </c>
      <c r="C198" s="8" t="str">
        <f t="array" ref="C198">IFERROR(
INDEX(Master!D$2:D$272,
SMALL(
IF(EXACT(Master!$M$2:$M$272,Rosters!$A$192),
ROW(Master!D$2:D$272)-ROW(Master!D$2)+1
),
ROWS(Master!D$2:'Master'!D6)
)
),"")</f>
        <v>Duckro</v>
      </c>
      <c r="D198" s="7">
        <f t="array" aca="1" ref="D198" ca="1">IFERROR(
 INDEX(Master!O$2:O$272,
  SMALL(
   IF(EXACT(Master!$M$2:$M$272,Rosters!$A$192),
    ROW(Master!O$2:O$272)-ROW(Master!O$2)+1
    ),
   ROWS(Master!O$2:'Master'!O6)
  )
 ),"")</f>
        <v>26</v>
      </c>
      <c r="E198" s="8" t="str">
        <f t="array" ref="E198">IFERROR(
 INDEX(Master!A$2:A$272,
  SMALL(
   IF(EXACT(Master!$M$2:$M$272,Rosters!$A$192),
    ROW(Master!A$2:A$272)-ROW(Master!A$2)+1
    ),
   ROWS(Master!A$2:'Master'!A6)
  )
 ),"")</f>
        <v>Carol/Greg</v>
      </c>
      <c r="F198" s="8" t="str">
        <f t="array" ref="F198">IFERROR(
 INDEX(Master!B$2:B$272,
  SMALL(
   IF(EXACT(Master!$M$2:$M$272,Rosters!$A$192),
    ROW(Master!B$2:B$272)-ROW(Master!B$2)+1
    ),
   ROWS(Master!B$2:'Master'!B6)
  )
 ),"")</f>
        <v>Duckro</v>
      </c>
      <c r="G198" s="7">
        <f t="array" ref="G198">IFERROR(
 INDEX(Master!K$2:K$272,
  SMALL(
   IF(EXACT(Master!$M$2:$M$272,Rosters!$A$192),
    ROW(Master!K$2:K$272)-ROW(Master!K$2)+1
    ),
   ROWS(Master!K$2:'Master'!K6)
  )
 ),"")</f>
        <v>937</v>
      </c>
      <c r="H198" s="7" t="str">
        <f t="array" ref="H198">IFERROR(
 INDEX(Master!L$2:L$272,
  SMALL(
   IF(EXACT(Master!$M$2:$M$272,Rosters!$A$192),
    ROW(Master!L$2:L$272)-ROW(Master!L$2)+1
    ),
   ROWS(Master!L$2:'Master'!L6)
  )
 ),"")</f>
        <v>252-4336</v>
      </c>
      <c r="I198" s="8" t="str">
        <f t="array" ref="I198">IFERROR(
 INDEX(Master!Q$2:Q$272,
  SMALL(
   IF(EXACT(Master!$M$2:$M$272,Rosters!$A$192),
    ROW(Master!Q$2:Q$272)-ROW(Master!Q$2)+1
    ),
   ROWS(Master!Q$2:'Master'!Q6)
  )
 ),"")</f>
        <v>cduckro@yahoo.com</v>
      </c>
    </row>
    <row r="199" spans="1:9" x14ac:dyDescent="0.25">
      <c r="A199" s="7">
        <v>6</v>
      </c>
      <c r="B199" s="8" t="str">
        <f t="array" ref="B199">IFERROR(
 INDEX(Master!C$2:C$272,
  SMALL(
   IF(EXACT(Master!$M$2:$M$272,Rosters!$A$192),
    ROW(Master!C$2:C$272)-ROW(Master!C$2)+1
    ),
   ROWS(Master!C$2:'Master'!C7)
  )
 ),"")</f>
        <v>Tracie</v>
      </c>
      <c r="C199" s="8" t="str">
        <f t="array" ref="C199">IFERROR(
INDEX(Master!D$2:D$272,
SMALL(
IF(EXACT(Master!$M$2:$M$272,Rosters!$A$192),
ROW(Master!D$2:D$272)-ROW(Master!D$2)+1
),
ROWS(Master!D$2:'Master'!D7)
)
),"")</f>
        <v>Ferrara</v>
      </c>
      <c r="D199" s="7">
        <f t="array" aca="1" ref="D199" ca="1">IFERROR(
 INDEX(Master!O$2:O$272,
  SMALL(
   IF(EXACT(Master!$M$2:$M$272,Rosters!$A$192),
    ROW(Master!O$2:O$272)-ROW(Master!O$2)+1
    ),
   ROWS(Master!O$2:'Master'!O7)
  )
 ),"")</f>
        <v>26</v>
      </c>
      <c r="E199" s="8" t="str">
        <f t="array" ref="E199">IFERROR(
 INDEX(Master!A$2:A$272,
  SMALL(
   IF(EXACT(Master!$M$2:$M$272,Rosters!$A$192),
    ROW(Master!A$2:A$272)-ROW(Master!A$2)+1
    ),
   ROWS(Master!A$2:'Master'!A7)
  )
 ),"")</f>
        <v>Bill/Nancy</v>
      </c>
      <c r="F199" s="8" t="str">
        <f t="array" ref="F199">IFERROR(
 INDEX(Master!B$2:B$272,
  SMALL(
   IF(EXACT(Master!$M$2:$M$272,Rosters!$A$192),
    ROW(Master!B$2:B$272)-ROW(Master!B$2)+1
    ),
   ROWS(Master!B$2:'Master'!B7)
  )
 ),"")</f>
        <v>Ferrara</v>
      </c>
      <c r="G199" s="7">
        <f t="array" ref="G199">IFERROR(
 INDEX(Master!K$2:K$272,
  SMALL(
   IF(EXACT(Master!$M$2:$M$272,Rosters!$A$192),
    ROW(Master!K$2:K$272)-ROW(Master!K$2)+1
    ),
   ROWS(Master!K$2:'Master'!K7)
  )
 ),"")</f>
        <v>937</v>
      </c>
      <c r="H199" s="7" t="str">
        <f t="array" ref="H199">IFERROR(
 INDEX(Master!L$2:L$272,
  SMALL(
   IF(EXACT(Master!$M$2:$M$272,Rosters!$A$192),
    ROW(Master!L$2:L$272)-ROW(Master!L$2)+1
    ),
   ROWS(Master!L$2:'Master'!L7)
  )
 ),"")</f>
        <v>866-2166</v>
      </c>
      <c r="I199" s="8" t="str">
        <f t="array" ref="I199">IFERROR(
 INDEX(Master!Q$2:Q$272,
  SMALL(
   IF(EXACT(Master!$M$2:$M$272,Rosters!$A$192),
    ROW(Master!Q$2:Q$272)-ROW(Master!Q$2)+1
    ),
   ROWS(Master!Q$2:'Master'!Q7)
  )
 ),"")</f>
        <v>nancyferrara@ameritech.net</v>
      </c>
    </row>
    <row r="200" spans="1:9" x14ac:dyDescent="0.25">
      <c r="A200" s="7">
        <v>7</v>
      </c>
      <c r="B200" s="8" t="str">
        <f t="array" ref="B200">IFERROR(
 INDEX(Master!C$2:C$272,
  SMALL(
   IF(EXACT(Master!$M$2:$M$272,Rosters!$A$192),
    ROW(Master!C$2:C$272)-ROW(Master!C$2)+1
    ),
   ROWS(Master!C$2:'Master'!C8)
  )
 ),"")</f>
        <v>Cody</v>
      </c>
      <c r="C200" s="8" t="str">
        <f t="array" ref="C200">IFERROR(
INDEX(Master!D$2:D$272,
SMALL(
IF(EXACT(Master!$M$2:$M$272,Rosters!$A$192),
ROW(Master!D$2:D$272)-ROW(Master!D$2)+1
),
ROWS(Master!D$2:'Master'!D8)
)
),"")</f>
        <v>Heyne</v>
      </c>
      <c r="D200" s="7">
        <f t="array" aca="1" ref="D200" ca="1">IFERROR(
 INDEX(Master!O$2:O$272,
  SMALL(
   IF(EXACT(Master!$M$2:$M$272,Rosters!$A$192),
    ROW(Master!O$2:O$272)-ROW(Master!O$2)+1
    ),
   ROWS(Master!O$2:'Master'!O8)
  )
 ),"")</f>
        <v>26</v>
      </c>
      <c r="E200" s="8" t="str">
        <f t="array" ref="E200">IFERROR(
 INDEX(Master!A$2:A$272,
  SMALL(
   IF(EXACT(Master!$M$2:$M$272,Rosters!$A$192),
    ROW(Master!A$2:A$272)-ROW(Master!A$2)+1
    ),
   ROWS(Master!A$2:'Master'!A8)
  )
 ),"")</f>
        <v>Dean/Mindy</v>
      </c>
      <c r="F200" s="8" t="str">
        <f t="array" ref="F200">IFERROR(
 INDEX(Master!B$2:B$272,
  SMALL(
   IF(EXACT(Master!$M$2:$M$272,Rosters!$A$192),
    ROW(Master!B$2:B$272)-ROW(Master!B$2)+1
    ),
   ROWS(Master!B$2:'Master'!B8)
  )
 ),"")</f>
        <v>Heyne</v>
      </c>
      <c r="G200" s="7">
        <f t="array" ref="G200">IFERROR(
 INDEX(Master!K$2:K$272,
  SMALL(
   IF(EXACT(Master!$M$2:$M$272,Rosters!$A$192),
    ROW(Master!K$2:K$272)-ROW(Master!K$2)+1
    ),
   ROWS(Master!K$2:'Master'!K8)
  )
 ),"")</f>
        <v>937</v>
      </c>
      <c r="H200" s="7" t="str">
        <f t="array" ref="H200">IFERROR(
 INDEX(Master!L$2:L$272,
  SMALL(
   IF(EXACT(Master!$M$2:$M$272,Rosters!$A$192),
    ROW(Master!L$2:L$272)-ROW(Master!L$2)+1
    ),
   ROWS(Master!L$2:'Master'!L8)
  )
 ),"")</f>
        <v>436-1521</v>
      </c>
      <c r="I200" s="8" t="str">
        <f t="array" ref="I200">IFERROR(
 INDEX(Master!Q$2:Q$272,
  SMALL(
   IF(EXACT(Master!$M$2:$M$272,Rosters!$A$192),
    ROW(Master!Q$2:Q$272)-ROW(Master!Q$2)+1
    ),
   ROWS(Master!Q$2:'Master'!Q8)
  )
 ),"")</f>
        <v>msheyne@gmail.com</v>
      </c>
    </row>
    <row r="201" spans="1:9" x14ac:dyDescent="0.25">
      <c r="A201" s="7">
        <v>8</v>
      </c>
      <c r="B201" s="8" t="str">
        <f t="array" ref="B201">IFERROR(
 INDEX(Master!C$2:C$272,
  SMALL(
   IF(EXACT(Master!$M$2:$M$272,Rosters!$A$192),
    ROW(Master!C$2:C$272)-ROW(Master!C$2)+1
    ),
   ROWS(Master!C$2:'Master'!C9)
  )
 ),"")</f>
        <v>Michael</v>
      </c>
      <c r="C201" s="8" t="str">
        <f t="array" ref="C201">IFERROR(
INDEX(Master!D$2:D$272,
SMALL(
IF(EXACT(Master!$M$2:$M$272,Rosters!$A$192),
ROW(Master!D$2:D$272)-ROW(Master!D$2)+1
),
ROWS(Master!D$2:'Master'!D9)
)
),"")</f>
        <v>Heyne</v>
      </c>
      <c r="D201" s="7">
        <f t="array" aca="1" ref="D201" ca="1">IFERROR(
 INDEX(Master!O$2:O$272,
  SMALL(
   IF(EXACT(Master!$M$2:$M$272,Rosters!$A$192),
    ROW(Master!O$2:O$272)-ROW(Master!O$2)+1
    ),
   ROWS(Master!O$2:'Master'!O9)
  )
 ),"")</f>
        <v>26</v>
      </c>
      <c r="E201" s="8" t="str">
        <f t="array" ref="E201">IFERROR(
 INDEX(Master!A$2:A$272,
  SMALL(
   IF(EXACT(Master!$M$2:$M$272,Rosters!$A$192),
    ROW(Master!A$2:A$272)-ROW(Master!A$2)+1
    ),
   ROWS(Master!A$2:'Master'!A9)
  )
 ),"")</f>
        <v>Dean/Mindy</v>
      </c>
      <c r="F201" s="8" t="str">
        <f t="array" ref="F201">IFERROR(
 INDEX(Master!B$2:B$272,
  SMALL(
   IF(EXACT(Master!$M$2:$M$272,Rosters!$A$192),
    ROW(Master!B$2:B$272)-ROW(Master!B$2)+1
    ),
   ROWS(Master!B$2:'Master'!B9)
  )
 ),"")</f>
        <v>Heyne</v>
      </c>
      <c r="G201" s="7">
        <f t="array" ref="G201">IFERROR(
 INDEX(Master!K$2:K$272,
  SMALL(
   IF(EXACT(Master!$M$2:$M$272,Rosters!$A$192),
    ROW(Master!K$2:K$272)-ROW(Master!K$2)+1
    ),
   ROWS(Master!K$2:'Master'!K9)
  )
 ),"")</f>
        <v>937</v>
      </c>
      <c r="H201" s="7" t="str">
        <f t="array" ref="H201">IFERROR(
 INDEX(Master!L$2:L$272,
  SMALL(
   IF(EXACT(Master!$M$2:$M$272,Rosters!$A$192),
    ROW(Master!L$2:L$272)-ROW(Master!L$2)+1
    ),
   ROWS(Master!L$2:'Master'!L9)
  )
 ),"")</f>
        <v>436-1521</v>
      </c>
      <c r="I201" s="8" t="str">
        <f t="array" ref="I201">IFERROR(
 INDEX(Master!Q$2:Q$272,
  SMALL(
   IF(EXACT(Master!$M$2:$M$272,Rosters!$A$192),
    ROW(Master!Q$2:Q$272)-ROW(Master!Q$2)+1
    ),
   ROWS(Master!Q$2:'Master'!Q9)
  )
 ),"")</f>
        <v>msheyne@gmail.com</v>
      </c>
    </row>
    <row r="202" spans="1:9" x14ac:dyDescent="0.25">
      <c r="A202" s="7">
        <v>9</v>
      </c>
      <c r="B202" s="8" t="str">
        <f t="array" ref="B202">IFERROR(
 INDEX(Master!C$2:C$272,
  SMALL(
   IF(EXACT(Master!$M$2:$M$272,Rosters!$A$192),
    ROW(Master!C$2:C$272)-ROW(Master!C$2)+1
    ),
   ROWS(Master!C$2:'Master'!C10)
  )
 ),"")</f>
        <v>Nathan</v>
      </c>
      <c r="C202" s="8" t="str">
        <f t="array" ref="C202">IFERROR(
INDEX(Master!D$2:D$272,
SMALL(
IF(EXACT(Master!$M$2:$M$272,Rosters!$A$192),
ROW(Master!D$2:D$272)-ROW(Master!D$2)+1
),
ROWS(Master!D$2:'Master'!D10)
)
),"")</f>
        <v>Richardson</v>
      </c>
      <c r="D202" s="7">
        <f t="array" aca="1" ref="D202" ca="1">IFERROR(
 INDEX(Master!O$2:O$272,
  SMALL(
   IF(EXACT(Master!$M$2:$M$272,Rosters!$A$192),
    ROW(Master!O$2:O$272)-ROW(Master!O$2)+1
    ),
   ROWS(Master!O$2:'Master'!O10)
  )
 ),"")</f>
        <v>24</v>
      </c>
      <c r="E202" s="8" t="str">
        <f t="array" ref="E202">IFERROR(
 INDEX(Master!A$2:A$272,
  SMALL(
   IF(EXACT(Master!$M$2:$M$272,Rosters!$A$192),
    ROW(Master!A$2:A$272)-ROW(Master!A$2)+1
    ),
   ROWS(Master!A$2:'Master'!A10)
  )
 ),"")</f>
        <v>Stephanie</v>
      </c>
      <c r="F202" s="8" t="str">
        <f t="array" ref="F202">IFERROR(
 INDEX(Master!B$2:B$272,
  SMALL(
   IF(EXACT(Master!$M$2:$M$272,Rosters!$A$192),
    ROW(Master!B$2:B$272)-ROW(Master!B$2)+1
    ),
   ROWS(Master!B$2:'Master'!B10)
  )
 ),"")</f>
        <v>Childress</v>
      </c>
      <c r="G202" s="7">
        <f t="array" ref="G202">IFERROR(
 INDEX(Master!K$2:K$272,
  SMALL(
   IF(EXACT(Master!$M$2:$M$272,Rosters!$A$192),
    ROW(Master!K$2:K$272)-ROW(Master!K$2)+1
    ),
   ROWS(Master!K$2:'Master'!K10)
  )
 ),"")</f>
        <v>937</v>
      </c>
      <c r="H202" s="7" t="str">
        <f t="array" ref="H202">IFERROR(
 INDEX(Master!L$2:L$272,
  SMALL(
   IF(EXACT(Master!$M$2:$M$272,Rosters!$A$192),
    ROW(Master!L$2:L$272)-ROW(Master!L$2)+1
    ),
   ROWS(Master!L$2:'Master'!L10)
  )
 ),"")</f>
        <v>815-4356</v>
      </c>
      <c r="I202" s="8" t="str">
        <f t="array" ref="I202">IFERROR(
 INDEX(Master!Q$2:Q$272,
  SMALL(
   IF(EXACT(Master!$M$2:$M$272,Rosters!$A$192),
    ROW(Master!Q$2:Q$272)-ROW(Master!Q$2)+1
    ),
   ROWS(Master!Q$2:'Master'!Q10)
  )
 ),"")</f>
        <v>nathan.richardson1901@gmail.com</v>
      </c>
    </row>
    <row r="203" spans="1:9" x14ac:dyDescent="0.25">
      <c r="A203" s="7">
        <v>10</v>
      </c>
      <c r="B203" s="8" t="str">
        <f t="array" ref="B203">IFERROR(
 INDEX(Master!C$2:C$272,
  SMALL(
   IF(EXACT(Master!$M$2:$M$272,Rosters!$A$192),
    ROW(Master!C$2:C$272)-ROW(Master!C$2)+1
    ),
   ROWS(Master!C$2:'Master'!C11)
  )
 ),"")</f>
        <v>Anna</v>
      </c>
      <c r="C203" s="8" t="str">
        <f t="array" ref="C203">IFERROR(
INDEX(Master!D$2:D$272,
SMALL(
IF(EXACT(Master!$M$2:$M$272,Rosters!$A$192),
ROW(Master!D$2:D$272)-ROW(Master!D$2)+1
),
ROWS(Master!D$2:'Master'!D11)
)
),"")</f>
        <v>Shonle</v>
      </c>
      <c r="D203" s="7">
        <f t="array" aca="1" ref="D203" ca="1">IFERROR(
 INDEX(Master!O$2:O$272,
  SMALL(
   IF(EXACT(Master!$M$2:$M$272,Rosters!$A$192),
    ROW(Master!O$2:O$272)-ROW(Master!O$2)+1
    ),
   ROWS(Master!O$2:'Master'!O11)
  )
 ),"")</f>
        <v>26</v>
      </c>
      <c r="E203" s="8" t="str">
        <f t="array" ref="E203">IFERROR(
 INDEX(Master!A$2:A$272,
  SMALL(
   IF(EXACT(Master!$M$2:$M$272,Rosters!$A$192),
    ROW(Master!A$2:A$272)-ROW(Master!A$2)+1
    ),
   ROWS(Master!A$2:'Master'!A11)
  )
 ),"")</f>
        <v>Amanda</v>
      </c>
      <c r="F203" s="8" t="str">
        <f t="array" ref="F203">IFERROR(
 INDEX(Master!B$2:B$272,
  SMALL(
   IF(EXACT(Master!$M$2:$M$272,Rosters!$A$192),
    ROW(Master!B$2:B$272)-ROW(Master!B$2)+1
    ),
   ROWS(Master!B$2:'Master'!B11)
  )
 ),"")</f>
        <v>Sweigard</v>
      </c>
      <c r="G203" s="7">
        <f t="array" ref="G203">IFERROR(
 INDEX(Master!K$2:K$272,
  SMALL(
   IF(EXACT(Master!$M$2:$M$272,Rosters!$A$192),
    ROW(Master!K$2:K$272)-ROW(Master!K$2)+1
    ),
   ROWS(Master!K$2:'Master'!K11)
  )
 ),"")</f>
        <v>937</v>
      </c>
      <c r="H203" s="7" t="str">
        <f t="array" ref="H203">IFERROR(
 INDEX(Master!L$2:L$272,
  SMALL(
   IF(EXACT(Master!$M$2:$M$272,Rosters!$A$192),
    ROW(Master!L$2:L$272)-ROW(Master!L$2)+1
    ),
   ROWS(Master!L$2:'Master'!L11)
  )
 ),"")</f>
        <v>681-5135</v>
      </c>
      <c r="I203" s="8" t="str">
        <f t="array" ref="I203">IFERROR(
 INDEX(Master!Q$2:Q$272,
  SMALL(
   IF(EXACT(Master!$M$2:$M$272,Rosters!$A$192),
    ROW(Master!Q$2:Q$272)-ROW(Master!Q$2)+1
    ),
   ROWS(Master!Q$2:'Master'!Q11)
  )
 ),"")</f>
        <v>amanda-sweigard@ti-inc.org</v>
      </c>
    </row>
    <row r="204" spans="1:9" x14ac:dyDescent="0.25">
      <c r="A204" s="7">
        <v>11</v>
      </c>
      <c r="B204" s="8" t="str">
        <f t="array" ref="B204">IFERROR(
 INDEX(Master!C$2:C$272,
  SMALL(
   IF(EXACT(Master!$M$2:$M$272,Rosters!$A$192),
    ROW(Master!C$2:C$272)-ROW(Master!C$2)+1
    ),
   ROWS(Master!C$2:'Master'!C12)
  )
 ),"")</f>
        <v>John</v>
      </c>
      <c r="C204" s="8" t="str">
        <f t="array" ref="C204">IFERROR(
INDEX(Master!D$2:D$272,
SMALL(
IF(EXACT(Master!$M$2:$M$272,Rosters!$A$192),
ROW(Master!D$2:D$272)-ROW(Master!D$2)+1
),
ROWS(Master!D$2:'Master'!D12)
)
),"")</f>
        <v>Smith</v>
      </c>
      <c r="D204" s="7">
        <f t="array" aca="1" ref="D204" ca="1">IFERROR(
 INDEX(Master!O$2:O$272,
  SMALL(
   IF(EXACT(Master!$M$2:$M$272,Rosters!$A$192),
    ROW(Master!O$2:O$272)-ROW(Master!O$2)+1
    ),
   ROWS(Master!O$2:'Master'!O12)
  )
 ),"")</f>
        <v>29</v>
      </c>
      <c r="E204" s="8" t="str">
        <f t="array" ref="E204">IFERROR(
 INDEX(Master!A$2:A$272,
  SMALL(
   IF(EXACT(Master!$M$2:$M$272,Rosters!$A$192),
    ROW(Master!A$2:A$272)-ROW(Master!A$2)+1
    ),
   ROWS(Master!A$2:'Master'!A12)
  )
 ),"")</f>
        <v>Shary</v>
      </c>
      <c r="F204" s="8" t="str">
        <f t="array" ref="F204">IFERROR(
 INDEX(Master!B$2:B$272,
  SMALL(
   IF(EXACT(Master!$M$2:$M$272,Rosters!$A$192),
    ROW(Master!B$2:B$272)-ROW(Master!B$2)+1
    ),
   ROWS(Master!B$2:'Master'!B12)
  )
 ),"")</f>
        <v>Cullin</v>
      </c>
      <c r="G204" s="7">
        <f t="array" ref="G204">IFERROR(
 INDEX(Master!K$2:K$272,
  SMALL(
   IF(EXACT(Master!$M$2:$M$272,Rosters!$A$192),
    ROW(Master!K$2:K$272)-ROW(Master!K$2)+1
    ),
   ROWS(Master!K$2:'Master'!K12)
  )
 ),"")</f>
        <v>937</v>
      </c>
      <c r="H204" s="7" t="str">
        <f t="array" ref="H204">IFERROR(
 INDEX(Master!L$2:L$272,
  SMALL(
   IF(EXACT(Master!$M$2:$M$272,Rosters!$A$192),
    ROW(Master!L$2:L$272)-ROW(Master!L$2)+1
    ),
   ROWS(Master!L$2:'Master'!L12)
  )
 ),"")</f>
        <v>433-3180</v>
      </c>
      <c r="I204" s="8" t="str">
        <f t="array" ref="I204">IFERROR(
 INDEX(Master!Q$2:Q$272,
  SMALL(
   IF(EXACT(Master!$M$2:$M$272,Rosters!$A$192),
    ROW(Master!Q$2:Q$272)-ROW(Master!Q$2)+1
    ),
   ROWS(Master!Q$2:'Master'!Q12)
  )
 ),"")</f>
        <v>sharysmith1@gmail.com</v>
      </c>
    </row>
    <row r="205" spans="1:9" x14ac:dyDescent="0.25">
      <c r="A205" s="7">
        <v>12</v>
      </c>
      <c r="B205" s="8" t="str">
        <f t="array" ref="B205">IFERROR(
 INDEX(Master!C$2:C$272,
  SMALL(
   IF(EXACT(Master!$M$2:$M$272,Rosters!$A$192),
    ROW(Master!C$2:C$272)-ROW(Master!C$2)+1
    ),
   ROWS(Master!C$2:'Master'!C13)
  )
 ),"")</f>
        <v>Katie</v>
      </c>
      <c r="C205" s="8" t="str">
        <f t="array" ref="C205">IFERROR(
INDEX(Master!D$2:D$272,
SMALL(
IF(EXACT(Master!$M$2:$M$272,Rosters!$A$192),
ROW(Master!D$2:D$272)-ROW(Master!D$2)+1
),
ROWS(Master!D$2:'Master'!D13)
)
),"")</f>
        <v>Turner</v>
      </c>
      <c r="D205" s="7">
        <f t="array" aca="1" ref="D205" ca="1">IFERROR(
 INDEX(Master!O$2:O$272,
  SMALL(
   IF(EXACT(Master!$M$2:$M$272,Rosters!$A$192),
    ROW(Master!O$2:O$272)-ROW(Master!O$2)+1
    ),
   ROWS(Master!O$2:'Master'!O13)
  )
 ),"")</f>
        <v>28</v>
      </c>
      <c r="E205" s="8" t="str">
        <f t="array" ref="E205">IFERROR(
 INDEX(Master!A$2:A$272,
  SMALL(
   IF(EXACT(Master!$M$2:$M$272,Rosters!$A$192),
    ROW(Master!A$2:A$272)-ROW(Master!A$2)+1
    ),
   ROWS(Master!A$2:'Master'!A13)
  )
 ),"")</f>
        <v>Robert</v>
      </c>
      <c r="F205" s="8" t="str">
        <f t="array" ref="F205">IFERROR(
 INDEX(Master!B$2:B$272,
  SMALL(
   IF(EXACT(Master!$M$2:$M$272,Rosters!$A$192),
    ROW(Master!B$2:B$272)-ROW(Master!B$2)+1
    ),
   ROWS(Master!B$2:'Master'!B13)
  )
 ),"")</f>
        <v>Turner</v>
      </c>
      <c r="G205" s="7">
        <f t="array" ref="G205">IFERROR(
 INDEX(Master!K$2:K$272,
  SMALL(
   IF(EXACT(Master!$M$2:$M$272,Rosters!$A$192),
    ROW(Master!K$2:K$272)-ROW(Master!K$2)+1
    ),
   ROWS(Master!K$2:'Master'!K13)
  )
 ),"")</f>
        <v>937</v>
      </c>
      <c r="H205" s="7" t="str">
        <f t="array" ref="H205">IFERROR(
 INDEX(Master!L$2:L$272,
  SMALL(
   IF(EXACT(Master!$M$2:$M$272,Rosters!$A$192),
    ROW(Master!L$2:L$272)-ROW(Master!L$2)+1
    ),
   ROWS(Master!L$2:'Master'!L13)
  )
 ),"")</f>
        <v>985-5015</v>
      </c>
      <c r="I205" s="8" t="str">
        <f t="array" ref="I205">IFERROR(
 INDEX(Master!Q$2:Q$272,
  SMALL(
   IF(EXACT(Master!$M$2:$M$272,Rosters!$A$192),
    ROW(Master!Q$2:Q$272)-ROW(Master!Q$2)+1
    ),
   ROWS(Master!Q$2:'Master'!Q13)
  )
 ),"")</f>
        <v>firemanturner@hotmail.com</v>
      </c>
    </row>
    <row r="206" spans="1:9" x14ac:dyDescent="0.25">
      <c r="A206" s="7">
        <v>13</v>
      </c>
      <c r="B206" s="8" t="str">
        <f t="array" ref="B206">IFERROR(
 INDEX(Master!C$2:C$272,
  SMALL(
   IF(EXACT(Master!$M$2:$M$272,Rosters!$A$192),
    ROW(Master!C$2:C$272)-ROW(Master!C$2)+1
    ),
   ROWS(Master!C$2:'Master'!C14)
  )
 ),"")</f>
        <v>Jacob</v>
      </c>
      <c r="C206" s="8" t="str">
        <f t="array" ref="C206">IFERROR(
INDEX(Master!D$2:D$272,
SMALL(
IF(EXACT(Master!$M$2:$M$272,Rosters!$A$192),
ROW(Master!D$2:D$272)-ROW(Master!D$2)+1
),
ROWS(Master!D$2:'Master'!D14)
)
),"")</f>
        <v>Wagenbach</v>
      </c>
      <c r="D206" s="7">
        <f t="array" aca="1" ref="D206" ca="1">IFERROR(
 INDEX(Master!O$2:O$272,
  SMALL(
   IF(EXACT(Master!$M$2:$M$272,Rosters!$A$192),
    ROW(Master!O$2:O$272)-ROW(Master!O$2)+1
    ),
   ROWS(Master!O$2:'Master'!O14)
  )
 ),"")</f>
        <v>26</v>
      </c>
      <c r="E206" s="8" t="str">
        <f t="array" ref="E206">IFERROR(
 INDEX(Master!A$2:A$272,
  SMALL(
   IF(EXACT(Master!$M$2:$M$272,Rosters!$A$192),
    ROW(Master!A$2:A$272)-ROW(Master!A$2)+1
    ),
   ROWS(Master!A$2:'Master'!A14)
  )
 ),"")</f>
        <v>Melissa</v>
      </c>
      <c r="F206" s="8" t="str">
        <f t="array" ref="F206">IFERROR(
 INDEX(Master!B$2:B$272,
  SMALL(
   IF(EXACT(Master!$M$2:$M$272,Rosters!$A$192),
    ROW(Master!B$2:B$272)-ROW(Master!B$2)+1
    ),
   ROWS(Master!B$2:'Master'!B14)
  )
 ),"")</f>
        <v>Kissick</v>
      </c>
      <c r="G206" s="7">
        <f t="array" ref="G206">IFERROR(
 INDEX(Master!K$2:K$272,
  SMALL(
   IF(EXACT(Master!$M$2:$M$272,Rosters!$A$192),
    ROW(Master!K$2:K$272)-ROW(Master!K$2)+1
    ),
   ROWS(Master!K$2:'Master'!K14)
  )
 ),"")</f>
        <v>937</v>
      </c>
      <c r="H206" s="7" t="str">
        <f t="array" ref="H206">IFERROR(
 INDEX(Master!L$2:L$272,
  SMALL(
   IF(EXACT(Master!$M$2:$M$272,Rosters!$A$192),
    ROW(Master!L$2:L$272)-ROW(Master!L$2)+1
    ),
   ROWS(Master!L$2:'Master'!L14)
  )
 ),"")</f>
        <v>429-1880</v>
      </c>
      <c r="I206" s="8" t="str">
        <f t="array" ref="I206">IFERROR(
 INDEX(Master!Q$2:Q$272,
  SMALL(
   IF(EXACT(Master!$M$2:$M$272,Rosters!$A$192),
    ROW(Master!Q$2:Q$272)-ROW(Master!Q$2)+1
    ),
   ROWS(Master!Q$2:'Master'!Q14)
  )
 ),"")</f>
        <v>sueakissick@gmail.com</v>
      </c>
    </row>
    <row r="207" spans="1:9" x14ac:dyDescent="0.25">
      <c r="A207" s="7">
        <v>14</v>
      </c>
      <c r="B207" s="8" t="str">
        <f t="array" ref="B207">IFERROR(
 INDEX(Master!C$2:C$272,
  SMALL(
   IF(EXACT(Master!$M$2:$M$272,Rosters!$A$192),
    ROW(Master!C$2:C$272)-ROW(Master!C$2)+1
    ),
   ROWS(Master!C$2:'Master'!C15)
  )
 ),"")</f>
        <v>Anthony</v>
      </c>
      <c r="C207" s="8" t="str">
        <f t="array" ref="C207">IFERROR(
INDEX(Master!D$2:D$272,
SMALL(
IF(EXACT(Master!$M$2:$M$272,Rosters!$A$192),
ROW(Master!D$2:D$272)-ROW(Master!D$2)+1
),
ROWS(Master!D$2:'Master'!D15)
)
),"")</f>
        <v>Whitaker</v>
      </c>
      <c r="D207" s="7">
        <f t="array" aca="1" ref="D207" ca="1">IFERROR(
 INDEX(Master!O$2:O$272,
  SMALL(
   IF(EXACT(Master!$M$2:$M$272,Rosters!$A$192),
    ROW(Master!O$2:O$272)-ROW(Master!O$2)+1
    ),
   ROWS(Master!O$2:'Master'!O15)
  )
 ),"")</f>
        <v>28</v>
      </c>
      <c r="E207" s="8" t="str">
        <f t="array" ref="E207">IFERROR(
 INDEX(Master!A$2:A$272,
  SMALL(
   IF(EXACT(Master!$M$2:$M$272,Rosters!$A$192),
    ROW(Master!A$2:A$272)-ROW(Master!A$2)+1
    ),
   ROWS(Master!A$2:'Master'!A15)
  )
 ),"")</f>
        <v>Cindy</v>
      </c>
      <c r="F207" s="8" t="str">
        <f t="array" ref="F207">IFERROR(
 INDEX(Master!B$2:B$272,
  SMALL(
   IF(EXACT(Master!$M$2:$M$272,Rosters!$A$192),
    ROW(Master!B$2:B$272)-ROW(Master!B$2)+1
    ),
   ROWS(Master!B$2:'Master'!B15)
  )
 ),"")</f>
        <v>Nava</v>
      </c>
      <c r="G207" s="7">
        <f t="array" ref="G207">IFERROR(
 INDEX(Master!K$2:K$272,
  SMALL(
   IF(EXACT(Master!$M$2:$M$272,Rosters!$A$192),
    ROW(Master!K$2:K$272)-ROW(Master!K$2)+1
    ),
   ROWS(Master!K$2:'Master'!K15)
  )
 ),"")</f>
        <v>937</v>
      </c>
      <c r="H207" s="7" t="str">
        <f t="array" ref="H207">IFERROR(
 INDEX(Master!L$2:L$272,
  SMALL(
   IF(EXACT(Master!$M$2:$M$272,Rosters!$A$192),
    ROW(Master!L$2:L$272)-ROW(Master!L$2)+1
    ),
   ROWS(Master!L$2:'Master'!L15)
  )
 ),"")</f>
        <v>559-3249</v>
      </c>
      <c r="I207" s="8" t="str">
        <f t="array" ref="I207">IFERROR(
 INDEX(Master!Q$2:Q$272,
  SMALL(
   IF(EXACT(Master!$M$2:$M$272,Rosters!$A$192),
    ROW(Master!Q$2:Q$272)-ROW(Master!Q$2)+1
    ),
   ROWS(Master!Q$2:'Master'!Q15)
  )
 ),"")</f>
        <v>cwhitaker01@hotmail.com</v>
      </c>
    </row>
    <row r="208" spans="1:9" x14ac:dyDescent="0.25">
      <c r="A208" s="7">
        <v>15</v>
      </c>
      <c r="B208" s="8" t="str">
        <f t="array" ref="B208">IFERROR(
 INDEX(Master!C$2:C$272,
  SMALL(
   IF(EXACT(Master!$M$2:$M$272,Rosters!$A$192),
    ROW(Master!C$2:C$272)-ROW(Master!C$2)+1
    ),
   ROWS(Master!C$2:'Master'!C16)
  )
 ),"")</f>
        <v>Karron</v>
      </c>
      <c r="C208" s="8" t="str">
        <f t="array" ref="C208">IFERROR(
INDEX(Master!D$2:D$272,
SMALL(
IF(EXACT(Master!$M$2:$M$272,Rosters!$A$192),
ROW(Master!D$2:D$272)-ROW(Master!D$2)+1
),
ROWS(Master!D$2:'Master'!D16)
)
),"")</f>
        <v>Yoakum</v>
      </c>
      <c r="D208" s="7">
        <f t="array" aca="1" ref="D208" ca="1">IFERROR(
 INDEX(Master!O$2:O$272,
  SMALL(
   IF(EXACT(Master!$M$2:$M$272,Rosters!$A$192),
    ROW(Master!O$2:O$272)-ROW(Master!O$2)+1
    ),
   ROWS(Master!O$2:'Master'!O16)
  )
 ),"")</f>
        <v>27</v>
      </c>
      <c r="E208" s="8" t="str">
        <f t="array" ref="E208">IFERROR(
 INDEX(Master!A$2:A$272,
  SMALL(
   IF(EXACT(Master!$M$2:$M$272,Rosters!$A$192),
    ROW(Master!A$2:A$272)-ROW(Master!A$2)+1
    ),
   ROWS(Master!A$2:'Master'!A16)
  )
 ),"")</f>
        <v>Ed/Dee</v>
      </c>
      <c r="F208" s="8" t="str">
        <f t="array" ref="F208">IFERROR(
 INDEX(Master!B$2:B$272,
  SMALL(
   IF(EXACT(Master!$M$2:$M$272,Rosters!$A$192),
    ROW(Master!B$2:B$272)-ROW(Master!B$2)+1
    ),
   ROWS(Master!B$2:'Master'!B16)
  )
 ),"")</f>
        <v>Yoakum</v>
      </c>
      <c r="G208" s="7">
        <f t="array" ref="G208">IFERROR(
 INDEX(Master!K$2:K$272,
  SMALL(
   IF(EXACT(Master!$M$2:$M$272,Rosters!$A$192),
    ROW(Master!K$2:K$272)-ROW(Master!K$2)+1
    ),
   ROWS(Master!K$2:'Master'!K16)
  )
 ),"")</f>
        <v>937</v>
      </c>
      <c r="H208" s="7" t="str">
        <f t="array" ref="H208">IFERROR(
 INDEX(Master!L$2:L$272,
  SMALL(
   IF(EXACT(Master!$M$2:$M$272,Rosters!$A$192),
    ROW(Master!L$2:L$272)-ROW(Master!L$2)+1
    ),
   ROWS(Master!L$2:'Master'!L16)
  )
 ),"")</f>
        <v>554-5991</v>
      </c>
      <c r="I208" s="8" t="str">
        <f t="array" ref="I208">IFERROR(
 INDEX(Master!Q$2:Q$272,
  SMALL(
   IF(EXACT(Master!$M$2:$M$272,Rosters!$A$192),
    ROW(Master!Q$2:Q$272)-ROW(Master!Q$2)+1
    ),
   ROWS(Master!Q$2:'Master'!Q16)
  )
 ),"")</f>
        <v>karron.yoakkum99@gmail.com</v>
      </c>
    </row>
    <row r="209" spans="1:9" x14ac:dyDescent="0.25">
      <c r="A209" s="7"/>
      <c r="B209" s="8" t="str">
        <f t="array" ref="B209">IFERROR(
 INDEX(Master!C$2:C$272,
  SMALL(
   IF(EXACT(Master!$M$2:$M$272,Rosters!$A$192),
    ROW(Master!C$2:C$272)-ROW(Master!C$2)+1
    ),
   ROWS(Master!C$2:'Master'!C17)
  )
 ),"")</f>
        <v/>
      </c>
      <c r="C209" s="8" t="str">
        <f t="array" ref="C209">IFERROR(
INDEX(Master!D$2:D$272,
SMALL(
IF(EXACT(Master!$M$2:$M$272,Rosters!$A$192),
ROW(Master!D$2:D$272)-ROW(Master!D$2)+1
),
ROWS(Master!D$2:'Master'!D17)
)
),"")</f>
        <v/>
      </c>
      <c r="D209" s="7" t="str">
        <f t="array" ref="D209">IFERROR(
 INDEX(Master!O$2:O$272,
  SMALL(
   IF(EXACT(Master!$M$2:$M$272,Rosters!$A$192),
    ROW(Master!O$2:O$272)-ROW(Master!O$2)+1
    ),
   ROWS(Master!O$2:'Master'!O17)
  )
 ),"")</f>
        <v/>
      </c>
      <c r="E209" s="8" t="str">
        <f t="array" ref="E209">IFERROR(
 INDEX(Master!A$2:A$272,
  SMALL(
   IF(EXACT(Master!$M$2:$M$272,Rosters!$A$192),
    ROW(Master!A$2:A$272)-ROW(Master!A$2)+1
    ),
   ROWS(Master!A$2:'Master'!A17)
  )
 ),"")</f>
        <v/>
      </c>
      <c r="F209" s="8" t="str">
        <f t="array" ref="F209">IFERROR(
 INDEX(Master!B$2:B$272,
  SMALL(
   IF(EXACT(Master!$M$2:$M$272,Rosters!$A$192),
    ROW(Master!B$2:B$272)-ROW(Master!B$2)+1
    ),
   ROWS(Master!B$2:'Master'!B17)
  )
 ),"")</f>
        <v/>
      </c>
      <c r="G209" s="7" t="str">
        <f t="array" ref="G209">IFERROR(
 INDEX(Master!K$2:K$272,
  SMALL(
   IF(EXACT(Master!$M$2:$M$272,Rosters!$A$192),
    ROW(Master!K$2:K$272)-ROW(Master!K$2)+1
    ),
   ROWS(Master!K$2:'Master'!K17)
  )
 ),"")</f>
        <v/>
      </c>
      <c r="H209" s="7" t="str">
        <f t="array" ref="H209">IFERROR(
 INDEX(Master!L$2:L$272,
  SMALL(
   IF(EXACT(Master!$M$2:$M$272,Rosters!$A$192),
    ROW(Master!L$2:L$272)-ROW(Master!L$2)+1
    ),
   ROWS(Master!L$2:'Master'!L17)
  )
 ),"")</f>
        <v/>
      </c>
      <c r="I209" s="8" t="str">
        <f t="array" ref="I209">IFERROR(
 INDEX(Master!Q$2:Q$272,
  SMALL(
   IF(EXACT(Master!$M$2:$M$272,Rosters!$A$192),
    ROW(Master!Q$2:Q$272)-ROW(Master!Q$2)+1
    ),
   ROWS(Master!Q$2:'Master'!Q17)
  )
 ),"")</f>
        <v/>
      </c>
    </row>
    <row r="210" spans="1:9" x14ac:dyDescent="0.25">
      <c r="A210" s="7" t="str">
        <f t="shared" ref="A210:A223" si="5">IF($B210&lt;&gt;"",$A209+1,"")</f>
        <v/>
      </c>
      <c r="B210" s="8" t="str">
        <f t="array" ref="B210">IFERROR(
 INDEX(Master!C$2:C$272,
  SMALL(
   IF(EXACT(Master!$M$2:$M$272,Rosters!$A$192),
    ROW(Master!C$2:C$272)-ROW(Master!C$2)+1
    ),
   ROWS(Master!C$2:'Master'!C18)
  )
 ),"")</f>
        <v/>
      </c>
      <c r="C210" s="8" t="str">
        <f t="array" ref="C210">IFERROR(
INDEX(Master!D$2:D$272,
SMALL(
IF(EXACT(Master!$M$2:$M$272,Rosters!$A$192),
ROW(Master!D$2:D$272)-ROW(Master!D$2)+1
),
ROWS(Master!D$2:'Master'!D18)
)
),"")</f>
        <v/>
      </c>
      <c r="D210" s="7" t="str">
        <f t="array" ref="D210">IFERROR(
 INDEX(Master!O$2:O$272,
  SMALL(
   IF(EXACT(Master!$M$2:$M$272,Rosters!$A$192),
    ROW(Master!O$2:O$272)-ROW(Master!O$2)+1
    ),
   ROWS(Master!O$2:'Master'!O18)
  )
 ),"")</f>
        <v/>
      </c>
      <c r="E210" s="8" t="str">
        <f t="array" ref="E210">IFERROR(
 INDEX(Master!A$2:A$272,
  SMALL(
   IF(EXACT(Master!$M$2:$M$272,Rosters!$A$192),
    ROW(Master!A$2:A$272)-ROW(Master!A$2)+1
    ),
   ROWS(Master!A$2:'Master'!A18)
  )
 ),"")</f>
        <v/>
      </c>
      <c r="F210" s="8" t="str">
        <f t="array" ref="F210">IFERROR(
 INDEX(Master!B$2:B$272,
  SMALL(
   IF(EXACT(Master!$M$2:$M$272,Rosters!$A$192),
    ROW(Master!B$2:B$272)-ROW(Master!B$2)+1
    ),
   ROWS(Master!B$2:'Master'!B18)
  )
 ),"")</f>
        <v/>
      </c>
      <c r="G210" s="7" t="str">
        <f t="array" ref="G210">IFERROR(
 INDEX(Master!K$2:K$272,
  SMALL(
   IF(EXACT(Master!$M$2:$M$272,Rosters!$A$192),
    ROW(Master!K$2:K$272)-ROW(Master!K$2)+1
    ),
   ROWS(Master!K$2:'Master'!K18)
  )
 ),"")</f>
        <v/>
      </c>
      <c r="H210" s="7" t="str">
        <f t="array" ref="H210">IFERROR(
 INDEX(Master!L$2:L$272,
  SMALL(
   IF(EXACT(Master!$M$2:$M$272,Rosters!$A$192),
    ROW(Master!L$2:L$272)-ROW(Master!L$2)+1
    ),
   ROWS(Master!L$2:'Master'!L18)
  )
 ),"")</f>
        <v/>
      </c>
      <c r="I210" s="8" t="str">
        <f t="array" ref="I210">IFERROR(
 INDEX(Master!Q$2:Q$272,
  SMALL(
   IF(EXACT(Master!$M$2:$M$272,Rosters!$A$192),
    ROW(Master!Q$2:Q$272)-ROW(Master!Q$2)+1
    ),
   ROWS(Master!Q$2:'Master'!Q18)
  )
 ),"")</f>
        <v/>
      </c>
    </row>
    <row r="211" spans="1:9" x14ac:dyDescent="0.25">
      <c r="A211" s="7" t="str">
        <f t="shared" si="5"/>
        <v/>
      </c>
      <c r="B211" s="8" t="str">
        <f t="array" ref="B211">IFERROR(
 INDEX(Master!C$2:C$272,
  SMALL(
   IF(EXACT(Master!$M$2:$M$272,Rosters!$A$192),
    ROW(Master!C$2:C$272)-ROW(Master!C$2)+1
    ),
   ROWS(Master!C$2:'Master'!C19)
  )
 ),"")</f>
        <v/>
      </c>
      <c r="C211" s="8" t="str">
        <f t="array" ref="C211">IFERROR(
INDEX(Master!D$2:D$272,
SMALL(
IF(EXACT(Master!$M$2:$M$272,Rosters!$A$192),
ROW(Master!D$2:D$272)-ROW(Master!D$2)+1
),
ROWS(Master!D$2:'Master'!D19)
)
),"")</f>
        <v/>
      </c>
      <c r="D211" s="7" t="str">
        <f t="array" ref="D211">IFERROR(
 INDEX(Master!O$2:O$272,
  SMALL(
   IF(EXACT(Master!$M$2:$M$272,Rosters!$A$192),
    ROW(Master!O$2:O$272)-ROW(Master!O$2)+1
    ),
   ROWS(Master!O$2:'Master'!O19)
  )
 ),"")</f>
        <v/>
      </c>
      <c r="E211" s="8" t="str">
        <f t="array" ref="E211">IFERROR(
 INDEX(Master!A$2:A$272,
  SMALL(
   IF(EXACT(Master!$M$2:$M$272,Rosters!$A$192),
    ROW(Master!A$2:A$272)-ROW(Master!A$2)+1
    ),
   ROWS(Master!A$2:'Master'!A19)
  )
 ),"")</f>
        <v/>
      </c>
      <c r="F211" s="8" t="str">
        <f t="array" ref="F211">IFERROR(
 INDEX(Master!B$2:B$272,
  SMALL(
   IF(EXACT(Master!$M$2:$M$272,Rosters!$A$192),
    ROW(Master!B$2:B$272)-ROW(Master!B$2)+1
    ),
   ROWS(Master!B$2:'Master'!B19)
  )
 ),"")</f>
        <v/>
      </c>
      <c r="G211" s="7" t="str">
        <f t="array" ref="G211">IFERROR(
 INDEX(Master!K$2:K$272,
  SMALL(
   IF(EXACT(Master!$M$2:$M$272,Rosters!$A$192),
    ROW(Master!K$2:K$272)-ROW(Master!K$2)+1
    ),
   ROWS(Master!K$2:'Master'!K19)
  )
 ),"")</f>
        <v/>
      </c>
      <c r="H211" s="7" t="str">
        <f t="array" ref="H211">IFERROR(
 INDEX(Master!L$2:L$272,
  SMALL(
   IF(EXACT(Master!$M$2:$M$272,Rosters!$A$192),
    ROW(Master!L$2:L$272)-ROW(Master!L$2)+1
    ),
   ROWS(Master!L$2:'Master'!L19)
  )
 ),"")</f>
        <v/>
      </c>
      <c r="I211" s="8" t="str">
        <f t="array" ref="I211">IFERROR(
 INDEX(Master!Q$2:Q$272,
  SMALL(
   IF(EXACT(Master!$M$2:$M$272,Rosters!$A$192),
    ROW(Master!Q$2:Q$272)-ROW(Master!Q$2)+1
    ),
   ROWS(Master!Q$2:'Master'!Q19)
  )
 ),"")</f>
        <v/>
      </c>
    </row>
    <row r="212" spans="1:9" x14ac:dyDescent="0.25">
      <c r="A212" s="7" t="str">
        <f t="shared" si="5"/>
        <v/>
      </c>
      <c r="B212" s="8" t="str">
        <f t="array" ref="B212">IFERROR(
 INDEX(Master!C$2:C$272,
  SMALL(
   IF(EXACT(Master!$M$2:$M$272,Rosters!$A$192),
    ROW(Master!C$2:C$272)-ROW(Master!C$2)+1
    ),
   ROWS(Master!C$2:'Master'!C20)
  )
 ),"")</f>
        <v/>
      </c>
      <c r="C212" s="8" t="str">
        <f t="array" ref="C212">IFERROR(
INDEX(Master!D$2:D$272,
SMALL(
IF(EXACT(Master!$M$2:$M$272,Rosters!$A$192),
ROW(Master!D$2:D$272)-ROW(Master!D$2)+1
),
ROWS(Master!D$2:'Master'!D20)
)
),"")</f>
        <v/>
      </c>
      <c r="D212" s="7" t="str">
        <f t="array" ref="D212">IFERROR(
 INDEX(Master!O$2:O$272,
  SMALL(
   IF(EXACT(Master!$M$2:$M$272,Rosters!$A$192),
    ROW(Master!O$2:O$272)-ROW(Master!O$2)+1
    ),
   ROWS(Master!O$2:'Master'!O20)
  )
 ),"")</f>
        <v/>
      </c>
      <c r="E212" s="8" t="str">
        <f t="array" ref="E212">IFERROR(
 INDEX(Master!A$2:A$272,
  SMALL(
   IF(EXACT(Master!$M$2:$M$272,Rosters!$A$192),
    ROW(Master!A$2:A$272)-ROW(Master!A$2)+1
    ),
   ROWS(Master!A$2:'Master'!A20)
  )
 ),"")</f>
        <v/>
      </c>
      <c r="F212" s="8" t="str">
        <f t="array" ref="F212">IFERROR(
 INDEX(Master!B$2:B$272,
  SMALL(
   IF(EXACT(Master!$M$2:$M$272,Rosters!$A$192),
    ROW(Master!B$2:B$272)-ROW(Master!B$2)+1
    ),
   ROWS(Master!B$2:'Master'!B20)
  )
 ),"")</f>
        <v/>
      </c>
      <c r="G212" s="7" t="str">
        <f t="array" ref="G212">IFERROR(
 INDEX(Master!K$2:K$272,
  SMALL(
   IF(EXACT(Master!$M$2:$M$272,Rosters!$A$192),
    ROW(Master!K$2:K$272)-ROW(Master!K$2)+1
    ),
   ROWS(Master!K$2:'Master'!K20)
  )
 ),"")</f>
        <v/>
      </c>
      <c r="H212" s="7" t="str">
        <f t="array" ref="H212">IFERROR(
 INDEX(Master!L$2:L$272,
  SMALL(
   IF(EXACT(Master!$M$2:$M$272,Rosters!$A$192),
    ROW(Master!L$2:L$272)-ROW(Master!L$2)+1
    ),
   ROWS(Master!L$2:'Master'!L20)
  )
 ),"")</f>
        <v/>
      </c>
      <c r="I212" s="8" t="str">
        <f t="array" ref="I212">IFERROR(
 INDEX(Master!Q$2:Q$272,
  SMALL(
   IF(EXACT(Master!$M$2:$M$272,Rosters!$A$192),
    ROW(Master!Q$2:Q$272)-ROW(Master!Q$2)+1
    ),
   ROWS(Master!Q$2:'Master'!Q20)
  )
 ),"")</f>
        <v/>
      </c>
    </row>
    <row r="213" spans="1:9" x14ac:dyDescent="0.25">
      <c r="A213" s="7" t="str">
        <f t="shared" si="5"/>
        <v/>
      </c>
      <c r="B213" s="8" t="str">
        <f t="array" ref="B213">IFERROR(
 INDEX(Master!C$2:C$272,
  SMALL(
   IF(EXACT(Master!$M$2:$M$272,Rosters!$A$192),
    ROW(Master!C$2:C$272)-ROW(Master!C$2)+1
    ),
   ROWS(Master!C$2:'Master'!C21)
  )
 ),"")</f>
        <v/>
      </c>
      <c r="C213" s="8" t="str">
        <f t="array" ref="C213">IFERROR(
INDEX(Master!D$2:D$272,
SMALL(
IF(EXACT(Master!$M$2:$M$272,Rosters!$A$192),
ROW(Master!D$2:D$272)-ROW(Master!D$2)+1
),
ROWS(Master!D$2:'Master'!D21)
)
),"")</f>
        <v/>
      </c>
      <c r="D213" s="7" t="str">
        <f t="array" ref="D213">IFERROR(
 INDEX(Master!O$2:O$272,
  SMALL(
   IF(EXACT(Master!$M$2:$M$272,Rosters!$A$192),
    ROW(Master!O$2:O$272)-ROW(Master!O$2)+1
    ),
   ROWS(Master!O$2:'Master'!O21)
  )
 ),"")</f>
        <v/>
      </c>
      <c r="E213" s="8" t="str">
        <f t="array" ref="E213">IFERROR(
 INDEX(Master!A$2:A$272,
  SMALL(
   IF(EXACT(Master!$M$2:$M$272,Rosters!$A$192),
    ROW(Master!A$2:A$272)-ROW(Master!A$2)+1
    ),
   ROWS(Master!A$2:'Master'!A21)
  )
 ),"")</f>
        <v/>
      </c>
      <c r="F213" s="8" t="str">
        <f t="array" ref="F213">IFERROR(
 INDEX(Master!B$2:B$272,
  SMALL(
   IF(EXACT(Master!$M$2:$M$272,Rosters!$A$192),
    ROW(Master!B$2:B$272)-ROW(Master!B$2)+1
    ),
   ROWS(Master!B$2:'Master'!B21)
  )
 ),"")</f>
        <v/>
      </c>
      <c r="G213" s="7" t="str">
        <f t="array" ref="G213">IFERROR(
 INDEX(Master!K$2:K$272,
  SMALL(
   IF(EXACT(Master!$M$2:$M$272,Rosters!$A$192),
    ROW(Master!K$2:K$272)-ROW(Master!K$2)+1
    ),
   ROWS(Master!K$2:'Master'!K21)
  )
 ),"")</f>
        <v/>
      </c>
      <c r="H213" s="7" t="str">
        <f t="array" ref="H213">IFERROR(
 INDEX(Master!L$2:L$272,
  SMALL(
   IF(EXACT(Master!$M$2:$M$272,Rosters!$A$192),
    ROW(Master!L$2:L$272)-ROW(Master!L$2)+1
    ),
   ROWS(Master!L$2:'Master'!L21)
  )
 ),"")</f>
        <v/>
      </c>
      <c r="I213" s="8" t="str">
        <f t="array" ref="I213">IFERROR(
 INDEX(Master!Q$2:Q$272,
  SMALL(
   IF(EXACT(Master!$M$2:$M$272,Rosters!$A$192),
    ROW(Master!Q$2:Q$272)-ROW(Master!Q$2)+1
    ),
   ROWS(Master!Q$2:'Master'!Q21)
  )
 ),"")</f>
        <v/>
      </c>
    </row>
    <row r="214" spans="1:9" x14ac:dyDescent="0.25">
      <c r="A214" s="7" t="str">
        <f t="shared" si="5"/>
        <v/>
      </c>
      <c r="B214" s="8" t="str">
        <f t="array" ref="B214">IFERROR(
 INDEX(Master!C$2:C$272,
  SMALL(
   IF(EXACT(Master!$M$2:$M$272,Rosters!$A$192),
    ROW(Master!C$2:C$272)-ROW(Master!C$2)+1
    ),
   ROWS(Master!C$2:'Master'!C22)
  )
 ),"")</f>
        <v/>
      </c>
      <c r="C214" s="8" t="str">
        <f t="array" ref="C214">IFERROR(
INDEX(Master!D$2:D$272,
SMALL(
IF(EXACT(Master!$M$2:$M$272,Rosters!$A$192),
ROW(Master!D$2:D$272)-ROW(Master!D$2)+1
),
ROWS(Master!D$2:'Master'!D22)
)
),"")</f>
        <v/>
      </c>
      <c r="D214" s="7" t="str">
        <f t="array" ref="D214">IFERROR(
 INDEX(Master!O$2:O$272,
  SMALL(
   IF(EXACT(Master!$M$2:$M$272,Rosters!$A$192),
    ROW(Master!O$2:O$272)-ROW(Master!O$2)+1
    ),
   ROWS(Master!O$2:'Master'!O22)
  )
 ),"")</f>
        <v/>
      </c>
      <c r="E214" s="8" t="str">
        <f t="array" ref="E214">IFERROR(
 INDEX(Master!A$2:A$272,
  SMALL(
   IF(EXACT(Master!$M$2:$M$272,Rosters!$A$192),
    ROW(Master!A$2:A$272)-ROW(Master!A$2)+1
    ),
   ROWS(Master!A$2:'Master'!A22)
  )
 ),"")</f>
        <v/>
      </c>
      <c r="F214" s="8" t="str">
        <f t="array" ref="F214">IFERROR(
 INDEX(Master!B$2:B$272,
  SMALL(
   IF(EXACT(Master!$M$2:$M$272,Rosters!$A$192),
    ROW(Master!B$2:B$272)-ROW(Master!B$2)+1
    ),
   ROWS(Master!B$2:'Master'!B22)
  )
 ),"")</f>
        <v/>
      </c>
      <c r="G214" s="7" t="str">
        <f t="array" ref="G214">IFERROR(
 INDEX(Master!K$2:K$272,
  SMALL(
   IF(EXACT(Master!$M$2:$M$272,Rosters!$A$192),
    ROW(Master!K$2:K$272)-ROW(Master!K$2)+1
    ),
   ROWS(Master!K$2:'Master'!K22)
  )
 ),"")</f>
        <v/>
      </c>
      <c r="H214" s="7" t="str">
        <f t="array" ref="H214">IFERROR(
 INDEX(Master!L$2:L$272,
  SMALL(
   IF(EXACT(Master!$M$2:$M$272,Rosters!$A$192),
    ROW(Master!L$2:L$272)-ROW(Master!L$2)+1
    ),
   ROWS(Master!L$2:'Master'!L22)
  )
 ),"")</f>
        <v/>
      </c>
      <c r="I214" s="8" t="str">
        <f t="array" ref="I214">IFERROR(
 INDEX(Master!Q$2:Q$272,
  SMALL(
   IF(EXACT(Master!$M$2:$M$272,Rosters!$A$192),
    ROW(Master!Q$2:Q$272)-ROW(Master!Q$2)+1
    ),
   ROWS(Master!Q$2:'Master'!Q22)
  )
 ),"")</f>
        <v/>
      </c>
    </row>
    <row r="215" spans="1:9" x14ac:dyDescent="0.25">
      <c r="A215" s="7" t="str">
        <f t="shared" si="5"/>
        <v/>
      </c>
      <c r="B215" s="8" t="str">
        <f t="array" ref="B215">IFERROR(
 INDEX(Master!C$2:C$272,
  SMALL(
   IF(EXACT(Master!$M$2:$M$272,Rosters!$A$192),
    ROW(Master!C$2:C$272)-ROW(Master!C$2)+1
    ),
   ROWS(Master!C$2:'Master'!C23)
  )
 ),"")</f>
        <v/>
      </c>
      <c r="C215" s="8" t="str">
        <f t="array" ref="C215">IFERROR(
INDEX(Master!D$2:D$272,
SMALL(
IF(EXACT(Master!$M$2:$M$272,Rosters!$A$192),
ROW(Master!D$2:D$272)-ROW(Master!D$2)+1
),
ROWS(Master!D$2:'Master'!D23)
)
),"")</f>
        <v/>
      </c>
      <c r="D215" s="7" t="str">
        <f t="array" ref="D215">IFERROR(
 INDEX(Master!O$2:O$272,
  SMALL(
   IF(EXACT(Master!$M$2:$M$272,Rosters!$A$192),
    ROW(Master!O$2:O$272)-ROW(Master!O$2)+1
    ),
   ROWS(Master!O$2:'Master'!O23)
  )
 ),"")</f>
        <v/>
      </c>
      <c r="E215" s="8" t="str">
        <f t="array" ref="E215">IFERROR(
 INDEX(Master!A$2:A$272,
  SMALL(
   IF(EXACT(Master!$M$2:$M$272,Rosters!$A$192),
    ROW(Master!A$2:A$272)-ROW(Master!A$2)+1
    ),
   ROWS(Master!A$2:'Master'!A23)
  )
 ),"")</f>
        <v/>
      </c>
      <c r="F215" s="8" t="str">
        <f t="array" ref="F215">IFERROR(
 INDEX(Master!B$2:B$272,
  SMALL(
   IF(EXACT(Master!$M$2:$M$272,Rosters!$A$192),
    ROW(Master!B$2:B$272)-ROW(Master!B$2)+1
    ),
   ROWS(Master!B$2:'Master'!B23)
  )
 ),"")</f>
        <v/>
      </c>
      <c r="G215" s="7" t="str">
        <f t="array" ref="G215">IFERROR(
 INDEX(Master!K$2:K$272,
  SMALL(
   IF(EXACT(Master!$M$2:$M$272,Rosters!$A$192),
    ROW(Master!K$2:K$272)-ROW(Master!K$2)+1
    ),
   ROWS(Master!K$2:'Master'!K23)
  )
 ),"")</f>
        <v/>
      </c>
      <c r="H215" s="7" t="str">
        <f t="array" ref="H215">IFERROR(
 INDEX(Master!L$2:L$272,
  SMALL(
   IF(EXACT(Master!$M$2:$M$272,Rosters!$A$192),
    ROW(Master!L$2:L$272)-ROW(Master!L$2)+1
    ),
   ROWS(Master!L$2:'Master'!L23)
  )
 ),"")</f>
        <v/>
      </c>
      <c r="I215" s="8" t="str">
        <f t="array" ref="I215">IFERROR(
 INDEX(Master!Q$2:Q$272,
  SMALL(
   IF(EXACT(Master!$M$2:$M$272,Rosters!$A$192),
    ROW(Master!Q$2:Q$272)-ROW(Master!Q$2)+1
    ),
   ROWS(Master!Q$2:'Master'!Q23)
  )
 ),"")</f>
        <v/>
      </c>
    </row>
    <row r="216" spans="1:9" x14ac:dyDescent="0.25">
      <c r="A216" s="7" t="str">
        <f t="shared" si="5"/>
        <v/>
      </c>
      <c r="B216" s="8" t="str">
        <f t="array" ref="B216">IFERROR(
 INDEX(Master!C$2:C$272,
  SMALL(
   IF(EXACT(Master!$M$2:$M$272,Rosters!$A$192),
    ROW(Master!C$2:C$272)-ROW(Master!C$2)+1
    ),
   ROWS(Master!C$2:'Master'!C24)
  )
 ),"")</f>
        <v/>
      </c>
      <c r="C216" s="8" t="str">
        <f t="array" ref="C216">IFERROR(
INDEX(Master!D$2:D$272,
SMALL(
IF(EXACT(Master!$M$2:$M$272,Rosters!$A$192),
ROW(Master!D$2:D$272)-ROW(Master!D$2)+1
),
ROWS(Master!D$2:'Master'!D24)
)
),"")</f>
        <v/>
      </c>
      <c r="D216" s="7" t="str">
        <f t="array" ref="D216">IFERROR(
 INDEX(Master!O$2:O$272,
  SMALL(
   IF(EXACT(Master!$M$2:$M$272,Rosters!$A$192),
    ROW(Master!O$2:O$272)-ROW(Master!O$2)+1
    ),
   ROWS(Master!O$2:'Master'!O24)
  )
 ),"")</f>
        <v/>
      </c>
      <c r="E216" s="8" t="str">
        <f t="array" ref="E216">IFERROR(
 INDEX(Master!A$2:A$272,
  SMALL(
   IF(EXACT(Master!$M$2:$M$272,Rosters!$A$192),
    ROW(Master!A$2:A$272)-ROW(Master!A$2)+1
    ),
   ROWS(Master!A$2:'Master'!A24)
  )
 ),"")</f>
        <v/>
      </c>
      <c r="F216" s="8" t="str">
        <f t="array" ref="F216">IFERROR(
 INDEX(Master!B$2:B$272,
  SMALL(
   IF(EXACT(Master!$M$2:$M$272,Rosters!$A$192),
    ROW(Master!B$2:B$272)-ROW(Master!B$2)+1
    ),
   ROWS(Master!B$2:'Master'!B24)
  )
 ),"")</f>
        <v/>
      </c>
      <c r="G216" s="7" t="str">
        <f t="array" ref="G216">IFERROR(
 INDEX(Master!K$2:K$272,
  SMALL(
   IF(EXACT(Master!$M$2:$M$272,Rosters!$A$192),
    ROW(Master!K$2:K$272)-ROW(Master!K$2)+1
    ),
   ROWS(Master!K$2:'Master'!K24)
  )
 ),"")</f>
        <v/>
      </c>
      <c r="H216" s="7" t="str">
        <f t="array" ref="H216">IFERROR(
 INDEX(Master!L$2:L$272,
  SMALL(
   IF(EXACT(Master!$M$2:$M$272,Rosters!$A$192),
    ROW(Master!L$2:L$272)-ROW(Master!L$2)+1
    ),
   ROWS(Master!L$2:'Master'!L24)
  )
 ),"")</f>
        <v/>
      </c>
      <c r="I216" s="8" t="str">
        <f t="array" ref="I216">IFERROR(
 INDEX(Master!Q$2:Q$272,
  SMALL(
   IF(EXACT(Master!$M$2:$M$272,Rosters!$A$192),
    ROW(Master!Q$2:Q$272)-ROW(Master!Q$2)+1
    ),
   ROWS(Master!Q$2:'Master'!Q24)
  )
 ),"")</f>
        <v/>
      </c>
    </row>
    <row r="217" spans="1:9" x14ac:dyDescent="0.25">
      <c r="A217" s="7" t="str">
        <f t="shared" si="5"/>
        <v/>
      </c>
      <c r="B217" s="8" t="str">
        <f t="array" ref="B217">IFERROR(
 INDEX(Master!C$2:C$272,
  SMALL(
   IF(EXACT(Master!$M$2:$M$272,Rosters!$A$192),
    ROW(Master!C$2:C$272)-ROW(Master!C$2)+1
    ),
   ROWS(Master!C$2:'Master'!C25)
  )
 ),"")</f>
        <v/>
      </c>
      <c r="C217" s="8" t="str">
        <f t="array" ref="C217">IFERROR(
INDEX(Master!D$2:D$272,
SMALL(
IF(EXACT(Master!$M$2:$M$272,Rosters!$A$192),
ROW(Master!D$2:D$272)-ROW(Master!D$2)+1
),
ROWS(Master!D$2:'Master'!D25)
)
),"")</f>
        <v/>
      </c>
      <c r="D217" s="7" t="str">
        <f t="array" ref="D217">IFERROR(
 INDEX(Master!O$2:O$272,
  SMALL(
   IF(EXACT(Master!$M$2:$M$272,Rosters!$A$192),
    ROW(Master!O$2:O$272)-ROW(Master!O$2)+1
    ),
   ROWS(Master!O$2:'Master'!O25)
  )
 ),"")</f>
        <v/>
      </c>
      <c r="E217" s="8" t="str">
        <f t="array" ref="E217">IFERROR(
 INDEX(Master!A$2:A$272,
  SMALL(
   IF(EXACT(Master!$M$2:$M$272,Rosters!$A$192),
    ROW(Master!A$2:A$272)-ROW(Master!A$2)+1
    ),
   ROWS(Master!A$2:'Master'!A25)
  )
 ),"")</f>
        <v/>
      </c>
      <c r="F217" s="8" t="str">
        <f t="array" ref="F217">IFERROR(
 INDEX(Master!B$2:B$272,
  SMALL(
   IF(EXACT(Master!$M$2:$M$272,Rosters!$A$192),
    ROW(Master!B$2:B$272)-ROW(Master!B$2)+1
    ),
   ROWS(Master!B$2:'Master'!B25)
  )
 ),"")</f>
        <v/>
      </c>
      <c r="G217" s="7" t="str">
        <f t="array" ref="G217">IFERROR(
 INDEX(Master!K$2:K$272,
  SMALL(
   IF(EXACT(Master!$M$2:$M$272,Rosters!$A$192),
    ROW(Master!K$2:K$272)-ROW(Master!K$2)+1
    ),
   ROWS(Master!K$2:'Master'!K25)
  )
 ),"")</f>
        <v/>
      </c>
      <c r="H217" s="7" t="str">
        <f t="array" ref="H217">IFERROR(
 INDEX(Master!L$2:L$272,
  SMALL(
   IF(EXACT(Master!$M$2:$M$272,Rosters!$A$192),
    ROW(Master!L$2:L$272)-ROW(Master!L$2)+1
    ),
   ROWS(Master!L$2:'Master'!L25)
  )
 ),"")</f>
        <v/>
      </c>
      <c r="I217" s="8" t="str">
        <f t="array" ref="I217">IFERROR(
 INDEX(Master!Q$2:Q$272,
  SMALL(
   IF(EXACT(Master!$M$2:$M$272,Rosters!$A$192),
    ROW(Master!Q$2:Q$272)-ROW(Master!Q$2)+1
    ),
   ROWS(Master!Q$2:'Master'!Q25)
  )
 ),"")</f>
        <v/>
      </c>
    </row>
    <row r="218" spans="1:9" x14ac:dyDescent="0.25">
      <c r="A218" s="7" t="str">
        <f t="shared" si="5"/>
        <v/>
      </c>
      <c r="B218" s="8" t="str">
        <f t="array" ref="B218">IFERROR(
 INDEX(Master!C$2:C$272,
  SMALL(
   IF(EXACT(Master!$M$2:$M$272,Rosters!$A$192),
    ROW(Master!C$2:C$272)-ROW(Master!C$2)+1
    ),
   ROWS(Master!C$2:'Master'!C26)
  )
 ),"")</f>
        <v/>
      </c>
      <c r="C218" s="8" t="str">
        <f t="array" ref="C218">IFERROR(
INDEX(Master!D$2:D$272,
SMALL(
IF(EXACT(Master!$M$2:$M$272,Rosters!$A$192),
ROW(Master!D$2:D$272)-ROW(Master!D$2)+1
),
ROWS(Master!D$2:'Master'!D26)
)
),"")</f>
        <v/>
      </c>
      <c r="D218" s="7" t="str">
        <f t="array" ref="D218">IFERROR(
 INDEX(Master!O$2:O$272,
  SMALL(
   IF(EXACT(Master!$M$2:$M$272,Rosters!$A$192),
    ROW(Master!O$2:O$272)-ROW(Master!O$2)+1
    ),
   ROWS(Master!O$2:'Master'!O26)
  )
 ),"")</f>
        <v/>
      </c>
      <c r="E218" s="8" t="str">
        <f t="array" ref="E218">IFERROR(
 INDEX(Master!A$2:A$272,
  SMALL(
   IF(EXACT(Master!$M$2:$M$272,Rosters!$A$192),
    ROW(Master!A$2:A$272)-ROW(Master!A$2)+1
    ),
   ROWS(Master!A$2:'Master'!A26)
  )
 ),"")</f>
        <v/>
      </c>
      <c r="F218" s="8" t="str">
        <f t="array" ref="F218">IFERROR(
 INDEX(Master!B$2:B$272,
  SMALL(
   IF(EXACT(Master!$M$2:$M$272,Rosters!$A$192),
    ROW(Master!B$2:B$272)-ROW(Master!B$2)+1
    ),
   ROWS(Master!B$2:'Master'!B26)
  )
 ),"")</f>
        <v/>
      </c>
      <c r="G218" s="7" t="str">
        <f t="array" ref="G218">IFERROR(
 INDEX(Master!K$2:K$272,
  SMALL(
   IF(EXACT(Master!$M$2:$M$272,Rosters!$A$192),
    ROW(Master!K$2:K$272)-ROW(Master!K$2)+1
    ),
   ROWS(Master!K$2:'Master'!K26)
  )
 ),"")</f>
        <v/>
      </c>
      <c r="H218" s="7" t="str">
        <f t="array" ref="H218">IFERROR(
 INDEX(Master!L$2:L$272,
  SMALL(
   IF(EXACT(Master!$M$2:$M$272,Rosters!$A$192),
    ROW(Master!L$2:L$272)-ROW(Master!L$2)+1
    ),
   ROWS(Master!L$2:'Master'!L26)
  )
 ),"")</f>
        <v/>
      </c>
      <c r="I218" s="8" t="str">
        <f t="array" ref="I218">IFERROR(
 INDEX(Master!Q$2:Q$272,
  SMALL(
   IF(EXACT(Master!$M$2:$M$272,Rosters!$A$192),
    ROW(Master!Q$2:Q$272)-ROW(Master!Q$2)+1
    ),
   ROWS(Master!Q$2:'Master'!Q26)
  )
 ),"")</f>
        <v/>
      </c>
    </row>
    <row r="219" spans="1:9" x14ac:dyDescent="0.25">
      <c r="A219" s="7" t="str">
        <f t="shared" si="5"/>
        <v/>
      </c>
      <c r="B219" s="8" t="str">
        <f t="array" ref="B219">IFERROR(
 INDEX(Master!C$2:C$272,
  SMALL(
   IF(EXACT(Master!$M$2:$M$272,Rosters!$A$192),
    ROW(Master!C$2:C$272)-ROW(Master!C$2)+1
    ),
   ROWS(Master!C$2:'Master'!C27)
  )
 ),"")</f>
        <v/>
      </c>
      <c r="C219" s="8" t="str">
        <f t="array" ref="C219">IFERROR(
INDEX(Master!D$2:D$272,
SMALL(
IF(EXACT(Master!$M$2:$M$272,Rosters!$A$192),
ROW(Master!D$2:D$272)-ROW(Master!D$2)+1
),
ROWS(Master!D$2:'Master'!D27)
)
),"")</f>
        <v/>
      </c>
      <c r="D219" s="7" t="str">
        <f t="array" ref="D219">IFERROR(
 INDEX(Master!O$2:O$272,
  SMALL(
   IF(EXACT(Master!$M$2:$M$272,Rosters!$A$192),
    ROW(Master!O$2:O$272)-ROW(Master!O$2)+1
    ),
   ROWS(Master!O$2:'Master'!O27)
  )
 ),"")</f>
        <v/>
      </c>
      <c r="E219" s="8" t="str">
        <f t="array" ref="E219">IFERROR(
 INDEX(Master!A$2:A$272,
  SMALL(
   IF(EXACT(Master!$M$2:$M$272,Rosters!$A$192),
    ROW(Master!A$2:A$272)-ROW(Master!A$2)+1
    ),
   ROWS(Master!A$2:'Master'!A27)
  )
 ),"")</f>
        <v/>
      </c>
      <c r="F219" s="8" t="str">
        <f t="array" ref="F219">IFERROR(
 INDEX(Master!B$2:B$272,
  SMALL(
   IF(EXACT(Master!$M$2:$M$272,Rosters!$A$192),
    ROW(Master!B$2:B$272)-ROW(Master!B$2)+1
    ),
   ROWS(Master!B$2:'Master'!B27)
  )
 ),"")</f>
        <v/>
      </c>
      <c r="G219" s="7" t="str">
        <f t="array" ref="G219">IFERROR(
 INDEX(Master!K$2:K$272,
  SMALL(
   IF(EXACT(Master!$M$2:$M$272,Rosters!$A$192),
    ROW(Master!K$2:K$272)-ROW(Master!K$2)+1
    ),
   ROWS(Master!K$2:'Master'!K27)
  )
 ),"")</f>
        <v/>
      </c>
      <c r="H219" s="7" t="str">
        <f t="array" ref="H219">IFERROR(
 INDEX(Master!L$2:L$272,
  SMALL(
   IF(EXACT(Master!$M$2:$M$272,Rosters!$A$192),
    ROW(Master!L$2:L$272)-ROW(Master!L$2)+1
    ),
   ROWS(Master!L$2:'Master'!L27)
  )
 ),"")</f>
        <v/>
      </c>
      <c r="I219" s="8" t="str">
        <f t="array" ref="I219">IFERROR(
 INDEX(Master!Q$2:Q$272,
  SMALL(
   IF(EXACT(Master!$M$2:$M$272,Rosters!$A$192),
    ROW(Master!Q$2:Q$272)-ROW(Master!Q$2)+1
    ),
   ROWS(Master!Q$2:'Master'!Q27)
  )
 ),"")</f>
        <v/>
      </c>
    </row>
    <row r="220" spans="1:9" x14ac:dyDescent="0.25">
      <c r="A220" s="7" t="str">
        <f t="shared" si="5"/>
        <v/>
      </c>
      <c r="B220" s="8" t="str">
        <f t="array" ref="B220">IFERROR(
 INDEX(Master!C$2:C$272,
  SMALL(
   IF(EXACT(Master!$M$2:$M$272,Rosters!$A$192),
    ROW(Master!C$2:C$272)-ROW(Master!C$2)+1
    ),
   ROWS(Master!C$2:'Master'!C28)
  )
 ),"")</f>
        <v/>
      </c>
      <c r="C220" s="8" t="str">
        <f t="array" ref="C220">IFERROR(
INDEX(Master!D$2:D$272,
SMALL(
IF(EXACT(Master!$M$2:$M$272,Rosters!$A$192),
ROW(Master!D$2:D$272)-ROW(Master!D$2)+1
),
ROWS(Master!D$2:'Master'!D28)
)
),"")</f>
        <v/>
      </c>
      <c r="D220" s="7" t="str">
        <f t="array" ref="D220">IFERROR(
 INDEX(Master!O$2:O$272,
  SMALL(
   IF(EXACT(Master!$M$2:$M$272,Rosters!$A$192),
    ROW(Master!O$2:O$272)-ROW(Master!O$2)+1
    ),
   ROWS(Master!O$2:'Master'!O28)
  )
 ),"")</f>
        <v/>
      </c>
      <c r="E220" s="8" t="str">
        <f t="array" ref="E220">IFERROR(
 INDEX(Master!A$2:A$272,
  SMALL(
   IF(EXACT(Master!$M$2:$M$272,Rosters!$A$192),
    ROW(Master!A$2:A$272)-ROW(Master!A$2)+1
    ),
   ROWS(Master!A$2:'Master'!A28)
  )
 ),"")</f>
        <v/>
      </c>
      <c r="F220" s="8" t="str">
        <f t="array" ref="F220">IFERROR(
 INDEX(Master!B$2:B$272,
  SMALL(
   IF(EXACT(Master!$M$2:$M$272,Rosters!$A$192),
    ROW(Master!B$2:B$272)-ROW(Master!B$2)+1
    ),
   ROWS(Master!B$2:'Master'!B28)
  )
 ),"")</f>
        <v/>
      </c>
      <c r="G220" s="7" t="str">
        <f t="array" ref="G220">IFERROR(
 INDEX(Master!K$2:K$272,
  SMALL(
   IF(EXACT(Master!$M$2:$M$272,Rosters!$A$192),
    ROW(Master!K$2:K$272)-ROW(Master!K$2)+1
    ),
   ROWS(Master!K$2:'Master'!K28)
  )
 ),"")</f>
        <v/>
      </c>
      <c r="H220" s="7" t="str">
        <f t="array" ref="H220">IFERROR(
 INDEX(Master!L$2:L$272,
  SMALL(
   IF(EXACT(Master!$M$2:$M$272,Rosters!$A$192),
    ROW(Master!L$2:L$272)-ROW(Master!L$2)+1
    ),
   ROWS(Master!L$2:'Master'!L28)
  )
 ),"")</f>
        <v/>
      </c>
      <c r="I220" s="8" t="str">
        <f t="array" ref="I220">IFERROR(
 INDEX(Master!Q$2:Q$272,
  SMALL(
   IF(EXACT(Master!$M$2:$M$272,Rosters!$A$192),
    ROW(Master!Q$2:Q$272)-ROW(Master!Q$2)+1
    ),
   ROWS(Master!Q$2:'Master'!Q28)
  )
 ),"")</f>
        <v/>
      </c>
    </row>
    <row r="221" spans="1:9" x14ac:dyDescent="0.25">
      <c r="A221" s="7" t="str">
        <f t="shared" si="5"/>
        <v/>
      </c>
      <c r="B221" s="8" t="str">
        <f t="array" ref="B221">IFERROR(
 INDEX(Master!C$2:C$272,
  SMALL(
   IF(EXACT(Master!$M$2:$M$272,Rosters!$A$192),
    ROW(Master!C$2:C$272)-ROW(Master!C$2)+1
    ),
   ROWS(Master!C$2:'Master'!C29)
  )
 ),"")</f>
        <v/>
      </c>
      <c r="C221" s="8" t="str">
        <f t="array" ref="C221">IFERROR(
INDEX(Master!D$2:D$272,
SMALL(
IF(EXACT(Master!$M$2:$M$272,Rosters!$A$192),
ROW(Master!D$2:D$272)-ROW(Master!D$2)+1
),
ROWS(Master!D$2:'Master'!D29)
)
),"")</f>
        <v/>
      </c>
      <c r="D221" s="7" t="str">
        <f t="array" ref="D221">IFERROR(
 INDEX(Master!O$2:O$272,
  SMALL(
   IF(EXACT(Master!$M$2:$M$272,Rosters!$A$192),
    ROW(Master!O$2:O$272)-ROW(Master!O$2)+1
    ),
   ROWS(Master!O$2:'Master'!O29)
  )
 ),"")</f>
        <v/>
      </c>
      <c r="E221" s="8" t="str">
        <f t="array" ref="E221">IFERROR(
 INDEX(Master!A$2:A$272,
  SMALL(
   IF(EXACT(Master!$M$2:$M$272,Rosters!$A$192),
    ROW(Master!A$2:A$272)-ROW(Master!A$2)+1
    ),
   ROWS(Master!A$2:'Master'!A29)
  )
 ),"")</f>
        <v/>
      </c>
      <c r="F221" s="8" t="str">
        <f t="array" ref="F221">IFERROR(
 INDEX(Master!B$2:B$272,
  SMALL(
   IF(EXACT(Master!$M$2:$M$272,Rosters!$A$192),
    ROW(Master!B$2:B$272)-ROW(Master!B$2)+1
    ),
   ROWS(Master!B$2:'Master'!B29)
  )
 ),"")</f>
        <v/>
      </c>
      <c r="G221" s="7" t="str">
        <f t="array" ref="G221">IFERROR(
 INDEX(Master!K$2:K$272,
  SMALL(
   IF(EXACT(Master!$M$2:$M$272,Rosters!$A$192),
    ROW(Master!K$2:K$272)-ROW(Master!K$2)+1
    ),
   ROWS(Master!K$2:'Master'!K29)
  )
 ),"")</f>
        <v/>
      </c>
      <c r="H221" s="7" t="str">
        <f t="array" ref="H221">IFERROR(
 INDEX(Master!L$2:L$272,
  SMALL(
   IF(EXACT(Master!$M$2:$M$272,Rosters!$A$192),
    ROW(Master!L$2:L$272)-ROW(Master!L$2)+1
    ),
   ROWS(Master!L$2:'Master'!L29)
  )
 ),"")</f>
        <v/>
      </c>
      <c r="I221" s="8" t="str">
        <f t="array" ref="I221">IFERROR(
 INDEX(Master!Q$2:Q$272,
  SMALL(
   IF(EXACT(Master!$M$2:$M$272,Rosters!$A$192),
    ROW(Master!Q$2:Q$272)-ROW(Master!Q$2)+1
    ),
   ROWS(Master!Q$2:'Master'!Q29)
  )
 ),"")</f>
        <v/>
      </c>
    </row>
    <row r="222" spans="1:9" x14ac:dyDescent="0.25">
      <c r="A222" s="7" t="str">
        <f t="shared" si="5"/>
        <v/>
      </c>
      <c r="B222" s="8" t="str">
        <f t="array" ref="B222">IFERROR(
 INDEX(Master!C$2:C$272,
  SMALL(
   IF(EXACT(Master!$M$2:$M$272,Rosters!$A$192),
    ROW(Master!C$2:C$272)-ROW(Master!C$2)+1
    ),
   ROWS(Master!C$2:'Master'!C30)
  )
 ),"")</f>
        <v/>
      </c>
      <c r="C222" s="8" t="str">
        <f t="array" ref="C222">IFERROR(
INDEX(Master!D$2:D$272,
SMALL(
IF(EXACT(Master!$M$2:$M$272,Rosters!$A$192),
ROW(Master!D$2:D$272)-ROW(Master!D$2)+1
),
ROWS(Master!D$2:'Master'!D30)
)
),"")</f>
        <v/>
      </c>
      <c r="D222" s="7" t="str">
        <f t="array" ref="D222">IFERROR(
 INDEX(Master!O$2:O$272,
  SMALL(
   IF(EXACT(Master!$M$2:$M$272,Rosters!$A$192),
    ROW(Master!O$2:O$272)-ROW(Master!O$2)+1
    ),
   ROWS(Master!O$2:'Master'!O30)
  )
 ),"")</f>
        <v/>
      </c>
      <c r="E222" s="8" t="str">
        <f t="array" ref="E222">IFERROR(
 INDEX(Master!A$2:A$272,
  SMALL(
   IF(EXACT(Master!$M$2:$M$272,Rosters!$A$192),
    ROW(Master!A$2:A$272)-ROW(Master!A$2)+1
    ),
   ROWS(Master!A$2:'Master'!A30)
  )
 ),"")</f>
        <v/>
      </c>
      <c r="F222" s="8" t="str">
        <f t="array" ref="F222">IFERROR(
 INDEX(Master!B$2:B$272,
  SMALL(
   IF(EXACT(Master!$M$2:$M$272,Rosters!$A$192),
    ROW(Master!B$2:B$272)-ROW(Master!B$2)+1
    ),
   ROWS(Master!B$2:'Master'!B30)
  )
 ),"")</f>
        <v/>
      </c>
      <c r="G222" s="7" t="str">
        <f t="array" ref="G222">IFERROR(
 INDEX(Master!K$2:K$272,
  SMALL(
   IF(EXACT(Master!$M$2:$M$272,Rosters!$A$192),
    ROW(Master!K$2:K$272)-ROW(Master!K$2)+1
    ),
   ROWS(Master!K$2:'Master'!K30)
  )
 ),"")</f>
        <v/>
      </c>
      <c r="H222" s="7" t="str">
        <f t="array" ref="H222">IFERROR(
 INDEX(Master!L$2:L$272,
  SMALL(
   IF(EXACT(Master!$M$2:$M$272,Rosters!$A$192),
    ROW(Master!L$2:L$272)-ROW(Master!L$2)+1
    ),
   ROWS(Master!L$2:'Master'!L30)
  )
 ),"")</f>
        <v/>
      </c>
      <c r="I222" s="8" t="str">
        <f t="array" ref="I222">IFERROR(
 INDEX(Master!Q$2:Q$272,
  SMALL(
   IF(EXACT(Master!$M$2:$M$272,Rosters!$A$192),
    ROW(Master!Q$2:Q$272)-ROW(Master!Q$2)+1
    ),
   ROWS(Master!Q$2:'Master'!Q30)
  )
 ),"")</f>
        <v/>
      </c>
    </row>
    <row r="223" spans="1:9" x14ac:dyDescent="0.25">
      <c r="A223" s="7" t="str">
        <f t="shared" si="5"/>
        <v/>
      </c>
      <c r="B223" s="8" t="str">
        <f t="array" ref="B223">IFERROR(
 INDEX(Master!C$2:C$272,
  SMALL(
   IF(EXACT(Master!$M$2:$M$272,Rosters!$A$192),
    ROW(Master!C$2:C$272)-ROW(Master!C$2)+1
    ),
   ROWS(Master!C$2:'Master'!C31)
  )
 ),"")</f>
        <v/>
      </c>
      <c r="C223" s="8" t="str">
        <f t="array" ref="C223">IFERROR(
INDEX(Master!D$2:D$272,
SMALL(
IF(EXACT(Master!$M$2:$M$272,Rosters!$A$192),
ROW(Master!D$2:D$272)-ROW(Master!D$2)+1
),
ROWS(Master!D$2:'Master'!D31)
)
),"")</f>
        <v/>
      </c>
      <c r="D223" s="7" t="str">
        <f t="array" ref="D223">IFERROR(
 INDEX(Master!O$2:O$272,
  SMALL(
   IF(EXACT(Master!$M$2:$M$272,Rosters!$A$192),
    ROW(Master!O$2:O$272)-ROW(Master!O$2)+1
    ),
   ROWS(Master!O$2:'Master'!O31)
  )
 ),"")</f>
        <v/>
      </c>
      <c r="E223" s="8" t="str">
        <f t="array" ref="E223">IFERROR(
 INDEX(Master!A$2:A$272,
  SMALL(
   IF(EXACT(Master!$M$2:$M$272,Rosters!$A$192),
    ROW(Master!A$2:A$272)-ROW(Master!A$2)+1
    ),
   ROWS(Master!A$2:'Master'!A31)
  )
 ),"")</f>
        <v/>
      </c>
      <c r="F223" s="8" t="str">
        <f t="array" ref="F223">IFERROR(
 INDEX(Master!B$2:B$272,
  SMALL(
   IF(EXACT(Master!$M$2:$M$272,Rosters!$A$192),
    ROW(Master!B$2:B$272)-ROW(Master!B$2)+1
    ),
   ROWS(Master!B$2:'Master'!B31)
  )
 ),"")</f>
        <v/>
      </c>
      <c r="G223" s="7" t="str">
        <f t="array" ref="G223">IFERROR(
 INDEX(Master!K$2:K$272,
  SMALL(
   IF(EXACT(Master!$M$2:$M$272,Rosters!$A$192),
    ROW(Master!K$2:K$272)-ROW(Master!K$2)+1
    ),
   ROWS(Master!K$2:'Master'!K31)
  )
 ),"")</f>
        <v/>
      </c>
      <c r="H223" s="7" t="str">
        <f t="array" ref="H223">IFERROR(
 INDEX(Master!L$2:L$272,
  SMALL(
   IF(EXACT(Master!$M$2:$M$272,Rosters!$A$192),
    ROW(Master!L$2:L$272)-ROW(Master!L$2)+1
    ),
   ROWS(Master!L$2:'Master'!L31)
  )
 ),"")</f>
        <v/>
      </c>
      <c r="I223" s="8" t="str">
        <f t="array" ref="I223">IFERROR(
 INDEX(Master!Q$2:Q$272,
  SMALL(
   IF(EXACT(Master!$M$2:$M$272,Rosters!$A$192),
    ROW(Master!Q$2:Q$272)-ROW(Master!Q$2)+1
    ),
   ROWS(Master!Q$2:'Master'!Q31)
  )
 ),"")</f>
        <v/>
      </c>
    </row>
    <row r="224" spans="1:9" ht="35.1" customHeight="1" x14ac:dyDescent="0.4">
      <c r="A224" s="3" t="s">
        <v>144</v>
      </c>
      <c r="B224" s="1"/>
      <c r="C224" s="1"/>
      <c r="D224" s="4"/>
      <c r="E224" s="1" t="s">
        <v>972</v>
      </c>
      <c r="F224" s="1" t="s">
        <v>484</v>
      </c>
      <c r="G224" s="4"/>
      <c r="H224" s="4"/>
      <c r="I224" s="35">
        <f ca="1">TODAY()</f>
        <v>46195</v>
      </c>
    </row>
    <row r="225" spans="1:9" ht="31.5" customHeight="1" x14ac:dyDescent="0.25">
      <c r="B225" s="5" t="s">
        <v>103</v>
      </c>
      <c r="C225" s="5" t="s">
        <v>104</v>
      </c>
      <c r="D225" s="5" t="s">
        <v>1624</v>
      </c>
      <c r="E225" s="5" t="s">
        <v>105</v>
      </c>
      <c r="F225" s="5" t="s">
        <v>106</v>
      </c>
      <c r="G225" s="5" t="s">
        <v>107</v>
      </c>
      <c r="H225" s="5" t="s">
        <v>108</v>
      </c>
      <c r="I225" s="6" t="s">
        <v>1</v>
      </c>
    </row>
    <row r="226" spans="1:9" x14ac:dyDescent="0.25">
      <c r="A226" s="7">
        <v>1</v>
      </c>
      <c r="B226" s="8" t="str">
        <f t="array" ref="B226">IFERROR(
 INDEX(Master!C$2:C$272,
  SMALL(
   IF(EXACT(Master!$M$2:$M$272,Rosters!$A$224),
    ROW(Master!C$2:C$272)-ROW(Master!C$2)+1
    ),
   ROWS(Master!C$2:'Master'!C2)
  )
 ),"")</f>
        <v>Aaron</v>
      </c>
      <c r="C226" s="8" t="str">
        <f t="array" ref="C226">IFERROR(
INDEX(Master!D$2:D$272,
SMALL(
IF(EXACT(Master!$M$2:$M$272,Rosters!$A$224),
ROW(Master!D$2:D$272)-ROW(Master!D$2)+1
),
ROWS(Master!D$2:'Master'!D2)
)
),"")</f>
        <v>Bowman</v>
      </c>
      <c r="D226" s="7">
        <f t="array" aca="1" ref="D226" ca="1">IFERROR(
 INDEX(Master!O$2:O$272,
  SMALL(
   IF(EXACT(Master!$M$2:$M$272,Rosters!$A$224),
    ROW(Master!O$2:O$272)-ROW(Master!O$2)+1
    ),
   ROWS(Master!O$2:'Master'!O2)
  )
 ),"")</f>
        <v>41</v>
      </c>
      <c r="E226" s="8" t="str">
        <f t="array" ref="E226">IFERROR(
 INDEX(Master!A$2:A$272,
  SMALL(
   IF(EXACT(Master!$M$2:$M$272,Rosters!$A$224),
    ROW(Master!A$2:A$272)-ROW(Master!A$2)+1
    ),
   ROWS(Master!A$2:'Master'!A2)
  )
 ),"")</f>
        <v>Susan</v>
      </c>
      <c r="F226" s="8" t="str">
        <f t="array" ref="F226">IFERROR(
 INDEX(Master!B$2:B$272,
  SMALL(
   IF(EXACT(Master!$M$2:$M$272,Rosters!$A$224),
    ROW(Master!B$2:B$272)-ROW(Master!B$2)+1
    ),
   ROWS(Master!B$2:'Master'!B2)
  )
 ),"")</f>
        <v>Bowman</v>
      </c>
      <c r="G226" s="7">
        <f t="array" ref="G226">IFERROR(
 INDEX(Master!K$2:K$272,
  SMALL(
   IF(EXACT(Master!$M$2:$M$272,Rosters!$A$224),
    ROW(Master!K$2:K$272)-ROW(Master!K$2)+1
    ),
   ROWS(Master!K$2:'Master'!K2)
  )
 ),"")</f>
        <v>513</v>
      </c>
      <c r="H226" s="7" t="str">
        <f t="array" ref="H226">IFERROR(
 INDEX(Master!L$2:L$272,
  SMALL(
   IF(EXACT(Master!$M$2:$M$272,Rosters!$A$224),
    ROW(Master!L$2:L$272)-ROW(Master!L$2)+1
    ),
   ROWS(Master!L$2:'Master'!L2)
  )
 ),"")</f>
        <v>897-4095</v>
      </c>
      <c r="I226" s="8" t="str">
        <f t="array" ref="I226">IFERROR(
 INDEX(Master!Q$2:Q$272,
  SMALL(
   IF(EXACT(Master!$M$2:$M$272,Rosters!$A$224),
    ROW(Master!Q$2:Q$272)-ROW(Master!Q$2)+1
    ),
   ROWS(Master!Q$2:'Master'!Q2)
  )
 ),"")</f>
        <v>bowmanrsaa@gmail.com</v>
      </c>
    </row>
    <row r="227" spans="1:9" x14ac:dyDescent="0.25">
      <c r="A227" s="7">
        <v>2</v>
      </c>
      <c r="B227" s="8" t="str">
        <f t="array" ref="B227">IFERROR(
 INDEX(Master!C$2:C$272,
  SMALL(
   IF(EXACT(Master!$M$2:$M$272,Rosters!$A$224),
    ROW(Master!C$2:C$272)-ROW(Master!C$2)+1
    ),
   ROWS(Master!C$2:'Master'!C3)
  )
 ),"")</f>
        <v>Fred</v>
      </c>
      <c r="C227" s="8" t="str">
        <f t="array" ref="C227">IFERROR(
INDEX(Master!D$2:D$272,
SMALL(
IF(EXACT(Master!$M$2:$M$272,Rosters!$A$224),
ROW(Master!D$2:D$272)-ROW(Master!D$2)+1
),
ROWS(Master!D$2:'Master'!D3)
)
),"")</f>
        <v>Cairo</v>
      </c>
      <c r="D227" s="7">
        <f t="array" aca="1" ref="D227" ca="1">IFERROR(
 INDEX(Master!O$2:O$272,
  SMALL(
   IF(EXACT(Master!$M$2:$M$272,Rosters!$A$224),
    ROW(Master!O$2:O$272)-ROW(Master!O$2)+1
    ),
   ROWS(Master!O$2:'Master'!O3)
  )
 ),"")</f>
        <v>30</v>
      </c>
      <c r="E227" s="8" t="str">
        <f t="array" ref="E227">IFERROR(
 INDEX(Master!A$2:A$272,
  SMALL(
   IF(EXACT(Master!$M$2:$M$272,Rosters!$A$224),
    ROW(Master!A$2:A$272)-ROW(Master!A$2)+1
    ),
   ROWS(Master!A$2:'Master'!A3)
  )
 ),"")</f>
        <v>Fred/Shirley</v>
      </c>
      <c r="F227" s="8" t="str">
        <f t="array" ref="F227">IFERROR(
 INDEX(Master!B$2:B$272,
  SMALL(
   IF(EXACT(Master!$M$2:$M$272,Rosters!$A$224),
    ROW(Master!B$2:B$272)-ROW(Master!B$2)+1
    ),
   ROWS(Master!B$2:'Master'!B3)
  )
 ),"")</f>
        <v>Cairo</v>
      </c>
      <c r="G227" s="7">
        <f t="array" ref="G227">IFERROR(
 INDEX(Master!K$2:K$272,
  SMALL(
   IF(EXACT(Master!$M$2:$M$272,Rosters!$A$224),
    ROW(Master!K$2:K$272)-ROW(Master!K$2)+1
    ),
   ROWS(Master!K$2:'Master'!K3)
  )
 ),"")</f>
        <v>937</v>
      </c>
      <c r="H227" s="7" t="str">
        <f t="array" ref="H227">IFERROR(
 INDEX(Master!L$2:L$272,
  SMALL(
   IF(EXACT(Master!$M$2:$M$272,Rosters!$A$224),
    ROW(Master!L$2:L$272)-ROW(Master!L$2)+1
    ),
   ROWS(Master!L$2:'Master'!L3)
  )
 ),"")</f>
        <v>254-1577</v>
      </c>
      <c r="I227" s="8" t="str">
        <f t="array" ref="I227">IFERROR(
 INDEX(Master!Q$2:Q$272,
  SMALL(
   IF(EXACT(Master!$M$2:$M$272,Rosters!$A$224),
    ROW(Master!Q$2:Q$272)-ROW(Master!Q$2)+1
    ),
   ROWS(Master!Q$2:'Master'!Q3)
  )
 ),"")</f>
        <v>fscairos@aol.com</v>
      </c>
    </row>
    <row r="228" spans="1:9" x14ac:dyDescent="0.25">
      <c r="A228" s="7">
        <v>3</v>
      </c>
      <c r="B228" s="8" t="str">
        <f t="array" ref="B228">IFERROR(
 INDEX(Master!C$2:C$272,
  SMALL(
   IF(EXACT(Master!$M$2:$M$272,Rosters!$A$224),
    ROW(Master!C$2:C$272)-ROW(Master!C$2)+1
    ),
   ROWS(Master!C$2:'Master'!C4)
  )
 ),"")</f>
        <v>Kendra</v>
      </c>
      <c r="C228" s="8" t="str">
        <f t="array" ref="C228">IFERROR(
INDEX(Master!D$2:D$272,
SMALL(
IF(EXACT(Master!$M$2:$M$272,Rosters!$A$224),
ROW(Master!D$2:D$272)-ROW(Master!D$2)+1
),
ROWS(Master!D$2:'Master'!D4)
)
),"")</f>
        <v>Denlinger</v>
      </c>
      <c r="D228" s="7">
        <f t="array" aca="1" ref="D228" ca="1">IFERROR(
 INDEX(Master!O$2:O$272,
  SMALL(
   IF(EXACT(Master!$M$2:$M$272,Rosters!$A$224),
    ROW(Master!O$2:O$272)-ROW(Master!O$2)+1
    ),
   ROWS(Master!O$2:'Master'!O4)
  )
 ),"")</f>
        <v>33</v>
      </c>
      <c r="E228" s="8" t="str">
        <f t="array" ref="E228">IFERROR(
 INDEX(Master!A$2:A$272,
  SMALL(
   IF(EXACT(Master!$M$2:$M$272,Rosters!$A$224),
    ROW(Master!A$2:A$272)-ROW(Master!A$2)+1
    ),
   ROWS(Master!A$2:'Master'!A4)
  )
 ),"")</f>
        <v>Kathy</v>
      </c>
      <c r="F228" s="8" t="str">
        <f t="array" ref="F228">IFERROR(
 INDEX(Master!B$2:B$272,
  SMALL(
   IF(EXACT(Master!$M$2:$M$272,Rosters!$A$224),
    ROW(Master!B$2:B$272)-ROW(Master!B$2)+1
    ),
   ROWS(Master!B$2:'Master'!B4)
  )
 ),"")</f>
        <v>Denlinger</v>
      </c>
      <c r="G228" s="7">
        <f t="array" ref="G228">IFERROR(
 INDEX(Master!K$2:K$272,
  SMALL(
   IF(EXACT(Master!$M$2:$M$272,Rosters!$A$224),
    ROW(Master!K$2:K$272)-ROW(Master!K$2)+1
    ),
   ROWS(Master!K$2:'Master'!K4)
  )
 ),"")</f>
        <v>937</v>
      </c>
      <c r="H228" s="7" t="str">
        <f t="array" ref="H228">IFERROR(
 INDEX(Master!L$2:L$272,
  SMALL(
   IF(EXACT(Master!$M$2:$M$272,Rosters!$A$224),
    ROW(Master!L$2:L$272)-ROW(Master!L$2)+1
    ),
   ROWS(Master!L$2:'Master'!L4)
  )
 ),"")</f>
        <v>886-5091</v>
      </c>
      <c r="I228" s="8" t="str">
        <f t="array" ref="I228">IFERROR(
 INDEX(Master!Q$2:Q$272,
  SMALL(
   IF(EXACT(Master!$M$2:$M$272,Rosters!$A$224),
    ROW(Master!Q$2:Q$272)-ROW(Master!Q$2)+1
    ),
   ROWS(Master!Q$2:'Master'!Q4)
  )
 ),"")</f>
        <v>kathy@denlinger.us</v>
      </c>
    </row>
    <row r="229" spans="1:9" x14ac:dyDescent="0.25">
      <c r="A229" s="7">
        <v>4</v>
      </c>
      <c r="B229" s="8" t="str">
        <f t="array" ref="B229">IFERROR(
 INDEX(Master!C$2:C$272,
  SMALL(
   IF(EXACT(Master!$M$2:$M$272,Rosters!$A$224),
    ROW(Master!C$2:C$272)-ROW(Master!C$2)+1
    ),
   ROWS(Master!C$2:'Master'!C5)
  )
 ),"")</f>
        <v>Ryan</v>
      </c>
      <c r="C229" s="8" t="str">
        <f t="array" ref="C229">IFERROR(
INDEX(Master!D$2:D$272,
SMALL(
IF(EXACT(Master!$M$2:$M$272,Rosters!$A$224),
ROW(Master!D$2:D$272)-ROW(Master!D$2)+1
),
ROWS(Master!D$2:'Master'!D5)
)
),"")</f>
        <v>DeWine</v>
      </c>
      <c r="D229" s="7">
        <f t="array" aca="1" ref="D229" ca="1">IFERROR(
 INDEX(Master!O$2:O$272,
  SMALL(
   IF(EXACT(Master!$M$2:$M$272,Rosters!$A$224),
    ROW(Master!O$2:O$272)-ROW(Master!O$2)+1
    ),
   ROWS(Master!O$2:'Master'!O5)
  )
 ),"")</f>
        <v>40</v>
      </c>
      <c r="E229" s="8" t="str">
        <f t="array" ref="E229">IFERROR(
 INDEX(Master!A$2:A$272,
  SMALL(
   IF(EXACT(Master!$M$2:$M$272,Rosters!$A$224),
    ROW(Master!A$2:A$272)-ROW(Master!A$2)+1
    ),
   ROWS(Master!A$2:'Master'!A5)
  )
 ),"")</f>
        <v>Lynn</v>
      </c>
      <c r="F229" s="8" t="str">
        <f t="array" ref="F229">IFERROR(
 INDEX(Master!B$2:B$272,
  SMALL(
   IF(EXACT(Master!$M$2:$M$272,Rosters!$A$224),
    ROW(Master!B$2:B$272)-ROW(Master!B$2)+1
    ),
   ROWS(Master!B$2:'Master'!B5)
  )
 ),"")</f>
        <v>DeWine</v>
      </c>
      <c r="G229" s="7">
        <f t="array" ref="G229">IFERROR(
 INDEX(Master!K$2:K$272,
  SMALL(
   IF(EXACT(Master!$M$2:$M$272,Rosters!$A$224),
    ROW(Master!K$2:K$272)-ROW(Master!K$2)+1
    ),
   ROWS(Master!K$2:'Master'!K5)
  )
 ),"")</f>
        <v>937</v>
      </c>
      <c r="H229" s="7" t="str">
        <f t="array" ref="H229">IFERROR(
 INDEX(Master!L$2:L$272,
  SMALL(
   IF(EXACT(Master!$M$2:$M$272,Rosters!$A$224),
    ROW(Master!L$2:L$272)-ROW(Master!L$2)+1
    ),
   ROWS(Master!L$2:'Master'!L5)
  )
 ),"")</f>
        <v>434-6939</v>
      </c>
      <c r="I229" s="8" t="str">
        <f t="array" ref="I229">IFERROR(
 INDEX(Master!Q$2:Q$272,
  SMALL(
   IF(EXACT(Master!$M$2:$M$272,Rosters!$A$224),
    ROW(Master!Q$2:Q$272)-ROW(Master!Q$2)+1
    ),
   ROWS(Master!Q$2:'Master'!Q5)
  )
 ),"")</f>
        <v>lynn.dewine@gmail.com</v>
      </c>
    </row>
    <row r="230" spans="1:9" x14ac:dyDescent="0.25">
      <c r="A230" s="7">
        <v>5</v>
      </c>
      <c r="B230" s="8" t="str">
        <f t="array" ref="B230">IFERROR(
 INDEX(Master!C$2:C$272,
  SMALL(
   IF(EXACT(Master!$M$2:$M$272,Rosters!$A$224),
    ROW(Master!C$2:C$272)-ROW(Master!C$2)+1
    ),
   ROWS(Master!C$2:'Master'!C6)
  )
 ),"")</f>
        <v>Matt</v>
      </c>
      <c r="C230" s="8" t="str">
        <f t="array" ref="C230">IFERROR(
INDEX(Master!D$2:D$272,
SMALL(
IF(EXACT(Master!$M$2:$M$272,Rosters!$A$224),
ROW(Master!D$2:D$272)-ROW(Master!D$2)+1
),
ROWS(Master!D$2:'Master'!D6)
)
),"")</f>
        <v>Dorn</v>
      </c>
      <c r="D230" s="7">
        <f t="array" aca="1" ref="D230" ca="1">IFERROR(
 INDEX(Master!O$2:O$272,
  SMALL(
   IF(EXACT(Master!$M$2:$M$272,Rosters!$A$224),
    ROW(Master!O$2:O$272)-ROW(Master!O$2)+1
    ),
   ROWS(Master!O$2:'Master'!O6)
  )
 ),"")</f>
        <v>36</v>
      </c>
      <c r="E230" s="8" t="str">
        <f t="array" ref="E230">IFERROR(
 INDEX(Master!A$2:A$272,
  SMALL(
   IF(EXACT(Master!$M$2:$M$272,Rosters!$A$224),
    ROW(Master!A$2:A$272)-ROW(Master!A$2)+1
    ),
   ROWS(Master!A$2:'Master'!A6)
  )
 ),"")</f>
        <v>Theresa/Craig</v>
      </c>
      <c r="F230" s="8" t="str">
        <f t="array" ref="F230">IFERROR(
 INDEX(Master!B$2:B$272,
  SMALL(
   IF(EXACT(Master!$M$2:$M$272,Rosters!$A$224),
    ROW(Master!B$2:B$272)-ROW(Master!B$2)+1
    ),
   ROWS(Master!B$2:'Master'!B6)
  )
 ),"")</f>
        <v>Dorn</v>
      </c>
      <c r="G230" s="7">
        <f t="array" ref="G230">IFERROR(
 INDEX(Master!K$2:K$272,
  SMALL(
   IF(EXACT(Master!$M$2:$M$272,Rosters!$A$224),
    ROW(Master!K$2:K$272)-ROW(Master!K$2)+1
    ),
   ROWS(Master!K$2:'Master'!K6)
  )
 ),"")</f>
        <v>937</v>
      </c>
      <c r="H230" s="7" t="str">
        <f t="array" ref="H230">IFERROR(
 INDEX(Master!L$2:L$272,
  SMALL(
   IF(EXACT(Master!$M$2:$M$272,Rosters!$A$224),
    ROW(Master!L$2:L$272)-ROW(Master!L$2)+1
    ),
   ROWS(Master!L$2:'Master'!L6)
  )
 ),"")</f>
        <v>271-3248</v>
      </c>
      <c r="I230" s="8" t="str">
        <f t="array" ref="I230">IFERROR(
 INDEX(Master!Q$2:Q$272,
  SMALL(
   IF(EXACT(Master!$M$2:$M$272,Rosters!$A$224),
    ROW(Master!Q$2:Q$272)-ROW(Master!Q$2)+1
    ),
   ROWS(Master!Q$2:'Master'!Q6)
  )
 ),"")</f>
        <v>theresa.dorn@wright.edu</v>
      </c>
    </row>
    <row r="231" spans="1:9" x14ac:dyDescent="0.25">
      <c r="A231" s="7">
        <v>6</v>
      </c>
      <c r="B231" s="8" t="str">
        <f t="array" ref="B231">IFERROR(
 INDEX(Master!C$2:C$272,
  SMALL(
   IF(EXACT(Master!$M$2:$M$272,Rosters!$A$224),
    ROW(Master!C$2:C$272)-ROW(Master!C$2)+1
    ),
   ROWS(Master!C$2:'Master'!C7)
  )
 ),"")</f>
        <v>Jake</v>
      </c>
      <c r="C231" s="8" t="str">
        <f t="array" ref="C231">IFERROR(
INDEX(Master!D$2:D$272,
SMALL(
IF(EXACT(Master!$M$2:$M$272,Rosters!$A$224),
ROW(Master!D$2:D$272)-ROW(Master!D$2)+1
),
ROWS(Master!D$2:'Master'!D7)
)
),"")</f>
        <v>Everson</v>
      </c>
      <c r="D231" s="7">
        <f t="array" aca="1" ref="D231" ca="1">IFERROR(
 INDEX(Master!O$2:O$272,
  SMALL(
   IF(EXACT(Master!$M$2:$M$272,Rosters!$A$224),
    ROW(Master!O$2:O$272)-ROW(Master!O$2)+1
    ),
   ROWS(Master!O$2:'Master'!O7)
  )
 ),"")</f>
        <v>29</v>
      </c>
      <c r="E231" s="8" t="str">
        <f t="array" ref="E231">IFERROR(
 INDEX(Master!A$2:A$272,
  SMALL(
   IF(EXACT(Master!$M$2:$M$272,Rosters!$A$224),
    ROW(Master!A$2:A$272)-ROW(Master!A$2)+1
    ),
   ROWS(Master!A$2:'Master'!A7)
  )
 ),"")</f>
        <v>Carol/Brian</v>
      </c>
      <c r="F231" s="8" t="str">
        <f t="array" ref="F231">IFERROR(
 INDEX(Master!B$2:B$272,
  SMALL(
   IF(EXACT(Master!$M$2:$M$272,Rosters!$A$224),
    ROW(Master!B$2:B$272)-ROW(Master!B$2)+1
    ),
   ROWS(Master!B$2:'Master'!B7)
  )
 ),"")</f>
        <v>Everson</v>
      </c>
      <c r="G231" s="7">
        <f t="array" ref="G231">IFERROR(
 INDEX(Master!K$2:K$272,
  SMALL(
   IF(EXACT(Master!$M$2:$M$272,Rosters!$A$224),
    ROW(Master!K$2:K$272)-ROW(Master!K$2)+1
    ),
   ROWS(Master!K$2:'Master'!K7)
  )
 ),"")</f>
        <v>937</v>
      </c>
      <c r="H231" s="7" t="str">
        <f t="array" ref="H231">IFERROR(
 INDEX(Master!L$2:L$272,
  SMALL(
   IF(EXACT(Master!$M$2:$M$272,Rosters!$A$224),
    ROW(Master!L$2:L$272)-ROW(Master!L$2)+1
    ),
   ROWS(Master!L$2:'Master'!L7)
  )
 ),"")</f>
        <v>885-7409</v>
      </c>
      <c r="I231" s="8" t="str">
        <f t="array" ref="I231">IFERROR(
 INDEX(Master!Q$2:Q$272,
  SMALL(
   IF(EXACT(Master!$M$2:$M$272,Rosters!$A$224),
    ROW(Master!Q$2:Q$272)-ROW(Master!Q$2)+1
    ),
   ROWS(Master!Q$2:'Master'!Q7)
  )
 ),"")</f>
        <v>carol@everson.com</v>
      </c>
    </row>
    <row r="232" spans="1:9" x14ac:dyDescent="0.25">
      <c r="A232" s="7">
        <v>7</v>
      </c>
      <c r="B232" s="8" t="str">
        <f t="array" ref="B232">IFERROR(
 INDEX(Master!C$2:C$272,
  SMALL(
   IF(EXACT(Master!$M$2:$M$272,Rosters!$A$224),
    ROW(Master!C$2:C$272)-ROW(Master!C$2)+1
    ),
   ROWS(Master!C$2:'Master'!C8)
  )
 ),"")</f>
        <v>Blane</v>
      </c>
      <c r="C232" s="8" t="str">
        <f t="array" ref="C232">IFERROR(
INDEX(Master!D$2:D$272,
SMALL(
IF(EXACT(Master!$M$2:$M$272,Rosters!$A$224),
ROW(Master!D$2:D$272)-ROW(Master!D$2)+1
),
ROWS(Master!D$2:'Master'!D8)
)
),"")</f>
        <v>Gallagher</v>
      </c>
      <c r="D232" s="7">
        <f t="array" aca="1" ref="D232" ca="1">IFERROR(
 INDEX(Master!O$2:O$272,
  SMALL(
   IF(EXACT(Master!$M$2:$M$272,Rosters!$A$224),
    ROW(Master!O$2:O$272)-ROW(Master!O$2)+1
    ),
   ROWS(Master!O$2:'Master'!O8)
  )
 ),"")</f>
        <v>36</v>
      </c>
      <c r="E232" s="8" t="str">
        <f t="array" ref="E232">IFERROR(
 INDEX(Master!A$2:A$272,
  SMALL(
   IF(EXACT(Master!$M$2:$M$272,Rosters!$A$224),
    ROW(Master!A$2:A$272)-ROW(Master!A$2)+1
    ),
   ROWS(Master!A$2:'Master'!A8)
  )
 ),"")</f>
        <v>Erin</v>
      </c>
      <c r="F232" s="8" t="str">
        <f t="array" ref="F232">IFERROR(
 INDEX(Master!B$2:B$272,
  SMALL(
   IF(EXACT(Master!$M$2:$M$272,Rosters!$A$224),
    ROW(Master!B$2:B$272)-ROW(Master!B$2)+1
    ),
   ROWS(Master!B$2:'Master'!B8)
  )
 ),"")</f>
        <v>Hopkins</v>
      </c>
      <c r="G232" s="7">
        <f t="array" ref="G232">IFERROR(
 INDEX(Master!K$2:K$272,
  SMALL(
   IF(EXACT(Master!$M$2:$M$272,Rosters!$A$224),
    ROW(Master!K$2:K$272)-ROW(Master!K$2)+1
    ),
   ROWS(Master!K$2:'Master'!K8)
  )
 ),"")</f>
        <v>740</v>
      </c>
      <c r="H232" s="7" t="str">
        <f t="array" ref="H232">IFERROR(
 INDEX(Master!L$2:L$272,
  SMALL(
   IF(EXACT(Master!$M$2:$M$272,Rosters!$A$224),
    ROW(Master!L$2:L$272)-ROW(Master!L$2)+1
    ),
   ROWS(Master!L$2:'Master'!L8)
  )
 ),"")</f>
        <v>419-2365</v>
      </c>
      <c r="I232" s="8" t="str">
        <f t="array" ref="I232">IFERROR(
 INDEX(Master!Q$2:Q$272,
  SMALL(
   IF(EXACT(Master!$M$2:$M$272,Rosters!$A$224),
    ROW(Master!Q$2:Q$272)-ROW(Master!Q$2)+1
    ),
   ROWS(Master!Q$2:'Master'!Q8)
  )
 ),"")</f>
        <v>evanserin77@gmail.com</v>
      </c>
    </row>
    <row r="233" spans="1:9" x14ac:dyDescent="0.25">
      <c r="A233" s="7">
        <v>8</v>
      </c>
      <c r="B233" s="8" t="str">
        <f t="array" ref="B233">IFERROR(
 INDEX(Master!C$2:C$272,
  SMALL(
   IF(EXACT(Master!$M$2:$M$272,Rosters!$A$224),
    ROW(Master!C$2:C$272)-ROW(Master!C$2)+1
    ),
   ROWS(Master!C$2:'Master'!C9)
  )
 ),"")</f>
        <v>Alexander</v>
      </c>
      <c r="C233" s="8" t="str">
        <f t="array" ref="C233">IFERROR(
INDEX(Master!D$2:D$272,
SMALL(
IF(EXACT(Master!$M$2:$M$272,Rosters!$A$224),
ROW(Master!D$2:D$272)-ROW(Master!D$2)+1
),
ROWS(Master!D$2:'Master'!D9)
)
),"")</f>
        <v>Horton</v>
      </c>
      <c r="D233" s="7">
        <f t="array" aca="1" ref="D233" ca="1">IFERROR(
 INDEX(Master!O$2:O$272,
  SMALL(
   IF(EXACT(Master!$M$2:$M$272,Rosters!$A$224),
    ROW(Master!O$2:O$272)-ROW(Master!O$2)+1
    ),
   ROWS(Master!O$2:'Master'!O9)
  )
 ),"")</f>
        <v>31</v>
      </c>
      <c r="E233" s="8" t="str">
        <f t="array" ref="E233">IFERROR(
 INDEX(Master!A$2:A$272,
  SMALL(
   IF(EXACT(Master!$M$2:$M$272,Rosters!$A$224),
    ROW(Master!A$2:A$272)-ROW(Master!A$2)+1
    ),
   ROWS(Master!A$2:'Master'!A9)
  )
 ),"")</f>
        <v>Chelsea</v>
      </c>
      <c r="F233" s="8" t="str">
        <f t="array" ref="F233">IFERROR(
 INDEX(Master!B$2:B$272,
  SMALL(
   IF(EXACT(Master!$M$2:$M$272,Rosters!$A$224),
    ROW(Master!B$2:B$272)-ROW(Master!B$2)+1
    ),
   ROWS(Master!B$2:'Master'!B9)
  )
 ),"")</f>
        <v>Birkemeier</v>
      </c>
      <c r="G233" s="7">
        <f t="array" ref="G233">IFERROR(
 INDEX(Master!K$2:K$272,
  SMALL(
   IF(EXACT(Master!$M$2:$M$272,Rosters!$A$224),
    ROW(Master!K$2:K$272)-ROW(Master!K$2)+1
    ),
   ROWS(Master!K$2:'Master'!K9)
  )
 ),"")</f>
        <v>937</v>
      </c>
      <c r="H233" s="7" t="str">
        <f t="array" ref="H233">IFERROR(
 INDEX(Master!L$2:L$272,
  SMALL(
   IF(EXACT(Master!$M$2:$M$272,Rosters!$A$224),
    ROW(Master!L$2:L$272)-ROW(Master!L$2)+1
    ),
   ROWS(Master!L$2:'Master'!L9)
  )
 ),"")</f>
        <v>545-2008</v>
      </c>
      <c r="I233" s="8" t="str">
        <f t="array" ref="I233">IFERROR(
 INDEX(Master!Q$2:Q$272,
  SMALL(
   IF(EXACT(Master!$M$2:$M$272,Rosters!$A$224),
    ROW(Master!Q$2:Q$272)-ROW(Master!Q$2)+1
    ),
   ROWS(Master!Q$2:'Master'!Q9)
  )
 ),"")</f>
        <v>cab1034@aol.com</v>
      </c>
    </row>
    <row r="234" spans="1:9" x14ac:dyDescent="0.25">
      <c r="A234" s="7">
        <v>9</v>
      </c>
      <c r="B234" s="8" t="str">
        <f t="array" ref="B234">IFERROR(
 INDEX(Master!C$2:C$272,
  SMALL(
   IF(EXACT(Master!$M$2:$M$272,Rosters!$A$224),
    ROW(Master!C$2:C$272)-ROW(Master!C$2)+1
    ),
   ROWS(Master!C$2:'Master'!C10)
  )
 ),"")</f>
        <v>Annie</v>
      </c>
      <c r="C234" s="8" t="str">
        <f t="array" ref="C234">IFERROR(
INDEX(Master!D$2:D$272,
SMALL(
IF(EXACT(Master!$M$2:$M$272,Rosters!$A$224),
ROW(Master!D$2:D$272)-ROW(Master!D$2)+1
),
ROWS(Master!D$2:'Master'!D10)
)
),"")</f>
        <v>Jansen</v>
      </c>
      <c r="D234" s="7">
        <f t="array" aca="1" ref="D234" ca="1">IFERROR(
 INDEX(Master!O$2:O$272,
  SMALL(
   IF(EXACT(Master!$M$2:$M$272,Rosters!$A$224),
    ROW(Master!O$2:O$272)-ROW(Master!O$2)+1
    ),
   ROWS(Master!O$2:'Master'!O10)
  )
 ),"")</f>
        <v>30</v>
      </c>
      <c r="E234" s="8" t="str">
        <f t="array" ref="E234">IFERROR(
 INDEX(Master!A$2:A$272,
  SMALL(
   IF(EXACT(Master!$M$2:$M$272,Rosters!$A$224),
    ROW(Master!A$2:A$272)-ROW(Master!A$2)+1
    ),
   ROWS(Master!A$2:'Master'!A10)
  )
 ),"")</f>
        <v>Gretcen</v>
      </c>
      <c r="F234" s="8" t="str">
        <f t="array" ref="F234">IFERROR(
 INDEX(Master!B$2:B$272,
  SMALL(
   IF(EXACT(Master!$M$2:$M$272,Rosters!$A$224),
    ROW(Master!B$2:B$272)-ROW(Master!B$2)+1
    ),
   ROWS(Master!B$2:'Master'!B10)
  )
 ),"")</f>
        <v>Jansen</v>
      </c>
      <c r="G234" s="7">
        <f t="array" ref="G234">IFERROR(
 INDEX(Master!K$2:K$272,
  SMALL(
   IF(EXACT(Master!$M$2:$M$272,Rosters!$A$224),
    ROW(Master!K$2:K$272)-ROW(Master!K$2)+1
    ),
   ROWS(Master!K$2:'Master'!K10)
  )
 ),"")</f>
        <v>937</v>
      </c>
      <c r="H234" s="7" t="str">
        <f t="array" ref="H234">IFERROR(
 INDEX(Master!L$2:L$272,
  SMALL(
   IF(EXACT(Master!$M$2:$M$272,Rosters!$A$224),
    ROW(Master!L$2:L$272)-ROW(Master!L$2)+1
    ),
   ROWS(Master!L$2:'Master'!L10)
  )
 ),"")</f>
        <v>681-9459</v>
      </c>
      <c r="I234" s="8" t="str">
        <f t="array" ref="I234">IFERROR(
 INDEX(Master!Q$2:Q$272,
  SMALL(
   IF(EXACT(Master!$M$2:$M$272,Rosters!$A$224),
    ROW(Master!Q$2:Q$272)-ROW(Master!Q$2)+1
    ),
   ROWS(Master!Q$2:'Master'!Q10)
  )
 ),"")</f>
        <v>gretchen.jansen@centerville.k12.0h.us</v>
      </c>
    </row>
    <row r="235" spans="1:9" x14ac:dyDescent="0.25">
      <c r="A235" s="7">
        <v>10</v>
      </c>
      <c r="B235" s="8" t="str">
        <f t="array" ref="B235">IFERROR(
 INDEX(Master!C$2:C$272,
  SMALL(
   IF(EXACT(Master!$M$2:$M$272,Rosters!$A$224),
    ROW(Master!C$2:C$272)-ROW(Master!C$2)+1
    ),
   ROWS(Master!C$2:'Master'!C11)
  )
 ),"")</f>
        <v>Aaron</v>
      </c>
      <c r="C235" s="8" t="str">
        <f t="array" ref="C235">IFERROR(
INDEX(Master!D$2:D$272,
SMALL(
IF(EXACT(Master!$M$2:$M$272,Rosters!$A$224),
ROW(Master!D$2:D$272)-ROW(Master!D$2)+1
),
ROWS(Master!D$2:'Master'!D11)
)
),"")</f>
        <v>Marshall</v>
      </c>
      <c r="D235" s="7">
        <f t="array" aca="1" ref="D235" ca="1">IFERROR(
 INDEX(Master!O$2:O$272,
  SMALL(
   IF(EXACT(Master!$M$2:$M$272,Rosters!$A$224),
    ROW(Master!O$2:O$272)-ROW(Master!O$2)+1
    ),
   ROWS(Master!O$2:'Master'!O11)
  )
 ),"")</f>
        <v>42</v>
      </c>
      <c r="E235" s="8" t="str">
        <f t="array" ref="E235">IFERROR(
 INDEX(Master!A$2:A$272,
  SMALL(
   IF(EXACT(Master!$M$2:$M$272,Rosters!$A$224),
    ROW(Master!A$2:A$272)-ROW(Master!A$2)+1
    ),
   ROWS(Master!A$2:'Master'!A11)
  )
 ),"")</f>
        <v>Gale/Aaron</v>
      </c>
      <c r="F235" s="8" t="str">
        <f t="array" ref="F235">IFERROR(
 INDEX(Master!B$2:B$272,
  SMALL(
   IF(EXACT(Master!$M$2:$M$272,Rosters!$A$224),
    ROW(Master!B$2:B$272)-ROW(Master!B$2)+1
    ),
   ROWS(Master!B$2:'Master'!B11)
  )
 ),"")</f>
        <v>Marshall</v>
      </c>
      <c r="G235" s="7">
        <f t="array" ref="G235">IFERROR(
 INDEX(Master!K$2:K$272,
  SMALL(
   IF(EXACT(Master!$M$2:$M$272,Rosters!$A$224),
    ROW(Master!K$2:K$272)-ROW(Master!K$2)+1
    ),
   ROWS(Master!K$2:'Master'!K11)
  )
 ),"")</f>
        <v>937</v>
      </c>
      <c r="H235" s="7" t="str">
        <f t="array" ref="H235">IFERROR(
 INDEX(Master!L$2:L$272,
  SMALL(
   IF(EXACT(Master!$M$2:$M$272,Rosters!$A$224),
    ROW(Master!L$2:L$272)-ROW(Master!L$2)+1
    ),
   ROWS(Master!L$2:'Master'!L11)
  )
 ),"")</f>
        <v>531-2903</v>
      </c>
      <c r="I235" s="8" t="str">
        <f t="array" ref="I235">IFERROR(
 INDEX(Master!Q$2:Q$272,
  SMALL(
   IF(EXACT(Master!$M$2:$M$272,Rosters!$A$224),
    ROW(Master!Q$2:Q$272)-ROW(Master!Q$2)+1
    ),
   ROWS(Master!Q$2:'Master'!Q11)
  )
 ),"")</f>
        <v>galem_99@yahoo.com</v>
      </c>
    </row>
    <row r="236" spans="1:9" x14ac:dyDescent="0.25">
      <c r="A236" s="7">
        <v>11</v>
      </c>
      <c r="B236" s="8" t="str">
        <f t="array" ref="B236">IFERROR(
 INDEX(Master!C$2:C$272,
  SMALL(
   IF(EXACT(Master!$M$2:$M$272,Rosters!$A$224),
    ROW(Master!C$2:C$272)-ROW(Master!C$2)+1
    ),
   ROWS(Master!C$2:'Master'!C12)
  )
 ),"")</f>
        <v>Joe</v>
      </c>
      <c r="C236" s="8" t="str">
        <f t="array" ref="C236">IFERROR(
INDEX(Master!D$2:D$272,
SMALL(
IF(EXACT(Master!$M$2:$M$272,Rosters!$A$224),
ROW(Master!D$2:D$272)-ROW(Master!D$2)+1
),
ROWS(Master!D$2:'Master'!D12)
)
),"")</f>
        <v>Nartker</v>
      </c>
      <c r="D236" s="7">
        <f t="array" aca="1" ref="D236" ca="1">IFERROR(
 INDEX(Master!O$2:O$272,
  SMALL(
   IF(EXACT(Master!$M$2:$M$272,Rosters!$A$224),
    ROW(Master!O$2:O$272)-ROW(Master!O$2)+1
    ),
   ROWS(Master!O$2:'Master'!O12)
  )
 ),"")</f>
        <v>41</v>
      </c>
      <c r="E236" s="8" t="str">
        <f t="array" ref="E236">IFERROR(
 INDEX(Master!A$2:A$272,
  SMALL(
   IF(EXACT(Master!$M$2:$M$272,Rosters!$A$224),
    ROW(Master!A$2:A$272)-ROW(Master!A$2)+1
    ),
   ROWS(Master!A$2:'Master'!A12)
  )
 ),"")</f>
        <v>Catherine/Lawrence</v>
      </c>
      <c r="F236" s="8" t="str">
        <f t="array" ref="F236">IFERROR(
 INDEX(Master!B$2:B$272,
  SMALL(
   IF(EXACT(Master!$M$2:$M$272,Rosters!$A$224),
    ROW(Master!B$2:B$272)-ROW(Master!B$2)+1
    ),
   ROWS(Master!B$2:'Master'!B12)
  )
 ),"")</f>
        <v>Nartker</v>
      </c>
      <c r="G236" s="7">
        <f t="array" ref="G236">IFERROR(
 INDEX(Master!K$2:K$272,
  SMALL(
   IF(EXACT(Master!$M$2:$M$272,Rosters!$A$224),
    ROW(Master!K$2:K$272)-ROW(Master!K$2)+1
    ),
   ROWS(Master!K$2:'Master'!K12)
  )
 ),"")</f>
        <v>937</v>
      </c>
      <c r="H236" s="7" t="str">
        <f t="array" ref="H236">IFERROR(
 INDEX(Master!L$2:L$272,
  SMALL(
   IF(EXACT(Master!$M$2:$M$272,Rosters!$A$224),
    ROW(Master!L$2:L$272)-ROW(Master!L$2)+1
    ),
   ROWS(Master!L$2:'Master'!L12)
  )
 ),"")</f>
        <v>291-3480</v>
      </c>
      <c r="I236" s="8" t="str">
        <f t="array" ref="I236">IFERROR(
 INDEX(Master!Q$2:Q$272,
  SMALL(
   IF(EXACT(Master!$M$2:$M$272,Rosters!$A$224),
    ROW(Master!Q$2:Q$272)-ROW(Master!Q$2)+1
    ),
   ROWS(Master!Q$2:'Master'!Q12)
  )
 ),"")</f>
        <v>narlcj@hotmail.com</v>
      </c>
    </row>
    <row r="237" spans="1:9" x14ac:dyDescent="0.25">
      <c r="A237" s="7">
        <v>12</v>
      </c>
      <c r="B237" s="8" t="str">
        <f t="array" ref="B237">IFERROR(
 INDEX(Master!C$2:C$272,
  SMALL(
   IF(EXACT(Master!$M$2:$M$272,Rosters!$A$224),
    ROW(Master!C$2:C$272)-ROW(Master!C$2)+1
    ),
   ROWS(Master!C$2:'Master'!C13)
  )
 ),"")</f>
        <v>Shanae</v>
      </c>
      <c r="C237" s="8" t="str">
        <f t="array" ref="C237">IFERROR(
INDEX(Master!D$2:D$272,
SMALL(
IF(EXACT(Master!$M$2:$M$272,Rosters!$A$224),
ROW(Master!D$2:D$272)-ROW(Master!D$2)+1
),
ROWS(Master!D$2:'Master'!D13)
)
),"")</f>
        <v>Nicholes</v>
      </c>
      <c r="D237" s="7">
        <f t="array" aca="1" ref="D237" ca="1">IFERROR(
 INDEX(Master!O$2:O$272,
  SMALL(
   IF(EXACT(Master!$M$2:$M$272,Rosters!$A$224),
    ROW(Master!O$2:O$272)-ROW(Master!O$2)+1
    ),
   ROWS(Master!O$2:'Master'!O13)
  )
 ),"")</f>
        <v>30</v>
      </c>
      <c r="E237" s="8" t="str">
        <f t="array" ref="E237">IFERROR(
 INDEX(Master!A$2:A$272,
  SMALL(
   IF(EXACT(Master!$M$2:$M$272,Rosters!$A$224),
    ROW(Master!A$2:A$272)-ROW(Master!A$2)+1
    ),
   ROWS(Master!A$2:'Master'!A13)
  )
 ),"")</f>
        <v>Miranda</v>
      </c>
      <c r="F237" s="8" t="str">
        <f t="array" ref="F237">IFERROR(
 INDEX(Master!B$2:B$272,
  SMALL(
   IF(EXACT(Master!$M$2:$M$272,Rosters!$A$224),
    ROW(Master!B$2:B$272)-ROW(Master!B$2)+1
    ),
   ROWS(Master!B$2:'Master'!B13)
  )
 ),"")</f>
        <v>Dyer</v>
      </c>
      <c r="G237" s="7">
        <f t="array" ref="G237">IFERROR(
 INDEX(Master!K$2:K$272,
  SMALL(
   IF(EXACT(Master!$M$2:$M$272,Rosters!$A$224),
    ROW(Master!K$2:K$272)-ROW(Master!K$2)+1
    ),
   ROWS(Master!K$2:'Master'!K13)
  )
 ),"")</f>
        <v>937</v>
      </c>
      <c r="H237" s="7" t="str">
        <f t="array" ref="H237">IFERROR(
 INDEX(Master!L$2:L$272,
  SMALL(
   IF(EXACT(Master!$M$2:$M$272,Rosters!$A$224),
    ROW(Master!L$2:L$272)-ROW(Master!L$2)+1
    ),
   ROWS(Master!L$2:'Master'!L13)
  )
 ),"")</f>
        <v>986-8670</v>
      </c>
      <c r="I237" s="8" t="str">
        <f t="array" ref="I237">IFERROR(
 INDEX(Master!Q$2:Q$272,
  SMALL(
   IF(EXACT(Master!$M$2:$M$272,Rosters!$A$224),
    ROW(Master!Q$2:Q$272)-ROW(Master!Q$2)+1
    ),
   ROWS(Master!Q$2:'Master'!Q13)
  )
 ),"")</f>
        <v>shanae-nicholes@ti-inc.org</v>
      </c>
    </row>
    <row r="238" spans="1:9" x14ac:dyDescent="0.25">
      <c r="A238" s="7">
        <v>13</v>
      </c>
      <c r="B238" s="8" t="str">
        <f t="array" ref="B238">IFERROR(
 INDEX(Master!C$2:C$272,
  SMALL(
   IF(EXACT(Master!$M$2:$M$272,Rosters!$A$224),
    ROW(Master!C$2:C$272)-ROW(Master!C$2)+1
    ),
   ROWS(Master!C$2:'Master'!C14)
  )
 ),"")</f>
        <v>Crislyn</v>
      </c>
      <c r="C238" s="8" t="str">
        <f t="array" ref="C238">IFERROR(
INDEX(Master!D$2:D$272,
SMALL(
IF(EXACT(Master!$M$2:$M$272,Rosters!$A$224),
ROW(Master!D$2:D$272)-ROW(Master!D$2)+1
),
ROWS(Master!D$2:'Master'!D14)
)
),"")</f>
        <v>Sayger</v>
      </c>
      <c r="D238" s="7">
        <f t="array" aca="1" ref="D238" ca="1">IFERROR(
 INDEX(Master!O$2:O$272,
  SMALL(
   IF(EXACT(Master!$M$2:$M$272,Rosters!$A$224),
    ROW(Master!O$2:O$272)-ROW(Master!O$2)+1
    ),
   ROWS(Master!O$2:'Master'!O14)
  )
 ),"")</f>
        <v>35</v>
      </c>
      <c r="E238" s="8" t="str">
        <f t="array" ref="E238">IFERROR(
 INDEX(Master!A$2:A$272,
  SMALL(
   IF(EXACT(Master!$M$2:$M$272,Rosters!$A$224),
    ROW(Master!A$2:A$272)-ROW(Master!A$2)+1
    ),
   ROWS(Master!A$2:'Master'!A14)
  )
 ),"")</f>
        <v>Tony/Judith</v>
      </c>
      <c r="F238" s="8" t="str">
        <f t="array" ref="F238">IFERROR(
 INDEX(Master!B$2:B$272,
  SMALL(
   IF(EXACT(Master!$M$2:$M$272,Rosters!$A$224),
    ROW(Master!B$2:B$272)-ROW(Master!B$2)+1
    ),
   ROWS(Master!B$2:'Master'!B14)
  )
 ),"")</f>
        <v>Sayger</v>
      </c>
      <c r="G238" s="7">
        <f t="array" ref="G238">IFERROR(
 INDEX(Master!K$2:K$272,
  SMALL(
   IF(EXACT(Master!$M$2:$M$272,Rosters!$A$224),
    ROW(Master!K$2:K$272)-ROW(Master!K$2)+1
    ),
   ROWS(Master!K$2:'Master'!K14)
  )
 ),"")</f>
        <v>937</v>
      </c>
      <c r="H238" s="7" t="str">
        <f t="array" ref="H238">IFERROR(
 INDEX(Master!L$2:L$272,
  SMALL(
   IF(EXACT(Master!$M$2:$M$272,Rosters!$A$224),
    ROW(Master!L$2:L$272)-ROW(Master!L$2)+1
    ),
   ROWS(Master!L$2:'Master'!L14)
  )
 ),"")</f>
        <v>848-4046</v>
      </c>
      <c r="I238" s="8" t="str">
        <f t="array" ref="I238">IFERROR(
 INDEX(Master!Q$2:Q$272,
  SMALL(
   IF(EXACT(Master!$M$2:$M$272,Rosters!$A$224),
    ROW(Master!Q$2:Q$272)-ROW(Master!Q$2)+1
    ),
   ROWS(Master!Q$2:'Master'!Q14)
  )
 ),"")</f>
        <v>tonysayger581@gmail.com</v>
      </c>
    </row>
    <row r="239" spans="1:9" x14ac:dyDescent="0.25">
      <c r="A239" s="7">
        <v>14</v>
      </c>
      <c r="B239" s="8" t="str">
        <f t="array" ref="B239">IFERROR(
 INDEX(Master!C$2:C$272,
  SMALL(
   IF(EXACT(Master!$M$2:$M$272,Rosters!$A$224),
    ROW(Master!C$2:C$272)-ROW(Master!C$2)+1
    ),
   ROWS(Master!C$2:'Master'!C15)
  )
 ),"")</f>
        <v>Erik</v>
      </c>
      <c r="C239" s="8" t="str">
        <f t="array" ref="C239">IFERROR(
INDEX(Master!D$2:D$272,
SMALL(
IF(EXACT(Master!$M$2:$M$272,Rosters!$A$224),
ROW(Master!D$2:D$272)-ROW(Master!D$2)+1
),
ROWS(Master!D$2:'Master'!D15)
)
),"")</f>
        <v>Sink</v>
      </c>
      <c r="D239" s="7">
        <f t="array" aca="1" ref="D239" ca="1">IFERROR(
 INDEX(Master!O$2:O$272,
  SMALL(
   IF(EXACT(Master!$M$2:$M$272,Rosters!$A$224),
    ROW(Master!O$2:O$272)-ROW(Master!O$2)+1
    ),
   ROWS(Master!O$2:'Master'!O15)
  )
 ),"")</f>
        <v>45</v>
      </c>
      <c r="E239" s="8" t="str">
        <f t="array" ref="E239">IFERROR(
 INDEX(Master!A$2:A$272,
  SMALL(
   IF(EXACT(Master!$M$2:$M$272,Rosters!$A$224),
    ROW(Master!A$2:A$272)-ROW(Master!A$2)+1
    ),
   ROWS(Master!A$2:'Master'!A15)
  )
 ),"")</f>
        <v>Connie</v>
      </c>
      <c r="F239" s="8" t="str">
        <f t="array" ref="F239">IFERROR(
 INDEX(Master!B$2:B$272,
  SMALL(
   IF(EXACT(Master!$M$2:$M$272,Rosters!$A$224),
    ROW(Master!B$2:B$272)-ROW(Master!B$2)+1
    ),
   ROWS(Master!B$2:'Master'!B15)
  )
 ),"")</f>
        <v>Sink</v>
      </c>
      <c r="G239" s="7">
        <f t="array" ref="G239">IFERROR(
 INDEX(Master!K$2:K$272,
  SMALL(
   IF(EXACT(Master!$M$2:$M$272,Rosters!$A$224),
    ROW(Master!K$2:K$272)-ROW(Master!K$2)+1
    ),
   ROWS(Master!K$2:'Master'!K15)
  )
 ),"")</f>
        <v>937</v>
      </c>
      <c r="H239" s="7" t="str">
        <f t="array" ref="H239">IFERROR(
 INDEX(Master!L$2:L$272,
  SMALL(
   IF(EXACT(Master!$M$2:$M$272,Rosters!$A$224),
    ROW(Master!L$2:L$272)-ROW(Master!L$2)+1
    ),
   ROWS(Master!L$2:'Master'!L15)
  )
 ),"")</f>
        <v>294-7094</v>
      </c>
      <c r="I239" s="8" t="str">
        <f t="array" ref="I239">IFERROR(
 INDEX(Master!Q$2:Q$272,
  SMALL(
   IF(EXACT(Master!$M$2:$M$272,Rosters!$A$224),
    ROW(Master!Q$2:Q$272)-ROW(Master!Q$2)+1
    ),
   ROWS(Master!Q$2:'Master'!Q15)
  )
 ),"")</f>
        <v>ohiosink7@aol.com</v>
      </c>
    </row>
    <row r="240" spans="1:9" x14ac:dyDescent="0.25">
      <c r="A240" s="7">
        <v>15</v>
      </c>
      <c r="B240" s="8" t="str">
        <f t="array" ref="B240">IFERROR(
 INDEX(Master!C$2:C$272,
  SMALL(
   IF(EXACT(Master!$M$2:$M$272,Rosters!$A$224),
    ROW(Master!C$2:C$272)-ROW(Master!C$2)+1
    ),
   ROWS(Master!C$2:'Master'!C16)
  )
 ),"")</f>
        <v>Brianne</v>
      </c>
      <c r="C240" s="8" t="str">
        <f t="array" ref="C240">IFERROR(
INDEX(Master!D$2:D$272,
SMALL(
IF(EXACT(Master!$M$2:$M$272,Rosters!$A$224),
ROW(Master!D$2:D$272)-ROW(Master!D$2)+1
),
ROWS(Master!D$2:'Master'!D16)
)
),"")</f>
        <v>Slusher</v>
      </c>
      <c r="D240" s="7">
        <f t="array" aca="1" ref="D240" ca="1">IFERROR(
 INDEX(Master!O$2:O$272,
  SMALL(
   IF(EXACT(Master!$M$2:$M$272,Rosters!$A$224),
    ROW(Master!O$2:O$272)-ROW(Master!O$2)+1
    ),
   ROWS(Master!O$2:'Master'!O16)
  )
 ),"")</f>
        <v>36</v>
      </c>
      <c r="E240" s="8" t="str">
        <f t="array" ref="E240">IFERROR(
 INDEX(Master!A$2:A$272,
  SMALL(
   IF(EXACT(Master!$M$2:$M$272,Rosters!$A$224),
    ROW(Master!A$2:A$272)-ROW(Master!A$2)+1
    ),
   ROWS(Master!A$2:'Master'!A16)
  )
 ),"")</f>
        <v>Judith</v>
      </c>
      <c r="F240" s="8" t="str">
        <f t="array" ref="F240">IFERROR(
 INDEX(Master!B$2:B$272,
  SMALL(
   IF(EXACT(Master!$M$2:$M$272,Rosters!$A$224),
    ROW(Master!B$2:B$272)-ROW(Master!B$2)+1
    ),
   ROWS(Master!B$2:'Master'!B16)
  )
 ),"")</f>
        <v>Slusher</v>
      </c>
      <c r="G240" s="7">
        <f t="array" ref="G240">IFERROR(
 INDEX(Master!K$2:K$272,
  SMALL(
   IF(EXACT(Master!$M$2:$M$272,Rosters!$A$224),
    ROW(Master!K$2:K$272)-ROW(Master!K$2)+1
    ),
   ROWS(Master!K$2:'Master'!K16)
  )
 ),"")</f>
        <v>937</v>
      </c>
      <c r="H240" s="7" t="str">
        <f t="array" ref="H240">IFERROR(
 INDEX(Master!L$2:L$272,
  SMALL(
   IF(EXACT(Master!$M$2:$M$272,Rosters!$A$224),
    ROW(Master!L$2:L$272)-ROW(Master!L$2)+1
    ),
   ROWS(Master!L$2:'Master'!L16)
  )
 ),"")</f>
        <v>885-5951</v>
      </c>
      <c r="I240" s="8" t="str">
        <f t="array" ref="I240">IFERROR(
 INDEX(Master!Q$2:Q$272,
  SMALL(
   IF(EXACT(Master!$M$2:$M$272,Rosters!$A$224),
    ROW(Master!Q$2:Q$272)-ROW(Master!Q$2)+1
    ),
   ROWS(Master!Q$2:'Master'!Q16)
  )
 ),"")</f>
        <v>jcslush@yahoo.com</v>
      </c>
    </row>
    <row r="241" spans="1:9" x14ac:dyDescent="0.25">
      <c r="A241" s="7">
        <v>16</v>
      </c>
      <c r="B241" s="8" t="str">
        <f t="array" ref="B241">IFERROR(
 INDEX(Master!C$2:C$272,
  SMALL(
   IF(EXACT(Master!$M$2:$M$272,Rosters!$A$224),
    ROW(Master!C$2:C$272)-ROW(Master!C$2)+1
    ),
   ROWS(Master!C$2:'Master'!C17)
  )
 ),"")</f>
        <v>Scott</v>
      </c>
      <c r="C241" s="8" t="str">
        <f t="array" ref="C241">IFERROR(
INDEX(Master!D$2:D$272,
SMALL(
IF(EXACT(Master!$M$2:$M$272,Rosters!$A$224),
ROW(Master!D$2:D$272)-ROW(Master!D$2)+1
),
ROWS(Master!D$2:'Master'!D17)
)
),"")</f>
        <v>Thorner</v>
      </c>
      <c r="D241" s="7">
        <f t="array" aca="1" ref="D241" ca="1">IFERROR(
 INDEX(Master!O$2:O$272,
  SMALL(
   IF(EXACT(Master!$M$2:$M$272,Rosters!$A$224),
    ROW(Master!O$2:O$272)-ROW(Master!O$2)+1
    ),
   ROWS(Master!O$2:'Master'!O17)
  )
 ),"")</f>
        <v>27</v>
      </c>
      <c r="E241" s="8" t="str">
        <f t="array" ref="E241">IFERROR(
 INDEX(Master!A$2:A$272,
  SMALL(
   IF(EXACT(Master!$M$2:$M$272,Rosters!$A$224),
    ROW(Master!A$2:A$272)-ROW(Master!A$2)+1
    ),
   ROWS(Master!A$2:'Master'!A17)
  )
 ),"")</f>
        <v>Julie</v>
      </c>
      <c r="F241" s="8" t="str">
        <f t="array" ref="F241">IFERROR(
 INDEX(Master!B$2:B$272,
  SMALL(
   IF(EXACT(Master!$M$2:$M$272,Rosters!$A$224),
    ROW(Master!B$2:B$272)-ROW(Master!B$2)+1
    ),
   ROWS(Master!B$2:'Master'!B17)
  )
 ),"")</f>
        <v>Thorner</v>
      </c>
      <c r="G241" s="7">
        <f t="array" ref="G241">IFERROR(
 INDEX(Master!K$2:K$272,
  SMALL(
   IF(EXACT(Master!$M$2:$M$272,Rosters!$A$224),
    ROW(Master!K$2:K$272)-ROW(Master!K$2)+1
    ),
   ROWS(Master!K$2:'Master'!K17)
  )
 ),"")</f>
        <v>937</v>
      </c>
      <c r="H241" s="7" t="str">
        <f t="array" ref="H241">IFERROR(
 INDEX(Master!L$2:L$272,
  SMALL(
   IF(EXACT(Master!$M$2:$M$272,Rosters!$A$224),
    ROW(Master!L$2:L$272)-ROW(Master!L$2)+1
    ),
   ROWS(Master!L$2:'Master'!L17)
  )
 ),"")</f>
        <v>305-1776</v>
      </c>
      <c r="I241" s="8" t="str">
        <f t="array" ref="I241">IFERROR(
 INDEX(Master!Q$2:Q$272,
  SMALL(
   IF(EXACT(Master!$M$2:$M$272,Rosters!$A$224),
    ROW(Master!Q$2:Q$272)-ROW(Master!Q$2)+1
    ),
   ROWS(Master!Q$2:'Master'!Q17)
  )
 ),"")</f>
        <v>jlthorner@aol.com</v>
      </c>
    </row>
    <row r="242" spans="1:9" x14ac:dyDescent="0.25">
      <c r="A242" s="7">
        <v>17</v>
      </c>
      <c r="B242" s="8" t="str">
        <f t="array" ref="B242">IFERROR(
 INDEX(Master!C$2:C$272,
  SMALL(
   IF(EXACT(Master!$M$2:$M$272,Rosters!$A$224),
    ROW(Master!C$2:C$272)-ROW(Master!C$2)+1
    ),
   ROWS(Master!C$2:'Master'!C18)
  )
 ),"")</f>
        <v>Joseph</v>
      </c>
      <c r="C242" s="8" t="str">
        <f t="array" ref="C242">IFERROR(
INDEX(Master!D$2:D$272,
SMALL(
IF(EXACT(Master!$M$2:$M$272,Rosters!$A$224),
ROW(Master!D$2:D$272)-ROW(Master!D$2)+1
),
ROWS(Master!D$2:'Master'!D18)
)
),"")</f>
        <v>Vorsteg Jr</v>
      </c>
      <c r="D242" s="7">
        <f t="array" aca="1" ref="D242" ca="1">IFERROR(
 INDEX(Master!O$2:O$272,
  SMALL(
   IF(EXACT(Master!$M$2:$M$272,Rosters!$A$224),
    ROW(Master!O$2:O$272)-ROW(Master!O$2)+1
    ),
   ROWS(Master!O$2:'Master'!O18)
  )
 ),"")</f>
        <v>35</v>
      </c>
      <c r="E242" s="8" t="str">
        <f t="array" ref="E242">IFERROR(
 INDEX(Master!A$2:A$272,
  SMALL(
   IF(EXACT(Master!$M$2:$M$272,Rosters!$A$224),
    ROW(Master!A$2:A$272)-ROW(Master!A$2)+1
    ),
   ROWS(Master!A$2:'Master'!A18)
  )
 ),"")</f>
        <v>Joseph/Julie</v>
      </c>
      <c r="F242" s="8" t="str">
        <f t="array" ref="F242">IFERROR(
 INDEX(Master!B$2:B$272,
  SMALL(
   IF(EXACT(Master!$M$2:$M$272,Rosters!$A$224),
    ROW(Master!B$2:B$272)-ROW(Master!B$2)+1
    ),
   ROWS(Master!B$2:'Master'!B18)
  )
 ),"")</f>
        <v>Vorsteg</v>
      </c>
      <c r="G242" s="7">
        <f t="array" ref="G242">IFERROR(
 INDEX(Master!K$2:K$272,
  SMALL(
   IF(EXACT(Master!$M$2:$M$272,Rosters!$A$224),
    ROW(Master!K$2:K$272)-ROW(Master!K$2)+1
    ),
   ROWS(Master!K$2:'Master'!K18)
  )
 ),"")</f>
        <v>937</v>
      </c>
      <c r="H242" s="7" t="str">
        <f t="array" ref="H242">IFERROR(
 INDEX(Master!L$2:L$272,
  SMALL(
   IF(EXACT(Master!$M$2:$M$272,Rosters!$A$224),
    ROW(Master!L$2:L$272)-ROW(Master!L$2)+1
    ),
   ROWS(Master!L$2:'Master'!L18)
  )
 ),"")</f>
        <v>252-2044</v>
      </c>
      <c r="I242" s="8" t="str">
        <f t="array" ref="I242">IFERROR(
 INDEX(Master!Q$2:Q$272,
  SMALL(
   IF(EXACT(Master!$M$2:$M$272,Rosters!$A$224),
    ROW(Master!Q$2:Q$272)-ROW(Master!Q$2)+1
    ),
   ROWS(Master!Q$2:'Master'!Q18)
  )
 ),"")</f>
        <v>joseph.vorsteg90@gmail.com</v>
      </c>
    </row>
    <row r="243" spans="1:9" x14ac:dyDescent="0.25">
      <c r="A243" s="7">
        <v>18</v>
      </c>
      <c r="B243" s="8" t="str">
        <f t="array" ref="B243">IFERROR(
 INDEX(Master!C$2:C$272,
  SMALL(
   IF(EXACT(Master!$M$2:$M$272,Rosters!$A$224),
    ROW(Master!C$2:C$272)-ROW(Master!C$2)+1
    ),
   ROWS(Master!C$2:'Master'!C19)
  )
 ),"")</f>
        <v>Paul</v>
      </c>
      <c r="C243" s="8" t="str">
        <f t="array" ref="C243">IFERROR(
INDEX(Master!D$2:D$272,
SMALL(
IF(EXACT(Master!$M$2:$M$272,Rosters!$A$224),
ROW(Master!D$2:D$272)-ROW(Master!D$2)+1
),
ROWS(Master!D$2:'Master'!D19)
)
),"")</f>
        <v>Wittberg</v>
      </c>
      <c r="D243" s="7">
        <f t="array" aca="1" ref="D243" ca="1">IFERROR(
 INDEX(Master!O$2:O$272,
  SMALL(
   IF(EXACT(Master!$M$2:$M$272,Rosters!$A$224),
    ROW(Master!O$2:O$272)-ROW(Master!O$2)+1
    ),
   ROWS(Master!O$2:'Master'!O19)
  )
 ),"")</f>
        <v>37</v>
      </c>
      <c r="E243" s="8" t="str">
        <f t="array" ref="E243">IFERROR(
 INDEX(Master!A$2:A$272,
  SMALL(
   IF(EXACT(Master!$M$2:$M$272,Rosters!$A$224),
    ROW(Master!A$2:A$272)-ROW(Master!A$2)+1
    ),
   ROWS(Master!A$2:'Master'!A19)
  )
 ),"")</f>
        <v>Tom/Kathy</v>
      </c>
      <c r="F243" s="8" t="str">
        <f t="array" ref="F243">IFERROR(
 INDEX(Master!B$2:B$272,
  SMALL(
   IF(EXACT(Master!$M$2:$M$272,Rosters!$A$224),
    ROW(Master!B$2:B$272)-ROW(Master!B$2)+1
    ),
   ROWS(Master!B$2:'Master'!B19)
  )
 ),"")</f>
        <v>Wittberg</v>
      </c>
      <c r="G243" s="7">
        <f t="array" ref="G243">IFERROR(
 INDEX(Master!K$2:K$272,
  SMALL(
   IF(EXACT(Master!$M$2:$M$272,Rosters!$A$224),
    ROW(Master!K$2:K$272)-ROW(Master!K$2)+1
    ),
   ROWS(Master!K$2:'Master'!K19)
  )
 ),"")</f>
        <v>937</v>
      </c>
      <c r="H243" s="7" t="str">
        <f t="array" ref="H243">IFERROR(
 INDEX(Master!L$2:L$272,
  SMALL(
   IF(EXACT(Master!$M$2:$M$272,Rosters!$A$224),
    ROW(Master!L$2:L$272)-ROW(Master!L$2)+1
    ),
   ROWS(Master!L$2:'Master'!L19)
  )
 ),"")</f>
        <v>299-7633</v>
      </c>
      <c r="I243" s="8" t="str">
        <f t="array" ref="I243">IFERROR(
 INDEX(Master!Q$2:Q$272,
  SMALL(
   IF(EXACT(Master!$M$2:$M$272,Rosters!$A$224),
    ROW(Master!Q$2:Q$272)-ROW(Master!Q$2)+1
    ),
   ROWS(Master!Q$2:'Master'!Q19)
  )
 ),"")</f>
        <v>kwittberg@gmail.com</v>
      </c>
    </row>
    <row r="244" spans="1:9" x14ac:dyDescent="0.25">
      <c r="A244" s="7">
        <v>19</v>
      </c>
      <c r="B244" s="8" t="str">
        <f t="array" ref="B244">IFERROR(
 INDEX(Master!C$2:C$272,
  SMALL(
   IF(EXACT(Master!$M$2:$M$272,Rosters!$A$224),
    ROW(Master!C$2:C$272)-ROW(Master!C$2)+1
    ),
   ROWS(Master!C$2:'Master'!C20)
  )
 ),"")</f>
        <v>Nick</v>
      </c>
      <c r="C244" s="8" t="str">
        <f t="array" ref="C244">IFERROR(
INDEX(Master!D$2:D$272,
SMALL(
IF(EXACT(Master!$M$2:$M$272,Rosters!$A$224),
ROW(Master!D$2:D$272)-ROW(Master!D$2)+1
),
ROWS(Master!D$2:'Master'!D20)
)
),"")</f>
        <v>Woeste</v>
      </c>
      <c r="D244" s="7">
        <f t="array" aca="1" ref="D244" ca="1">IFERROR(
 INDEX(Master!O$2:O$272,
  SMALL(
   IF(EXACT(Master!$M$2:$M$272,Rosters!$A$224),
    ROW(Master!O$2:O$272)-ROW(Master!O$2)+1
    ),
   ROWS(Master!O$2:'Master'!O20)
  )
 ),"")</f>
        <v>41</v>
      </c>
      <c r="E244" s="8" t="str">
        <f t="array" ref="E244">IFERROR(
 INDEX(Master!A$2:A$272,
  SMALL(
   IF(EXACT(Master!$M$2:$M$272,Rosters!$A$224),
    ROW(Master!A$2:A$272)-ROW(Master!A$2)+1
    ),
   ROWS(Master!A$2:'Master'!A20)
  )
 ),"")</f>
        <v>Joe</v>
      </c>
      <c r="F244" s="8" t="str">
        <f t="array" ref="F244">IFERROR(
 INDEX(Master!B$2:B$272,
  SMALL(
   IF(EXACT(Master!$M$2:$M$272,Rosters!$A$224),
    ROW(Master!B$2:B$272)-ROW(Master!B$2)+1
    ),
   ROWS(Master!B$2:'Master'!B20)
  )
 ),"")</f>
        <v>Woeste</v>
      </c>
      <c r="G244" s="7">
        <f t="array" ref="G244">IFERROR(
 INDEX(Master!K$2:K$272,
  SMALL(
   IF(EXACT(Master!$M$2:$M$272,Rosters!$A$224),
    ROW(Master!K$2:K$272)-ROW(Master!K$2)+1
    ),
   ROWS(Master!K$2:'Master'!K20)
  )
 ),"")</f>
        <v>937</v>
      </c>
      <c r="H244" s="7" t="str">
        <f t="array" ref="H244">IFERROR(
 INDEX(Master!L$2:L$272,
  SMALL(
   IF(EXACT(Master!$M$2:$M$272,Rosters!$A$224),
    ROW(Master!L$2:L$272)-ROW(Master!L$2)+1
    ),
   ROWS(Master!L$2:'Master'!L20)
  )
 ),"")</f>
        <v>885-5198</v>
      </c>
      <c r="I244" s="8" t="str">
        <f t="array" ref="I244">IFERROR(
 INDEX(Master!Q$2:Q$272,
  SMALL(
   IF(EXACT(Master!$M$2:$M$272,Rosters!$A$224),
    ROW(Master!Q$2:Q$272)-ROW(Master!Q$2)+1
    ),
   ROWS(Master!Q$2:'Master'!Q20)
  )
 ),"")</f>
        <v>joebwoeste@yahoo.com</v>
      </c>
    </row>
    <row r="245" spans="1:9" x14ac:dyDescent="0.25">
      <c r="A245" s="7">
        <v>20</v>
      </c>
      <c r="B245" s="8" t="str">
        <f t="array" ref="B245">IFERROR(
 INDEX(Master!C$2:C$272,
  SMALL(
   IF(EXACT(Master!$M$2:$M$272,Rosters!$A$224),
    ROW(Master!C$2:C$272)-ROW(Master!C$2)+1
    ),
   ROWS(Master!C$2:'Master'!C21)
  )
 ),"")</f>
        <v>Jeremy</v>
      </c>
      <c r="C245" s="8" t="str">
        <f t="array" ref="C245">IFERROR(
INDEX(Master!D$2:D$272,
SMALL(
IF(EXACT(Master!$M$2:$M$272,Rosters!$A$224),
ROW(Master!D$2:D$272)-ROW(Master!D$2)+1
),
ROWS(Master!D$2:'Master'!D21)
)
),"")</f>
        <v>Wysong</v>
      </c>
      <c r="D245" s="7">
        <f t="array" aca="1" ref="D245" ca="1">IFERROR(
 INDEX(Master!O$2:O$272,
  SMALL(
   IF(EXACT(Master!$M$2:$M$272,Rosters!$A$224),
    ROW(Master!O$2:O$272)-ROW(Master!O$2)+1
    ),
   ROWS(Master!O$2:'Master'!O21)
  )
 ),"")</f>
        <v>36</v>
      </c>
      <c r="E245" s="8" t="str">
        <f t="array" ref="E245">IFERROR(
 INDEX(Master!A$2:A$272,
  SMALL(
   IF(EXACT(Master!$M$2:$M$272,Rosters!$A$224),
    ROW(Master!A$2:A$272)-ROW(Master!A$2)+1
    ),
   ROWS(Master!A$2:'Master'!A21)
  )
 ),"")</f>
        <v>Kenneth/Sue</v>
      </c>
      <c r="F245" s="8" t="str">
        <f t="array" ref="F245">IFERROR(
 INDEX(Master!B$2:B$272,
  SMALL(
   IF(EXACT(Master!$M$2:$M$272,Rosters!$A$224),
    ROW(Master!B$2:B$272)-ROW(Master!B$2)+1
    ),
   ROWS(Master!B$2:'Master'!B21)
  )
 ),"")</f>
        <v>Wysong</v>
      </c>
      <c r="G245" s="7">
        <f t="array" ref="G245">IFERROR(
 INDEX(Master!K$2:K$272,
  SMALL(
   IF(EXACT(Master!$M$2:$M$272,Rosters!$A$224),
    ROW(Master!K$2:K$272)-ROW(Master!K$2)+1
    ),
   ROWS(Master!K$2:'Master'!K21)
  )
 ),"")</f>
        <v>937</v>
      </c>
      <c r="H245" s="7" t="str">
        <f t="array" ref="H245">IFERROR(
 INDEX(Master!L$2:L$272,
  SMALL(
   IF(EXACT(Master!$M$2:$M$272,Rosters!$A$224),
    ROW(Master!L$2:L$272)-ROW(Master!L$2)+1
    ),
   ROWS(Master!L$2:'Master'!L21)
  )
 ),"")</f>
        <v>748-1271</v>
      </c>
      <c r="I245" s="8" t="str">
        <f t="array" ref="I245">IFERROR(
 INDEX(Master!Q$2:Q$272,
  SMALL(
   IF(EXACT(Master!$M$2:$M$272,Rosters!$A$224),
    ROW(Master!Q$2:Q$272)-ROW(Master!Q$2)+1
    ),
   ROWS(Master!Q$2:'Master'!Q21)
  )
 ),"")</f>
        <v>kennethwysong@sbcglobal.net</v>
      </c>
    </row>
    <row r="246" spans="1:9" x14ac:dyDescent="0.25">
      <c r="A246" s="7">
        <v>21</v>
      </c>
      <c r="B246" s="8" t="str">
        <f t="array" ref="B246">IFERROR(
 INDEX(Master!C$2:C$272,
  SMALL(
   IF(EXACT(Master!$M$2:$M$272,Rosters!$A$224),
    ROW(Master!C$2:C$272)-ROW(Master!C$2)+1
    ),
   ROWS(Master!C$2:'Master'!C22)
  )
 ),"")</f>
        <v>Javon</v>
      </c>
      <c r="C246" s="8" t="str">
        <f t="array" ref="C246">IFERROR(
INDEX(Master!D$2:D$272,
SMALL(
IF(EXACT(Master!$M$2:$M$272,Rosters!$A$224),
ROW(Master!D$2:D$272)-ROW(Master!D$2)+1
),
ROWS(Master!D$2:'Master'!D22)
)
),"")</f>
        <v>Yoakum</v>
      </c>
      <c r="D246" s="7">
        <f t="array" aca="1" ref="D246" ca="1">IFERROR(
 INDEX(Master!O$2:O$272,
  SMALL(
   IF(EXACT(Master!$M$2:$M$272,Rosters!$A$224),
    ROW(Master!O$2:O$272)-ROW(Master!O$2)+1
    ),
   ROWS(Master!O$2:'Master'!O22)
  )
 ),"")</f>
        <v>29</v>
      </c>
      <c r="E246" s="8" t="str">
        <f t="array" ref="E246">IFERROR(
 INDEX(Master!A$2:A$272,
  SMALL(
   IF(EXACT(Master!$M$2:$M$272,Rosters!$A$224),
    ROW(Master!A$2:A$272)-ROW(Master!A$2)+1
    ),
   ROWS(Master!A$2:'Master'!A22)
  )
 ),"")</f>
        <v>Ed/Dee</v>
      </c>
      <c r="F246" s="8" t="str">
        <f t="array" ref="F246">IFERROR(
 INDEX(Master!B$2:B$272,
  SMALL(
   IF(EXACT(Master!$M$2:$M$272,Rosters!$A$224),
    ROW(Master!B$2:B$272)-ROW(Master!B$2)+1
    ),
   ROWS(Master!B$2:'Master'!B22)
  )
 ),"")</f>
        <v>Yoakum</v>
      </c>
      <c r="G246" s="7">
        <f t="array" ref="G246">IFERROR(
 INDEX(Master!K$2:K$272,
  SMALL(
   IF(EXACT(Master!$M$2:$M$272,Rosters!$A$224),
    ROW(Master!K$2:K$272)-ROW(Master!K$2)+1
    ),
   ROWS(Master!K$2:'Master'!K22)
  )
 ),"")</f>
        <v>937</v>
      </c>
      <c r="H246" s="7" t="str">
        <f t="array" ref="H246">IFERROR(
 INDEX(Master!L$2:L$272,
  SMALL(
   IF(EXACT(Master!$M$2:$M$272,Rosters!$A$224),
    ROW(Master!L$2:L$272)-ROW(Master!L$2)+1
    ),
   ROWS(Master!L$2:'Master'!L22)
  )
 ),"")</f>
        <v>554-5991</v>
      </c>
      <c r="I246" s="8" t="str">
        <f t="array" ref="I246">IFERROR(
 INDEX(Master!Q$2:Q$272,
  SMALL(
   IF(EXACT(Master!$M$2:$M$272,Rosters!$A$224),
    ROW(Master!Q$2:Q$272)-ROW(Master!Q$2)+1
    ),
   ROWS(Master!Q$2:'Master'!Q22)
  )
 ),"")</f>
        <v>javon.yoakkum@gmail.com</v>
      </c>
    </row>
    <row r="247" spans="1:9" x14ac:dyDescent="0.25">
      <c r="A247" s="7">
        <v>22</v>
      </c>
      <c r="B247" s="8" t="str">
        <f t="array" ref="B247">IFERROR(
 INDEX(Master!C$2:C$272,
  SMALL(
   IF(EXACT(Master!$M$2:$M$272,Rosters!$A$224),
    ROW(Master!C$2:C$272)-ROW(Master!C$2)+1
    ),
   ROWS(Master!C$2:'Master'!C23)
  )
 ),"")</f>
        <v>Jessica</v>
      </c>
      <c r="C247" s="8" t="str">
        <f t="array" ref="C247">IFERROR(
INDEX(Master!D$2:D$272,
SMALL(
IF(EXACT(Master!$M$2:$M$272,Rosters!$A$224),
ROW(Master!D$2:D$272)-ROW(Master!D$2)+1
),
ROWS(Master!D$2:'Master'!D23)
)
),"")</f>
        <v>Zimmerman</v>
      </c>
      <c r="D247" s="7">
        <f t="array" aca="1" ref="D247" ca="1">IFERROR(
 INDEX(Master!O$2:O$272,
  SMALL(
   IF(EXACT(Master!$M$2:$M$272,Rosters!$A$224),
    ROW(Master!O$2:O$272)-ROW(Master!O$2)+1
    ),
   ROWS(Master!O$2:'Master'!O23)
  )
 ),"")</f>
        <v>46</v>
      </c>
      <c r="E247" s="8" t="str">
        <f t="array" ref="E247">IFERROR(
 INDEX(Master!A$2:A$272,
  SMALL(
   IF(EXACT(Master!$M$2:$M$272,Rosters!$A$224),
    ROW(Master!A$2:A$272)-ROW(Master!A$2)+1
    ),
   ROWS(Master!A$2:'Master'!A23)
  )
 ),"")</f>
        <v>Shirley</v>
      </c>
      <c r="F247" s="8" t="str">
        <f t="array" ref="F247">IFERROR(
 INDEX(Master!B$2:B$272,
  SMALL(
   IF(EXACT(Master!$M$2:$M$272,Rosters!$A$224),
    ROW(Master!B$2:B$272)-ROW(Master!B$2)+1
    ),
   ROWS(Master!B$2:'Master'!B23)
  )
 ),"")</f>
        <v>Zimmerman</v>
      </c>
      <c r="G247" s="7">
        <f t="array" ref="G247">IFERROR(
 INDEX(Master!K$2:K$272,
  SMALL(
   IF(EXACT(Master!$M$2:$M$272,Rosters!$A$224),
    ROW(Master!K$2:K$272)-ROW(Master!K$2)+1
    ),
   ROWS(Master!K$2:'Master'!K23)
  )
 ),"")</f>
        <v>937</v>
      </c>
      <c r="H247" s="7" t="str">
        <f t="array" ref="H247">IFERROR(
 INDEX(Master!L$2:L$272,
  SMALL(
   IF(EXACT(Master!$M$2:$M$272,Rosters!$A$224),
    ROW(Master!L$2:L$272)-ROW(Master!L$2)+1
    ),
   ROWS(Master!L$2:'Master'!L23)
  )
 ),"")</f>
        <v>938-6232</v>
      </c>
      <c r="I247" s="8" t="str">
        <f t="array" ref="I247">IFERROR(
 INDEX(Master!Q$2:Q$272,
  SMALL(
   IF(EXACT(Master!$M$2:$M$272,Rosters!$A$224),
    ROW(Master!Q$2:Q$272)-ROW(Master!Q$2)+1
    ),
   ROWS(Master!Q$2:'Master'!Q23)
  )
 ),"")</f>
        <v>zurleezim@gmail.com</v>
      </c>
    </row>
    <row r="248" spans="1:9" x14ac:dyDescent="0.25">
      <c r="A248" s="7"/>
      <c r="B248" s="8" t="str">
        <f t="array" ref="B248">IFERROR(
 INDEX(Master!C$2:C$272,
  SMALL(
   IF(EXACT(Master!$M$2:$M$272,Rosters!$A$224),
    ROW(Master!C$2:C$272)-ROW(Master!C$2)+1
    ),
   ROWS(Master!C$2:'Master'!C24)
  )
 ),"")</f>
        <v/>
      </c>
      <c r="C248" s="8" t="str">
        <f t="array" ref="C248">IFERROR(
INDEX(Master!D$2:D$272,
SMALL(
IF(EXACT(Master!$M$2:$M$272,Rosters!$A$224),
ROW(Master!D$2:D$272)-ROW(Master!D$2)+1
),
ROWS(Master!D$2:'Master'!D24)
)
),"")</f>
        <v/>
      </c>
      <c r="D248" s="7" t="str">
        <f t="array" ref="D248">IFERROR(
 INDEX(Master!O$2:O$272,
  SMALL(
   IF(EXACT(Master!$M$2:$M$272,Rosters!$A$224),
    ROW(Master!O$2:O$272)-ROW(Master!O$2)+1
    ),
   ROWS(Master!O$2:'Master'!O24)
  )
 ),"")</f>
        <v/>
      </c>
      <c r="E248" s="8" t="str">
        <f t="array" ref="E248">IFERROR(
 INDEX(Master!A$2:A$272,
  SMALL(
   IF(EXACT(Master!$M$2:$M$272,Rosters!$A$224),
    ROW(Master!A$2:A$272)-ROW(Master!A$2)+1
    ),
   ROWS(Master!A$2:'Master'!A24)
  )
 ),"")</f>
        <v/>
      </c>
      <c r="F248" s="8" t="str">
        <f t="array" ref="F248">IFERROR(
 INDEX(Master!B$2:B$272,
  SMALL(
   IF(EXACT(Master!$M$2:$M$272,Rosters!$A$224),
    ROW(Master!B$2:B$272)-ROW(Master!B$2)+1
    ),
   ROWS(Master!B$2:'Master'!B24)
  )
 ),"")</f>
        <v/>
      </c>
      <c r="G248" s="7" t="str">
        <f t="array" ref="G248">IFERROR(
 INDEX(Master!K$2:K$272,
  SMALL(
   IF(EXACT(Master!$M$2:$M$272,Rosters!$A$224),
    ROW(Master!K$2:K$272)-ROW(Master!K$2)+1
    ),
   ROWS(Master!K$2:'Master'!K24)
  )
 ),"")</f>
        <v/>
      </c>
      <c r="H248" s="7" t="str">
        <f t="array" ref="H248">IFERROR(
 INDEX(Master!L$2:L$272,
  SMALL(
   IF(EXACT(Master!$M$2:$M$272,Rosters!$A$224),
    ROW(Master!L$2:L$272)-ROW(Master!L$2)+1
    ),
   ROWS(Master!L$2:'Master'!L24)
  )
 ),"")</f>
        <v/>
      </c>
      <c r="I248" s="8" t="str">
        <f t="array" ref="I248">IFERROR(
 INDEX(Master!Q$2:Q$272,
  SMALL(
   IF(EXACT(Master!$M$2:$M$272,Rosters!$A$224),
    ROW(Master!Q$2:Q$272)-ROW(Master!Q$2)+1
    ),
   ROWS(Master!Q$2:'Master'!Q24)
  )
 ),"")</f>
        <v/>
      </c>
    </row>
    <row r="249" spans="1:9" x14ac:dyDescent="0.25">
      <c r="A249" s="7" t="str">
        <f t="shared" ref="A249:A255" si="6">IF($B249&lt;&gt;"",$A248+1,"")</f>
        <v/>
      </c>
      <c r="B249" s="8" t="str">
        <f t="array" ref="B249">IFERROR(
 INDEX(Master!C$2:C$272,
  SMALL(
   IF(EXACT(Master!$M$2:$M$272,Rosters!$A$224),
    ROW(Master!C$2:C$272)-ROW(Master!C$2)+1
    ),
   ROWS(Master!C$2:'Master'!C25)
  )
 ),"")</f>
        <v/>
      </c>
      <c r="C249" s="8" t="str">
        <f t="array" ref="C249">IFERROR(
INDEX(Master!D$2:D$272,
SMALL(
IF(EXACT(Master!$M$2:$M$272,Rosters!$A$224),
ROW(Master!D$2:D$272)-ROW(Master!D$2)+1
),
ROWS(Master!D$2:'Master'!D25)
)
),"")</f>
        <v/>
      </c>
      <c r="D249" s="7" t="str">
        <f t="array" ref="D249">IFERROR(
 INDEX(Master!O$2:O$272,
  SMALL(
   IF(EXACT(Master!$M$2:$M$272,Rosters!$A$224),
    ROW(Master!O$2:O$272)-ROW(Master!O$2)+1
    ),
   ROWS(Master!O$2:'Master'!O25)
  )
 ),"")</f>
        <v/>
      </c>
      <c r="E249" s="8" t="str">
        <f t="array" ref="E249">IFERROR(
 INDEX(Master!A$2:A$272,
  SMALL(
   IF(EXACT(Master!$M$2:$M$272,Rosters!$A$224),
    ROW(Master!A$2:A$272)-ROW(Master!A$2)+1
    ),
   ROWS(Master!A$2:'Master'!A25)
  )
 ),"")</f>
        <v/>
      </c>
      <c r="F249" s="8" t="str">
        <f t="array" ref="F249">IFERROR(
 INDEX(Master!B$2:B$272,
  SMALL(
   IF(EXACT(Master!$M$2:$M$272,Rosters!$A$224),
    ROW(Master!B$2:B$272)-ROW(Master!B$2)+1
    ),
   ROWS(Master!B$2:'Master'!B25)
  )
 ),"")</f>
        <v/>
      </c>
      <c r="G249" s="7" t="str">
        <f t="array" ref="G249">IFERROR(
 INDEX(Master!K$2:K$272,
  SMALL(
   IF(EXACT(Master!$M$2:$M$272,Rosters!$A$224),
    ROW(Master!K$2:K$272)-ROW(Master!K$2)+1
    ),
   ROWS(Master!K$2:'Master'!K25)
  )
 ),"")</f>
        <v/>
      </c>
      <c r="H249" s="7" t="str">
        <f t="array" ref="H249">IFERROR(
 INDEX(Master!L$2:L$272,
  SMALL(
   IF(EXACT(Master!$M$2:$M$272,Rosters!$A$224),
    ROW(Master!L$2:L$272)-ROW(Master!L$2)+1
    ),
   ROWS(Master!L$2:'Master'!L25)
  )
 ),"")</f>
        <v/>
      </c>
      <c r="I249" s="8" t="str">
        <f t="array" ref="I249">IFERROR(
 INDEX(Master!Q$2:Q$272,
  SMALL(
   IF(EXACT(Master!$M$2:$M$272,Rosters!$A$224),
    ROW(Master!Q$2:Q$272)-ROW(Master!Q$2)+1
    ),
   ROWS(Master!Q$2:'Master'!Q25)
  )
 ),"")</f>
        <v/>
      </c>
    </row>
    <row r="250" spans="1:9" x14ac:dyDescent="0.25">
      <c r="A250" s="7" t="str">
        <f t="shared" si="6"/>
        <v/>
      </c>
      <c r="B250" s="8" t="str">
        <f t="array" ref="B250">IFERROR(
 INDEX(Master!C$2:C$272,
  SMALL(
   IF(EXACT(Master!$M$2:$M$272,Rosters!$A$224),
    ROW(Master!C$2:C$272)-ROW(Master!C$2)+1
    ),
   ROWS(Master!C$2:'Master'!C26)
  )
 ),"")</f>
        <v/>
      </c>
      <c r="C250" s="8" t="str">
        <f t="array" ref="C250">IFERROR(
INDEX(Master!D$2:D$272,
SMALL(
IF(EXACT(Master!$M$2:$M$272,Rosters!$A$224),
ROW(Master!D$2:D$272)-ROW(Master!D$2)+1
),
ROWS(Master!D$2:'Master'!D26)
)
),"")</f>
        <v/>
      </c>
      <c r="D250" s="7" t="str">
        <f t="array" ref="D250">IFERROR(
 INDEX(Master!O$2:O$272,
  SMALL(
   IF(EXACT(Master!$M$2:$M$272,Rosters!$A$224),
    ROW(Master!O$2:O$272)-ROW(Master!O$2)+1
    ),
   ROWS(Master!O$2:'Master'!O26)
  )
 ),"")</f>
        <v/>
      </c>
      <c r="E250" s="8" t="str">
        <f t="array" ref="E250">IFERROR(
 INDEX(Master!A$2:A$272,
  SMALL(
   IF(EXACT(Master!$M$2:$M$272,Rosters!$A$224),
    ROW(Master!A$2:A$272)-ROW(Master!A$2)+1
    ),
   ROWS(Master!A$2:'Master'!A26)
  )
 ),"")</f>
        <v/>
      </c>
      <c r="F250" s="8" t="str">
        <f t="array" ref="F250">IFERROR(
 INDEX(Master!B$2:B$272,
  SMALL(
   IF(EXACT(Master!$M$2:$M$272,Rosters!$A$224),
    ROW(Master!B$2:B$272)-ROW(Master!B$2)+1
    ),
   ROWS(Master!B$2:'Master'!B26)
  )
 ),"")</f>
        <v/>
      </c>
      <c r="G250" s="7" t="str">
        <f t="array" ref="G250">IFERROR(
 INDEX(Master!K$2:K$272,
  SMALL(
   IF(EXACT(Master!$M$2:$M$272,Rosters!$A$224),
    ROW(Master!K$2:K$272)-ROW(Master!K$2)+1
    ),
   ROWS(Master!K$2:'Master'!K26)
  )
 ),"")</f>
        <v/>
      </c>
      <c r="H250" s="7" t="str">
        <f t="array" ref="H250">IFERROR(
 INDEX(Master!L$2:L$272,
  SMALL(
   IF(EXACT(Master!$M$2:$M$272,Rosters!$A$224),
    ROW(Master!L$2:L$272)-ROW(Master!L$2)+1
    ),
   ROWS(Master!L$2:'Master'!L26)
  )
 ),"")</f>
        <v/>
      </c>
      <c r="I250" s="8" t="str">
        <f t="array" ref="I250">IFERROR(
 INDEX(Master!Q$2:Q$272,
  SMALL(
   IF(EXACT(Master!$M$2:$M$272,Rosters!$A$224),
    ROW(Master!Q$2:Q$272)-ROW(Master!Q$2)+1
    ),
   ROWS(Master!Q$2:'Master'!Q26)
  )
 ),"")</f>
        <v/>
      </c>
    </row>
    <row r="251" spans="1:9" x14ac:dyDescent="0.25">
      <c r="A251" s="7" t="str">
        <f t="shared" si="6"/>
        <v/>
      </c>
      <c r="B251" s="8" t="str">
        <f t="array" ref="B251">IFERROR(
 INDEX(Master!C$2:C$272,
  SMALL(
   IF(EXACT(Master!$M$2:$M$272,Rosters!$A$224),
    ROW(Master!C$2:C$272)-ROW(Master!C$2)+1
    ),
   ROWS(Master!C$2:'Master'!C27)
  )
 ),"")</f>
        <v/>
      </c>
      <c r="C251" s="8" t="str">
        <f t="array" ref="C251">IFERROR(
INDEX(Master!D$2:D$272,
SMALL(
IF(EXACT(Master!$M$2:$M$272,Rosters!$A$224),
ROW(Master!D$2:D$272)-ROW(Master!D$2)+1
),
ROWS(Master!D$2:'Master'!D27)
)
),"")</f>
        <v/>
      </c>
      <c r="D251" s="7" t="str">
        <f t="array" ref="D251">IFERROR(
 INDEX(Master!O$2:O$272,
  SMALL(
   IF(EXACT(Master!$M$2:$M$272,Rosters!$A$224),
    ROW(Master!O$2:O$272)-ROW(Master!O$2)+1
    ),
   ROWS(Master!O$2:'Master'!O27)
  )
 ),"")</f>
        <v/>
      </c>
      <c r="E251" s="8" t="str">
        <f t="array" ref="E251">IFERROR(
 INDEX(Master!A$2:A$272,
  SMALL(
   IF(EXACT(Master!$M$2:$M$272,Rosters!$A$224),
    ROW(Master!A$2:A$272)-ROW(Master!A$2)+1
    ),
   ROWS(Master!A$2:'Master'!A27)
  )
 ),"")</f>
        <v/>
      </c>
      <c r="F251" s="8" t="str">
        <f t="array" ref="F251">IFERROR(
 INDEX(Master!B$2:B$272,
  SMALL(
   IF(EXACT(Master!$M$2:$M$272,Rosters!$A$224),
    ROW(Master!B$2:B$272)-ROW(Master!B$2)+1
    ),
   ROWS(Master!B$2:'Master'!B27)
  )
 ),"")</f>
        <v/>
      </c>
      <c r="G251" s="7" t="str">
        <f t="array" ref="G251">IFERROR(
 INDEX(Master!K$2:K$272,
  SMALL(
   IF(EXACT(Master!$M$2:$M$272,Rosters!$A$224),
    ROW(Master!K$2:K$272)-ROW(Master!K$2)+1
    ),
   ROWS(Master!K$2:'Master'!K27)
  )
 ),"")</f>
        <v/>
      </c>
      <c r="H251" s="7" t="str">
        <f t="array" ref="H251">IFERROR(
 INDEX(Master!L$2:L$272,
  SMALL(
   IF(EXACT(Master!$M$2:$M$272,Rosters!$A$224),
    ROW(Master!L$2:L$272)-ROW(Master!L$2)+1
    ),
   ROWS(Master!L$2:'Master'!L27)
  )
 ),"")</f>
        <v/>
      </c>
      <c r="I251" s="8" t="str">
        <f t="array" ref="I251">IFERROR(
 INDEX(Master!Q$2:Q$272,
  SMALL(
   IF(EXACT(Master!$M$2:$M$272,Rosters!$A$224),
    ROW(Master!Q$2:Q$272)-ROW(Master!Q$2)+1
    ),
   ROWS(Master!Q$2:'Master'!Q27)
  )
 ),"")</f>
        <v/>
      </c>
    </row>
    <row r="252" spans="1:9" x14ac:dyDescent="0.25">
      <c r="A252" s="7" t="str">
        <f t="shared" si="6"/>
        <v/>
      </c>
      <c r="B252" s="8" t="str">
        <f t="array" ref="B252">IFERROR(
 INDEX(Master!C$2:C$272,
  SMALL(
   IF(EXACT(Master!$M$2:$M$272,Rosters!$A$224),
    ROW(Master!C$2:C$272)-ROW(Master!C$2)+1
    ),
   ROWS(Master!C$2:'Master'!C28)
  )
 ),"")</f>
        <v/>
      </c>
      <c r="C252" s="8" t="str">
        <f t="array" ref="C252">IFERROR(
INDEX(Master!D$2:D$272,
SMALL(
IF(EXACT(Master!$M$2:$M$272,Rosters!$A$224),
ROW(Master!D$2:D$272)-ROW(Master!D$2)+1
),
ROWS(Master!D$2:'Master'!D28)
)
),"")</f>
        <v/>
      </c>
      <c r="D252" s="7" t="str">
        <f t="array" ref="D252">IFERROR(
 INDEX(Master!O$2:O$272,
  SMALL(
   IF(EXACT(Master!$M$2:$M$272,Rosters!$A$224),
    ROW(Master!O$2:O$272)-ROW(Master!O$2)+1
    ),
   ROWS(Master!O$2:'Master'!O28)
  )
 ),"")</f>
        <v/>
      </c>
      <c r="E252" s="8" t="str">
        <f t="array" ref="E252">IFERROR(
 INDEX(Master!A$2:A$272,
  SMALL(
   IF(EXACT(Master!$M$2:$M$272,Rosters!$A$224),
    ROW(Master!A$2:A$272)-ROW(Master!A$2)+1
    ),
   ROWS(Master!A$2:'Master'!A28)
  )
 ),"")</f>
        <v/>
      </c>
      <c r="F252" s="8" t="str">
        <f t="array" ref="F252">IFERROR(
 INDEX(Master!B$2:B$272,
  SMALL(
   IF(EXACT(Master!$M$2:$M$272,Rosters!$A$224),
    ROW(Master!B$2:B$272)-ROW(Master!B$2)+1
    ),
   ROWS(Master!B$2:'Master'!B28)
  )
 ),"")</f>
        <v/>
      </c>
      <c r="G252" s="7" t="str">
        <f t="array" ref="G252">IFERROR(
 INDEX(Master!K$2:K$272,
  SMALL(
   IF(EXACT(Master!$M$2:$M$272,Rosters!$A$224),
    ROW(Master!K$2:K$272)-ROW(Master!K$2)+1
    ),
   ROWS(Master!K$2:'Master'!K28)
  )
 ),"")</f>
        <v/>
      </c>
      <c r="H252" s="7" t="str">
        <f t="array" ref="H252">IFERROR(
 INDEX(Master!L$2:L$272,
  SMALL(
   IF(EXACT(Master!$M$2:$M$272,Rosters!$A$224),
    ROW(Master!L$2:L$272)-ROW(Master!L$2)+1
    ),
   ROWS(Master!L$2:'Master'!L28)
  )
 ),"")</f>
        <v/>
      </c>
      <c r="I252" s="8" t="str">
        <f t="array" ref="I252">IFERROR(
 INDEX(Master!Q$2:Q$272,
  SMALL(
   IF(EXACT(Master!$M$2:$M$272,Rosters!$A$224),
    ROW(Master!Q$2:Q$272)-ROW(Master!Q$2)+1
    ),
   ROWS(Master!Q$2:'Master'!Q28)
  )
 ),"")</f>
        <v/>
      </c>
    </row>
    <row r="253" spans="1:9" x14ac:dyDescent="0.25">
      <c r="A253" s="7" t="str">
        <f t="shared" si="6"/>
        <v/>
      </c>
      <c r="B253" s="8" t="str">
        <f t="array" ref="B253">IFERROR(
 INDEX(Master!C$2:C$272,
  SMALL(
   IF(EXACT(Master!$M$2:$M$272,Rosters!$A$224),
    ROW(Master!C$2:C$272)-ROW(Master!C$2)+1
    ),
   ROWS(Master!C$2:'Master'!C29)
  )
 ),"")</f>
        <v/>
      </c>
      <c r="C253" s="8" t="str">
        <f t="array" ref="C253">IFERROR(
INDEX(Master!D$2:D$272,
SMALL(
IF(EXACT(Master!$M$2:$M$272,Rosters!$A$224),
ROW(Master!D$2:D$272)-ROW(Master!D$2)+1
),
ROWS(Master!D$2:'Master'!D29)
)
),"")</f>
        <v/>
      </c>
      <c r="D253" s="7" t="str">
        <f t="array" ref="D253">IFERROR(
 INDEX(Master!O$2:O$272,
  SMALL(
   IF(EXACT(Master!$M$2:$M$272,Rosters!$A$224),
    ROW(Master!O$2:O$272)-ROW(Master!O$2)+1
    ),
   ROWS(Master!O$2:'Master'!O29)
  )
 ),"")</f>
        <v/>
      </c>
      <c r="E253" s="8" t="str">
        <f t="array" ref="E253">IFERROR(
 INDEX(Master!A$2:A$272,
  SMALL(
   IF(EXACT(Master!$M$2:$M$272,Rosters!$A$224),
    ROW(Master!A$2:A$272)-ROW(Master!A$2)+1
    ),
   ROWS(Master!A$2:'Master'!A29)
  )
 ),"")</f>
        <v/>
      </c>
      <c r="F253" s="8" t="str">
        <f t="array" ref="F253">IFERROR(
 INDEX(Master!B$2:B$272,
  SMALL(
   IF(EXACT(Master!$M$2:$M$272,Rosters!$A$224),
    ROW(Master!B$2:B$272)-ROW(Master!B$2)+1
    ),
   ROWS(Master!B$2:'Master'!B29)
  )
 ),"")</f>
        <v/>
      </c>
      <c r="G253" s="7" t="str">
        <f t="array" ref="G253">IFERROR(
 INDEX(Master!K$2:K$272,
  SMALL(
   IF(EXACT(Master!$M$2:$M$272,Rosters!$A$224),
    ROW(Master!K$2:K$272)-ROW(Master!K$2)+1
    ),
   ROWS(Master!K$2:'Master'!K29)
  )
 ),"")</f>
        <v/>
      </c>
      <c r="H253" s="7" t="str">
        <f t="array" ref="H253">IFERROR(
 INDEX(Master!L$2:L$272,
  SMALL(
   IF(EXACT(Master!$M$2:$M$272,Rosters!$A$224),
    ROW(Master!L$2:L$272)-ROW(Master!L$2)+1
    ),
   ROWS(Master!L$2:'Master'!L29)
  )
 ),"")</f>
        <v/>
      </c>
      <c r="I253" s="8" t="str">
        <f t="array" ref="I253">IFERROR(
 INDEX(Master!Q$2:Q$272,
  SMALL(
   IF(EXACT(Master!$M$2:$M$272,Rosters!$A$224),
    ROW(Master!Q$2:Q$272)-ROW(Master!Q$2)+1
    ),
   ROWS(Master!Q$2:'Master'!Q29)
  )
 ),"")</f>
        <v/>
      </c>
    </row>
    <row r="254" spans="1:9" x14ac:dyDescent="0.25">
      <c r="A254" s="7" t="str">
        <f t="shared" si="6"/>
        <v/>
      </c>
      <c r="B254" s="8" t="str">
        <f t="array" ref="B254">IFERROR(
 INDEX(Master!C$2:C$272,
  SMALL(
   IF(EXACT(Master!$M$2:$M$272,Rosters!$A$224),
    ROW(Master!C$2:C$272)-ROW(Master!C$2)+1
    ),
   ROWS(Master!C$2:'Master'!C30)
  )
 ),"")</f>
        <v/>
      </c>
      <c r="C254" s="8" t="str">
        <f t="array" ref="C254">IFERROR(
INDEX(Master!D$2:D$272,
SMALL(
IF(EXACT(Master!$M$2:$M$272,Rosters!$A$224),
ROW(Master!D$2:D$272)-ROW(Master!D$2)+1
),
ROWS(Master!D$2:'Master'!D30)
)
),"")</f>
        <v/>
      </c>
      <c r="D254" s="7" t="str">
        <f t="array" ref="D254">IFERROR(
 INDEX(Master!O$2:O$272,
  SMALL(
   IF(EXACT(Master!$M$2:$M$272,Rosters!$A$224),
    ROW(Master!O$2:O$272)-ROW(Master!O$2)+1
    ),
   ROWS(Master!O$2:'Master'!O30)
  )
 ),"")</f>
        <v/>
      </c>
      <c r="E254" s="8" t="str">
        <f t="array" ref="E254">IFERROR(
 INDEX(Master!A$2:A$272,
  SMALL(
   IF(EXACT(Master!$M$2:$M$272,Rosters!$A$224),
    ROW(Master!A$2:A$272)-ROW(Master!A$2)+1
    ),
   ROWS(Master!A$2:'Master'!A30)
  )
 ),"")</f>
        <v/>
      </c>
      <c r="F254" s="8" t="str">
        <f t="array" ref="F254">IFERROR(
 INDEX(Master!B$2:B$272,
  SMALL(
   IF(EXACT(Master!$M$2:$M$272,Rosters!$A$224),
    ROW(Master!B$2:B$272)-ROW(Master!B$2)+1
    ),
   ROWS(Master!B$2:'Master'!B30)
  )
 ),"")</f>
        <v/>
      </c>
      <c r="G254" s="7" t="str">
        <f t="array" ref="G254">IFERROR(
 INDEX(Master!K$2:K$272,
  SMALL(
   IF(EXACT(Master!$M$2:$M$272,Rosters!$A$224),
    ROW(Master!K$2:K$272)-ROW(Master!K$2)+1
    ),
   ROWS(Master!K$2:'Master'!K30)
  )
 ),"")</f>
        <v/>
      </c>
      <c r="H254" s="7" t="str">
        <f t="array" ref="H254">IFERROR(
 INDEX(Master!L$2:L$272,
  SMALL(
   IF(EXACT(Master!$M$2:$M$272,Rosters!$A$224),
    ROW(Master!L$2:L$272)-ROW(Master!L$2)+1
    ),
   ROWS(Master!L$2:'Master'!L30)
  )
 ),"")</f>
        <v/>
      </c>
      <c r="I254" s="8" t="str">
        <f t="array" ref="I254">IFERROR(
 INDEX(Master!Q$2:Q$272,
  SMALL(
   IF(EXACT(Master!$M$2:$M$272,Rosters!$A$224),
    ROW(Master!Q$2:Q$272)-ROW(Master!Q$2)+1
    ),
   ROWS(Master!Q$2:'Master'!Q30)
  )
 ),"")</f>
        <v/>
      </c>
    </row>
    <row r="255" spans="1:9" x14ac:dyDescent="0.25">
      <c r="A255" s="7" t="str">
        <f t="shared" si="6"/>
        <v/>
      </c>
      <c r="B255" s="8" t="str">
        <f t="array" ref="B255">IFERROR(
 INDEX(Master!C$2:C$272,
  SMALL(
   IF(EXACT(Master!$M$2:$M$272,Rosters!$A$224),
    ROW(Master!C$2:C$272)-ROW(Master!C$2)+1
    ),
   ROWS(Master!C$2:'Master'!C31)
  )
 ),"")</f>
        <v/>
      </c>
      <c r="C255" s="8" t="str">
        <f t="array" ref="C255">IFERROR(
INDEX(Master!D$2:D$272,
SMALL(
IF(EXACT(Master!$M$2:$M$272,Rosters!$A$224),
ROW(Master!D$2:D$272)-ROW(Master!D$2)+1
),
ROWS(Master!D$2:'Master'!D31)
)
),"")</f>
        <v/>
      </c>
      <c r="D255" s="7" t="str">
        <f t="array" ref="D255">IFERROR(
 INDEX(Master!O$2:O$272,
  SMALL(
   IF(EXACT(Master!$M$2:$M$272,Rosters!$A$224),
    ROW(Master!O$2:O$272)-ROW(Master!O$2)+1
    ),
   ROWS(Master!O$2:'Master'!O31)
  )
 ),"")</f>
        <v/>
      </c>
      <c r="E255" s="8" t="str">
        <f t="array" ref="E255">IFERROR(
 INDEX(Master!A$2:A$272,
  SMALL(
   IF(EXACT(Master!$M$2:$M$272,Rosters!$A$224),
    ROW(Master!A$2:A$272)-ROW(Master!A$2)+1
    ),
   ROWS(Master!A$2:'Master'!A31)
  )
 ),"")</f>
        <v/>
      </c>
      <c r="F255" s="8" t="str">
        <f t="array" ref="F255">IFERROR(
 INDEX(Master!B$2:B$272,
  SMALL(
   IF(EXACT(Master!$M$2:$M$272,Rosters!$A$224),
    ROW(Master!B$2:B$272)-ROW(Master!B$2)+1
    ),
   ROWS(Master!B$2:'Master'!B31)
  )
 ),"")</f>
        <v/>
      </c>
      <c r="G255" s="7" t="str">
        <f t="array" ref="G255">IFERROR(
 INDEX(Master!K$2:K$272,
  SMALL(
   IF(EXACT(Master!$M$2:$M$272,Rosters!$A$224),
    ROW(Master!K$2:K$272)-ROW(Master!K$2)+1
    ),
   ROWS(Master!K$2:'Master'!K31)
  )
 ),"")</f>
        <v/>
      </c>
      <c r="H255" s="7" t="str">
        <f t="array" ref="H255">IFERROR(
 INDEX(Master!L$2:L$272,
  SMALL(
   IF(EXACT(Master!$M$2:$M$272,Rosters!$A$224),
    ROW(Master!L$2:L$272)-ROW(Master!L$2)+1
    ),
   ROWS(Master!L$2:'Master'!L31)
  )
 ),"")</f>
        <v/>
      </c>
      <c r="I255" s="8" t="str">
        <f t="array" ref="I255">IFERROR(
 INDEX(Master!Q$2:Q$272,
  SMALL(
   IF(EXACT(Master!$M$2:$M$272,Rosters!$A$224),
    ROW(Master!Q$2:Q$272)-ROW(Master!Q$2)+1
    ),
   ROWS(Master!Q$2:'Master'!Q31)
  )
 ),"")</f>
        <v/>
      </c>
    </row>
  </sheetData>
  <sheetProtection algorithmName="SHA-512" hashValue="bePjigH/1f0ZAKigIl5nnddDpDbdH0gJG43UCwDa+IPOXWwuut/3R32WTfzsukPfnZabHbVtRCI91euo0rtVEg==" saltValue="kDS6Ldrgq3tYLtNxFiOpRw==" spinCount="100000" sheet="1" objects="1" scenarios="1"/>
  <pageMargins left="0.75" right="0.25" top="0.75" bottom="0.75" header="0.3" footer="0.3"/>
  <pageSetup orientation="landscape" vertic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G270"/>
  <sheetViews>
    <sheetView workbookViewId="0"/>
  </sheetViews>
  <sheetFormatPr defaultRowHeight="15" x14ac:dyDescent="0.25"/>
  <cols>
    <col min="1" max="1" width="17.42578125" customWidth="1"/>
    <col min="2" max="2" width="21.5703125" customWidth="1"/>
    <col min="3" max="3" width="14" customWidth="1"/>
    <col min="4" max="4" width="20.42578125" customWidth="1"/>
    <col min="5" max="5" width="17.42578125" customWidth="1"/>
    <col min="6" max="6" width="21.5703125" customWidth="1"/>
    <col min="7" max="7" width="14" customWidth="1"/>
  </cols>
  <sheetData>
    <row r="1" spans="1:7" ht="15.75" x14ac:dyDescent="0.25">
      <c r="A1" s="30" t="s">
        <v>103</v>
      </c>
      <c r="B1" s="30" t="s">
        <v>104</v>
      </c>
      <c r="C1" s="30" t="s">
        <v>485</v>
      </c>
      <c r="E1" s="30" t="s">
        <v>103</v>
      </c>
      <c r="F1" s="30" t="s">
        <v>104</v>
      </c>
      <c r="G1" s="30" t="s">
        <v>485</v>
      </c>
    </row>
    <row r="2" spans="1:7" x14ac:dyDescent="0.25">
      <c r="A2" t="str">
        <f>IF(Master!$M12&lt;&gt;"",Master!$C12,"")</f>
        <v>Leila</v>
      </c>
      <c r="B2" t="str">
        <f>IF(Master!$M12&lt;&gt;"",Master!$D12,"")</f>
        <v>Binkley</v>
      </c>
      <c r="C2" t="str">
        <f>IF(Master!$M12&lt;&gt;"",Master!$M12,"")</f>
        <v>Hotwheels</v>
      </c>
      <c r="E2" t="str">
        <f>IF(Coaches!$C2&lt;&gt;"",Coaches!$A2,"")</f>
        <v>Nick</v>
      </c>
      <c r="F2" t="str">
        <f>IF(Coaches!$C2&lt;&gt;"",Coaches!$B2,"")</f>
        <v>Glavin</v>
      </c>
      <c r="G2" t="str">
        <f>IF(Coaches!$C2&lt;&gt;"",Coaches!$C2,"")</f>
        <v>Hotwheels</v>
      </c>
    </row>
    <row r="3" spans="1:7" x14ac:dyDescent="0.25">
      <c r="A3" t="str">
        <f>IF(Master!$M13&lt;&gt;"",Master!$C13,"")</f>
        <v>Naomi</v>
      </c>
      <c r="B3" t="str">
        <f>IF(Master!$M13&lt;&gt;"",Master!$D13,"")</f>
        <v>Black</v>
      </c>
      <c r="C3" t="str">
        <f>IF(Master!$M13&lt;&gt;"",Master!$M13,"")</f>
        <v>Hotwheels</v>
      </c>
      <c r="E3" t="str">
        <f>IF(Coaches!$C3&lt;&gt;"",Coaches!$A3,"")</f>
        <v>Samuel</v>
      </c>
      <c r="F3" t="str">
        <f>IF(Coaches!$C3&lt;&gt;"",Coaches!$B3,"")</f>
        <v>Borgemenke</v>
      </c>
      <c r="G3" t="str">
        <f>IF(Coaches!$C3&lt;&gt;"",Coaches!$C3,"")</f>
        <v>Hotwheels</v>
      </c>
    </row>
    <row r="4" spans="1:7" x14ac:dyDescent="0.25">
      <c r="A4" t="str">
        <f>IF(Master!$M18&lt;&gt;"",Master!$C18,"")</f>
        <v>Hannah</v>
      </c>
      <c r="B4" t="str">
        <f>IF(Master!$M18&lt;&gt;"",Master!$D18,"")</f>
        <v>Borton</v>
      </c>
      <c r="C4" t="str">
        <f>IF(Master!$M18&lt;&gt;"",Master!$M18,"")</f>
        <v>Hotwheels</v>
      </c>
      <c r="E4" t="str">
        <f>IF(Coaches!$C4&lt;&gt;"",Coaches!$A4,"")</f>
        <v>David</v>
      </c>
      <c r="F4" t="str">
        <f>IF(Coaches!$C4&lt;&gt;"",Coaches!$B4,"")</f>
        <v>DeWeese</v>
      </c>
      <c r="G4" t="str">
        <f>IF(Coaches!$C4&lt;&gt;"",Coaches!$C4,"")</f>
        <v>Hotwheels</v>
      </c>
    </row>
    <row r="5" spans="1:7" ht="18.75" x14ac:dyDescent="0.3">
      <c r="A5" t="str">
        <f>IF(Master!$M24&lt;&gt;"",Master!$C24,"")</f>
        <v>Gretchen</v>
      </c>
      <c r="B5" t="str">
        <f>IF(Master!$M24&lt;&gt;"",Master!$D24,"")</f>
        <v>Braun</v>
      </c>
      <c r="C5" t="str">
        <f>IF(Master!$M24&lt;&gt;"",Master!$M24,"")</f>
        <v>Hotwheels</v>
      </c>
      <c r="D5" s="91" t="s">
        <v>1272</v>
      </c>
      <c r="E5" t="str">
        <f>IF(Coaches!$C5&lt;&gt;"",Coaches!$A5,"")</f>
        <v>Josh</v>
      </c>
      <c r="F5" t="str">
        <f>IF(Coaches!$C5&lt;&gt;"",Coaches!$B5,"")</f>
        <v>Rose</v>
      </c>
      <c r="G5" t="str">
        <f>IF(Coaches!$C5&lt;&gt;"",Coaches!$C5,"")</f>
        <v>Hotwheels</v>
      </c>
    </row>
    <row r="6" spans="1:7" ht="18.75" x14ac:dyDescent="0.3">
      <c r="A6" t="str">
        <f>IF(Master!$M27&lt;&gt;"",Master!$C27,"")</f>
        <v>Janice</v>
      </c>
      <c r="B6" t="str">
        <f>IF(Master!$M27&lt;&gt;"",Master!$D27,"")</f>
        <v>Brun</v>
      </c>
      <c r="C6" t="str">
        <f>IF(Master!$M27&lt;&gt;"",Master!$M27,"")</f>
        <v>Hotwheels</v>
      </c>
      <c r="D6" s="92" t="s">
        <v>1273</v>
      </c>
      <c r="E6" t="str">
        <f>IF(Coaches!$C6&lt;&gt;"",Coaches!$A6,"")</f>
        <v>Greg</v>
      </c>
      <c r="F6" t="str">
        <f>IF(Coaches!$C6&lt;&gt;"",Coaches!$B6,"")</f>
        <v>Wasmund</v>
      </c>
      <c r="G6" t="str">
        <f>IF(Coaches!$C6&lt;&gt;"",Coaches!$C6,"")</f>
        <v>Dribblers</v>
      </c>
    </row>
    <row r="7" spans="1:7" x14ac:dyDescent="0.25">
      <c r="A7" t="str">
        <f>IF(Master!$M28&lt;&gt;"",Master!$C28,"")</f>
        <v>Niklaus</v>
      </c>
      <c r="B7" t="str">
        <f>IF(Master!$M28&lt;&gt;"",Master!$D28,"")</f>
        <v>Burtnett</v>
      </c>
      <c r="C7" t="str">
        <f>IF(Master!$M28&lt;&gt;"",Master!$M28,"")</f>
        <v>Hotwheels</v>
      </c>
      <c r="E7" t="str">
        <f>IF(Coaches!$C7&lt;&gt;"",Coaches!$A7,"")</f>
        <v xml:space="preserve">Kassidy </v>
      </c>
      <c r="F7" t="str">
        <f>IF(Coaches!$C7&lt;&gt;"",Coaches!$B7,"")</f>
        <v>Brown</v>
      </c>
      <c r="G7" t="str">
        <f>IF(Coaches!$C7&lt;&gt;"",Coaches!$C7,"")</f>
        <v>Dribblers</v>
      </c>
    </row>
    <row r="8" spans="1:7" x14ac:dyDescent="0.25">
      <c r="A8" t="str">
        <f>IF(Master!$M43&lt;&gt;"",Master!$C43,"")</f>
        <v>Carter</v>
      </c>
      <c r="B8" t="str">
        <f>IF(Master!$M43&lt;&gt;"",Master!$D43,"")</f>
        <v>Cornell</v>
      </c>
      <c r="C8" t="str">
        <f>IF(Master!$M43&lt;&gt;"",Master!$M43,"")</f>
        <v>Hotwheels</v>
      </c>
      <c r="E8" t="str">
        <f>IF(Coaches!$C8&lt;&gt;"",Coaches!$A8,"")</f>
        <v>Parker</v>
      </c>
      <c r="F8" t="str">
        <f>IF(Coaches!$C8&lt;&gt;"",Coaches!$B8,"")</f>
        <v>Brown</v>
      </c>
      <c r="G8" t="str">
        <f>IF(Coaches!$C8&lt;&gt;"",Coaches!$C8,"")</f>
        <v>Dribblers</v>
      </c>
    </row>
    <row r="9" spans="1:7" x14ac:dyDescent="0.25">
      <c r="A9" t="str">
        <f>IF(Master!$M45&lt;&gt;"",Master!$C45,"")</f>
        <v>Noah</v>
      </c>
      <c r="B9" t="str">
        <f>IF(Master!$M45&lt;&gt;"",Master!$D45,"")</f>
        <v>Curtis</v>
      </c>
      <c r="C9" t="str">
        <f>IF(Master!$M45&lt;&gt;"",Master!$M45,"")</f>
        <v>Hotwheels</v>
      </c>
      <c r="E9" t="str">
        <f>IF(Coaches!$C9&lt;&gt;"",Coaches!$A9,"")</f>
        <v>Miranda</v>
      </c>
      <c r="F9" t="str">
        <f>IF(Coaches!$C9&lt;&gt;"",Coaches!$B9,"")</f>
        <v>Conner</v>
      </c>
      <c r="G9" t="str">
        <f>IF(Coaches!$C9&lt;&gt;"",Coaches!$C9,"")</f>
        <v>Dribblers</v>
      </c>
    </row>
    <row r="10" spans="1:7" x14ac:dyDescent="0.25">
      <c r="A10" t="str">
        <f>IF(Master!$M53&lt;&gt;"",Master!$C53,"")</f>
        <v>Brandon</v>
      </c>
      <c r="B10" t="str">
        <f>IF(Master!$M53&lt;&gt;"",Master!$D53,"")</f>
        <v>Dietsch</v>
      </c>
      <c r="C10" t="str">
        <f>IF(Master!$M53&lt;&gt;"",Master!$M53,"")</f>
        <v>Hotwheels</v>
      </c>
      <c r="E10" t="str">
        <f>IF(Coaches!$C10&lt;&gt;"",Coaches!$A10,"")</f>
        <v>Emma</v>
      </c>
      <c r="F10" t="str">
        <f>IF(Coaches!$C10&lt;&gt;"",Coaches!$B10,"")</f>
        <v>Decamp</v>
      </c>
      <c r="G10" t="str">
        <f>IF(Coaches!$C10&lt;&gt;"",Coaches!$C10,"")</f>
        <v>Dribblers</v>
      </c>
    </row>
    <row r="11" spans="1:7" x14ac:dyDescent="0.25">
      <c r="A11" t="str">
        <f>IF(Master!$M75&lt;&gt;"",Master!$C75,"")</f>
        <v>Julianne</v>
      </c>
      <c r="B11" t="str">
        <f>IF(Master!$M75&lt;&gt;"",Master!$D75,"")</f>
        <v>Gillespie</v>
      </c>
      <c r="C11" t="str">
        <f>IF(Master!$M75&lt;&gt;"",Master!$M75,"")</f>
        <v>Hotwheels</v>
      </c>
      <c r="E11" t="str">
        <f>IF(Coaches!$C11&lt;&gt;"",Coaches!$A11,"")</f>
        <v>Taylor</v>
      </c>
      <c r="F11" t="str">
        <f>IF(Coaches!$C11&lt;&gt;"",Coaches!$B11,"")</f>
        <v>Decamp</v>
      </c>
      <c r="G11" t="str">
        <f>IF(Coaches!$C11&lt;&gt;"",Coaches!$C11,"")</f>
        <v>Dribblers</v>
      </c>
    </row>
    <row r="12" spans="1:7" x14ac:dyDescent="0.25">
      <c r="A12" t="str">
        <f>IF(Master!$M90&lt;&gt;"",Master!$C90,"")</f>
        <v>Neil</v>
      </c>
      <c r="B12" t="str">
        <f>IF(Master!$M90&lt;&gt;"",Master!$D90,"")</f>
        <v>Heller</v>
      </c>
      <c r="C12" t="str">
        <f>IF(Master!$M90&lt;&gt;"",Master!$M90,"")</f>
        <v>Hotwheels</v>
      </c>
      <c r="E12" t="str">
        <f>IF(Coaches!$C12&lt;&gt;"",Coaches!$A12,"")</f>
        <v>Mathieu</v>
      </c>
      <c r="F12" t="str">
        <f>IF(Coaches!$C12&lt;&gt;"",Coaches!$B12,"")</f>
        <v>Rekeraho</v>
      </c>
      <c r="G12" t="str">
        <f>IF(Coaches!$C12&lt;&gt;"",Coaches!$C12,"")</f>
        <v>Dribblers</v>
      </c>
    </row>
    <row r="13" spans="1:7" x14ac:dyDescent="0.25">
      <c r="A13" t="str">
        <f>IF(Master!$M102&lt;&gt;"",Master!$C102,"")</f>
        <v>Corey</v>
      </c>
      <c r="B13" t="str">
        <f>IF(Master!$M102&lt;&gt;"",Master!$D102,"")</f>
        <v>Hume</v>
      </c>
      <c r="C13" t="str">
        <f>IF(Master!$M102&lt;&gt;"",Master!$M102,"")</f>
        <v>Hotwheels</v>
      </c>
      <c r="E13" t="str">
        <f>IF(Coaches!$C13&lt;&gt;"",Coaches!$A13,"")</f>
        <v>Rosie</v>
      </c>
      <c r="F13" t="str">
        <f>IF(Coaches!$C13&lt;&gt;"",Coaches!$B13,"")</f>
        <v>Larkin</v>
      </c>
      <c r="G13" t="str">
        <f>IF(Coaches!$C13&lt;&gt;"",Coaches!$C13,"")</f>
        <v>Dribblers</v>
      </c>
    </row>
    <row r="14" spans="1:7" x14ac:dyDescent="0.25">
      <c r="A14" t="str">
        <f>IF(Master!$M103&lt;&gt;"",Master!$C103,"")</f>
        <v>Skylar</v>
      </c>
      <c r="B14" t="str">
        <f>IF(Master!$M103&lt;&gt;"",Master!$D103,"")</f>
        <v>Hurley</v>
      </c>
      <c r="C14" t="str">
        <f>IF(Master!$M103&lt;&gt;"",Master!$M103,"")</f>
        <v>Hotwheels</v>
      </c>
      <c r="E14" t="str">
        <f>IF(Coaches!$C14&lt;&gt;"",Coaches!$A14,"")</f>
        <v>Cura</v>
      </c>
      <c r="F14" t="str">
        <f>IF(Coaches!$C14&lt;&gt;"",Coaches!$B14,"")</f>
        <v>Yeagley</v>
      </c>
      <c r="G14" t="str">
        <f>IF(Coaches!$C14&lt;&gt;"",Coaches!$C14,"")</f>
        <v>Dribblers</v>
      </c>
    </row>
    <row r="15" spans="1:7" x14ac:dyDescent="0.25">
      <c r="A15" t="str">
        <f>IF(Master!$M112&lt;&gt;"",Master!$C112,"")</f>
        <v>Korey</v>
      </c>
      <c r="B15" t="str">
        <f>IF(Master!$M112&lt;&gt;"",Master!$D112,"")</f>
        <v xml:space="preserve">Joseph </v>
      </c>
      <c r="C15" t="str">
        <f>IF(Master!$M112&lt;&gt;"",Master!$M112,"")</f>
        <v>Hotwheels</v>
      </c>
      <c r="E15" t="str">
        <f>IF(Coaches!$C15&lt;&gt;"",Coaches!$A15,"")</f>
        <v>Lauren</v>
      </c>
      <c r="F15" t="str">
        <f>IF(Coaches!$C15&lt;&gt;"",Coaches!$B15,"")</f>
        <v>Keeley</v>
      </c>
      <c r="G15" t="str">
        <f>IF(Coaches!$C15&lt;&gt;"",Coaches!$C15,"")</f>
        <v>Shooters</v>
      </c>
    </row>
    <row r="16" spans="1:7" x14ac:dyDescent="0.25">
      <c r="A16" t="str">
        <f>IF(Master!$M114&lt;&gt;"",Master!$C114,"")</f>
        <v>Trent</v>
      </c>
      <c r="B16" t="str">
        <f>IF(Master!$M114&lt;&gt;"",Master!$D114,"")</f>
        <v>Kapfhammer</v>
      </c>
      <c r="C16" t="str">
        <f>IF(Master!$M114&lt;&gt;"",Master!$M114,"")</f>
        <v>Hotwheels</v>
      </c>
      <c r="E16" t="str">
        <f>IF(Coaches!$C16&lt;&gt;"",Coaches!$A16,"")</f>
        <v>Stella</v>
      </c>
      <c r="F16" t="str">
        <f>IF(Coaches!$C16&lt;&gt;"",Coaches!$B16,"")</f>
        <v>Rose</v>
      </c>
      <c r="G16" t="str">
        <f>IF(Coaches!$C16&lt;&gt;"",Coaches!$C16,"")</f>
        <v>Shooters</v>
      </c>
    </row>
    <row r="17" spans="1:7" x14ac:dyDescent="0.25">
      <c r="A17" t="str">
        <f>IF(Master!$M152&lt;&gt;"",Master!$C152,"")</f>
        <v>Jayla</v>
      </c>
      <c r="B17" t="str">
        <f>IF(Master!$M152&lt;&gt;"",Master!$D152,"")</f>
        <v>Miller</v>
      </c>
      <c r="C17" t="str">
        <f>IF(Master!$M152&lt;&gt;"",Master!$M152,"")</f>
        <v>Hotwheels</v>
      </c>
      <c r="E17" t="str">
        <f>IF(Coaches!$C17&lt;&gt;"",Coaches!$A17,"")</f>
        <v>Sheila</v>
      </c>
      <c r="F17" t="str">
        <f>IF(Coaches!$C17&lt;&gt;"",Coaches!$B17,"")</f>
        <v>Wasmund</v>
      </c>
      <c r="G17" t="str">
        <f>IF(Coaches!$C17&lt;&gt;"",Coaches!$C17,"")</f>
        <v>Shooters</v>
      </c>
    </row>
    <row r="18" spans="1:7" x14ac:dyDescent="0.25">
      <c r="A18" t="str">
        <f>IF(Master!$M158&lt;&gt;"",Master!$C158,"")</f>
        <v>Owen</v>
      </c>
      <c r="B18" t="str">
        <f>IF(Master!$M158&lt;&gt;"",Master!$D158,"")</f>
        <v>Moore</v>
      </c>
      <c r="C18" t="str">
        <f>IF(Master!$M158&lt;&gt;"",Master!$M158,"")</f>
        <v>Hotwheels</v>
      </c>
      <c r="E18" t="str">
        <f>IF(Coaches!$C18&lt;&gt;"",Coaches!$A18,"")</f>
        <v>Bob</v>
      </c>
      <c r="F18" t="str">
        <f>IF(Coaches!$C18&lt;&gt;"",Coaches!$B18,"")</f>
        <v>Glavin</v>
      </c>
      <c r="G18" t="str">
        <f>IF(Coaches!$C18&lt;&gt;"",Coaches!$C18,"")</f>
        <v>Wings</v>
      </c>
    </row>
    <row r="19" spans="1:7" x14ac:dyDescent="0.25">
      <c r="A19" t="str">
        <f>IF(Master!$M174&lt;&gt;"",Master!$C174,"")</f>
        <v>Jaiven</v>
      </c>
      <c r="B19" t="str">
        <f>IF(Master!$M174&lt;&gt;"",Master!$D174,"")</f>
        <v>Pattson</v>
      </c>
      <c r="C19" t="str">
        <f>IF(Master!$M174&lt;&gt;"",Master!$M174,"")</f>
        <v>Hotwheels</v>
      </c>
      <c r="E19" t="str">
        <f>IF(Coaches!$C19&lt;&gt;"",Coaches!$A19,"")</f>
        <v>Joan</v>
      </c>
      <c r="F19" t="str">
        <f>IF(Coaches!$C19&lt;&gt;"",Coaches!$B19,"")</f>
        <v>Cordonnier</v>
      </c>
      <c r="G19" t="str">
        <f>IF(Coaches!$C19&lt;&gt;"",Coaches!$C19,"")</f>
        <v>Wings</v>
      </c>
    </row>
    <row r="20" spans="1:7" x14ac:dyDescent="0.25">
      <c r="A20" t="str">
        <f>IF(Master!$M205&lt;&gt;"",Master!$C205,"")</f>
        <v>David</v>
      </c>
      <c r="B20" t="str">
        <f>IF(Master!$M205&lt;&gt;"",Master!$D205,"")</f>
        <v>Sauer</v>
      </c>
      <c r="C20" t="str">
        <f>IF(Master!$M205&lt;&gt;"",Master!$M205,"")</f>
        <v>Hotwheels</v>
      </c>
      <c r="E20" t="str">
        <f>IF(Coaches!$C20&lt;&gt;"",Coaches!$A20,"")</f>
        <v>Lin</v>
      </c>
      <c r="F20" t="str">
        <f>IF(Coaches!$C20&lt;&gt;"",Coaches!$B20,"")</f>
        <v>Pursel</v>
      </c>
      <c r="G20" t="str">
        <f>IF(Coaches!$C20&lt;&gt;"",Coaches!$C20,"")</f>
        <v>Wings</v>
      </c>
    </row>
    <row r="21" spans="1:7" x14ac:dyDescent="0.25">
      <c r="A21" t="str">
        <f>IF(Master!$M206&lt;&gt;"",Master!$C206,"")</f>
        <v>Jessica</v>
      </c>
      <c r="B21" t="str">
        <f>IF(Master!$M206&lt;&gt;"",Master!$D206,"")</f>
        <v>Savage</v>
      </c>
      <c r="C21" t="str">
        <f>IF(Master!$M206&lt;&gt;"",Master!$M206,"")</f>
        <v>Hotwheels</v>
      </c>
      <c r="E21" t="str">
        <f>IF(Coaches!$C21&lt;&gt;"",Coaches!$A21,"")</f>
        <v>Megan</v>
      </c>
      <c r="F21" t="str">
        <f>IF(Coaches!$C21&lt;&gt;"",Coaches!$B21,"")</f>
        <v>Sparks</v>
      </c>
      <c r="G21" t="str">
        <f>IF(Coaches!$C21&lt;&gt;"",Coaches!$C21,"")</f>
        <v>Kickers</v>
      </c>
    </row>
    <row r="22" spans="1:7" x14ac:dyDescent="0.25">
      <c r="A22" t="str">
        <f>IF(Master!$M215&lt;&gt;"",Master!$C215,"")</f>
        <v xml:space="preserve">Ryan </v>
      </c>
      <c r="B22" t="str">
        <f>IF(Master!$M215&lt;&gt;"",Master!$D215,"")</f>
        <v>Shockley</v>
      </c>
      <c r="C22" t="str">
        <f>IF(Master!$M215&lt;&gt;"",Master!$M215,"")</f>
        <v>Hotwheels</v>
      </c>
      <c r="E22" t="str">
        <f>IF(Coaches!$C22&lt;&gt;"",Coaches!$A22,"")</f>
        <v>Jason</v>
      </c>
      <c r="F22" t="str">
        <f>IF(Coaches!$C22&lt;&gt;"",Coaches!$B22,"")</f>
        <v>Van Zant</v>
      </c>
      <c r="G22" t="str">
        <f>IF(Coaches!$C22&lt;&gt;"",Coaches!$C22,"")</f>
        <v>Kickers</v>
      </c>
    </row>
    <row r="23" spans="1:7" x14ac:dyDescent="0.25">
      <c r="A23" t="str">
        <f>IF(Master!$M224&lt;&gt;"",Master!$C224,"")</f>
        <v>Stormie</v>
      </c>
      <c r="B23" t="str">
        <f>IF(Master!$M224&lt;&gt;"",Master!$D224,"")</f>
        <v>Smith</v>
      </c>
      <c r="C23" t="str">
        <f>IF(Master!$M224&lt;&gt;"",Master!$M224,"")</f>
        <v>Hotwheels</v>
      </c>
      <c r="E23" t="str">
        <f>IF(Coaches!$C23&lt;&gt;"",Coaches!$A23,"")</f>
        <v>Rob</v>
      </c>
      <c r="F23" t="str">
        <f>IF(Coaches!$C23&lt;&gt;"",Coaches!$B23,"")</f>
        <v>Millhouse</v>
      </c>
      <c r="G23" t="str">
        <f>IF(Coaches!$C23&lt;&gt;"",Coaches!$C23,"")</f>
        <v>Passers</v>
      </c>
    </row>
    <row r="24" spans="1:7" x14ac:dyDescent="0.25">
      <c r="A24" t="str">
        <f>IF(Master!$M226&lt;&gt;"",Master!$C226,"")</f>
        <v>Leondo</v>
      </c>
      <c r="B24" t="str">
        <f>IF(Master!$M226&lt;&gt;"",Master!$D226,"")</f>
        <v>Stanziano</v>
      </c>
      <c r="C24" t="str">
        <f>IF(Master!$M226&lt;&gt;"",Master!$M226,"")</f>
        <v>Hotwheels</v>
      </c>
      <c r="E24" t="str">
        <f>IF(Coaches!$C24&lt;&gt;"",Coaches!$A24,"")</f>
        <v xml:space="preserve">John </v>
      </c>
      <c r="F24" t="str">
        <f>IF(Coaches!$C24&lt;&gt;"",Coaches!$B24,"")</f>
        <v>Barrett</v>
      </c>
      <c r="G24" t="str">
        <f>IF(Coaches!$C24&lt;&gt;"",Coaches!$C24,"")</f>
        <v>Passers</v>
      </c>
    </row>
    <row r="25" spans="1:7" x14ac:dyDescent="0.25">
      <c r="A25" t="str">
        <f>IF(Master!$M232&lt;&gt;"",Master!$C232,"")</f>
        <v>Payton</v>
      </c>
      <c r="B25" t="str">
        <f>IF(Master!$M232&lt;&gt;"",Master!$D232,"")</f>
        <v>Thomas</v>
      </c>
      <c r="C25" t="str">
        <f>IF(Master!$M232&lt;&gt;"",Master!$M232,"")</f>
        <v>Hotwheels</v>
      </c>
      <c r="E25" t="str">
        <f>IF(Coaches!$C25&lt;&gt;"",Coaches!$A25,"")</f>
        <v>Colton</v>
      </c>
      <c r="F25" t="str">
        <f>IF(Coaches!$C25&lt;&gt;"",Coaches!$B25,"")</f>
        <v>Dickerson</v>
      </c>
      <c r="G25" t="str">
        <f>IF(Coaches!$C25&lt;&gt;"",Coaches!$C25,"")</f>
        <v>Passers</v>
      </c>
    </row>
    <row r="26" spans="1:7" x14ac:dyDescent="0.25">
      <c r="A26" t="str">
        <f>IF(Master!$M9&lt;&gt;"",Master!$C9,"")</f>
        <v>Elena</v>
      </c>
      <c r="B26" t="str">
        <f>IF(Master!$M9&lt;&gt;"",Master!$D9,"")</f>
        <v>Back</v>
      </c>
      <c r="C26" t="str">
        <f>IF(Master!$M9&lt;&gt;"",Master!$M9,"")</f>
        <v>Dribblers</v>
      </c>
      <c r="E26" t="str">
        <f>IF(Coaches!$C26&lt;&gt;"",Coaches!$A26,"")</f>
        <v xml:space="preserve">Nora </v>
      </c>
      <c r="F26" t="str">
        <f>IF(Coaches!$C26&lt;&gt;"",Coaches!$B26,"")</f>
        <v>Dickerson</v>
      </c>
      <c r="G26" t="str">
        <f>IF(Coaches!$C26&lt;&gt;"",Coaches!$C26,"")</f>
        <v>Passers</v>
      </c>
    </row>
    <row r="27" spans="1:7" x14ac:dyDescent="0.25">
      <c r="A27" t="str">
        <f>IF(Master!$M23&lt;&gt;"",Master!$C23,"")</f>
        <v>Everette</v>
      </c>
      <c r="B27" t="str">
        <f>IF(Master!$M23&lt;&gt;"",Master!$D23,"")</f>
        <v>Bowman</v>
      </c>
      <c r="C27" t="str">
        <f>IF(Master!$M23&lt;&gt;"",Master!$M23,"")</f>
        <v>Dribblers</v>
      </c>
      <c r="E27" t="str">
        <f>IF(Coaches!$C27&lt;&gt;"",Coaches!$A27,"")</f>
        <v>Laura</v>
      </c>
      <c r="F27" t="str">
        <f>IF(Coaches!$C27&lt;&gt;"",Coaches!$B27,"")</f>
        <v>Senkowski</v>
      </c>
      <c r="G27" t="str">
        <f>IF(Coaches!$C27&lt;&gt;"",Coaches!$C27,"")</f>
        <v>Passers</v>
      </c>
    </row>
    <row r="28" spans="1:7" x14ac:dyDescent="0.25">
      <c r="A28" t="str">
        <f>IF(Master!$M50&lt;&gt;"",Master!$C50,"")</f>
        <v>Nolan</v>
      </c>
      <c r="B28" t="str">
        <f>IF(Master!$M50&lt;&gt;"",Master!$D50,"")</f>
        <v>DeGrazia</v>
      </c>
      <c r="C28" t="str">
        <f>IF(Master!$M50&lt;&gt;"",Master!$M50,"")</f>
        <v>Dribblers</v>
      </c>
      <c r="E28" t="str">
        <f>IF(Coaches!$C28&lt;&gt;"",Coaches!$A28,"")</f>
        <v xml:space="preserve">Craig </v>
      </c>
      <c r="F28" t="str">
        <f>IF(Coaches!$C28&lt;&gt;"",Coaches!$B28,"")</f>
        <v>Dring</v>
      </c>
      <c r="G28" t="str">
        <f>IF(Coaches!$C28&lt;&gt;"",Coaches!$C28,"")</f>
        <v>Strikers</v>
      </c>
    </row>
    <row r="29" spans="1:7" x14ac:dyDescent="0.25">
      <c r="A29" t="str">
        <f>IF(Master!$M97&lt;&gt;"",Master!$C97,"")</f>
        <v>Mikey</v>
      </c>
      <c r="B29" t="str">
        <f>IF(Master!$M97&lt;&gt;"",Master!$D97,"")</f>
        <v>Hoptry</v>
      </c>
      <c r="C29" t="str">
        <f>IF(Master!$M97&lt;&gt;"",Master!$M97,"")</f>
        <v>Dribblers</v>
      </c>
      <c r="E29" t="str">
        <f>IF(Coaches!$C29&lt;&gt;"",Coaches!$A29,"")</f>
        <v>Rowen</v>
      </c>
      <c r="F29" t="str">
        <f>IF(Coaches!$C29&lt;&gt;"",Coaches!$B29,"")</f>
        <v>Arnold</v>
      </c>
      <c r="G29" t="str">
        <f>IF(Coaches!$C29&lt;&gt;"",Coaches!$C29,"")</f>
        <v>Strikers</v>
      </c>
    </row>
    <row r="30" spans="1:7" x14ac:dyDescent="0.25">
      <c r="A30" t="str">
        <f>IF(Master!$M124&lt;&gt;"",Master!$C124,"")</f>
        <v>Elliot</v>
      </c>
      <c r="B30" t="str">
        <f>IF(Master!$M124&lt;&gt;"",Master!$D124,"")</f>
        <v>Ladd</v>
      </c>
      <c r="C30" t="str">
        <f>IF(Master!$M124&lt;&gt;"",Master!$M124,"")</f>
        <v>Dribblers</v>
      </c>
      <c r="E30" t="str">
        <f>IF(Coaches!$C30&lt;&gt;"",Coaches!$A30,"")</f>
        <v xml:space="preserve">Jon </v>
      </c>
      <c r="F30" t="str">
        <f>IF(Coaches!$C30&lt;&gt;"",Coaches!$B30,"")</f>
        <v>Conlee</v>
      </c>
      <c r="G30" t="str">
        <f>IF(Coaches!$C30&lt;&gt;"",Coaches!$C30,"")</f>
        <v>Strikers</v>
      </c>
    </row>
    <row r="31" spans="1:7" x14ac:dyDescent="0.25">
      <c r="A31" t="str">
        <f>IF(Master!$M125&lt;&gt;"",Master!$C125,"")</f>
        <v>Cade</v>
      </c>
      <c r="B31" t="str">
        <f>IF(Master!$M125&lt;&gt;"",Master!$D125,"")</f>
        <v>LaFontsee</v>
      </c>
      <c r="C31" t="str">
        <f>IF(Master!$M125&lt;&gt;"",Master!$M125,"")</f>
        <v>Dribblers</v>
      </c>
      <c r="E31" t="str">
        <f>IF(Coaches!$C31&lt;&gt;"",Coaches!$A31,"")</f>
        <v>Bill</v>
      </c>
      <c r="F31" t="str">
        <f>IF(Coaches!$C31&lt;&gt;"",Coaches!$B31,"")</f>
        <v>Drewry</v>
      </c>
      <c r="G31" t="str">
        <f>IF(Coaches!$C31&lt;&gt;"",Coaches!$C31,"")</f>
        <v>Strikers</v>
      </c>
    </row>
    <row r="32" spans="1:7" x14ac:dyDescent="0.25">
      <c r="A32" t="str">
        <f>IF(Master!$M150&lt;&gt;"",Master!$C150,"")</f>
        <v>Benji</v>
      </c>
      <c r="B32" t="str">
        <f>IF(Master!$M150&lt;&gt;"",Master!$D150,"")</f>
        <v>Mezera</v>
      </c>
      <c r="C32" t="str">
        <f>IF(Master!$M150&lt;&gt;"",Master!$M150,"")</f>
        <v>Dribblers</v>
      </c>
      <c r="E32" t="str">
        <f>IF(Coaches!$C32&lt;&gt;"",Coaches!$A32,"")</f>
        <v>Dana</v>
      </c>
      <c r="F32" t="str">
        <f>IF(Coaches!$C32&lt;&gt;"",Coaches!$B32,"")</f>
        <v>Dring</v>
      </c>
      <c r="G32" t="str">
        <f>IF(Coaches!$C32&lt;&gt;"",Coaches!$C32,"")</f>
        <v>Strikers</v>
      </c>
    </row>
    <row r="33" spans="1:7" x14ac:dyDescent="0.25">
      <c r="A33" t="str">
        <f>IF(Master!$M155&lt;&gt;"",Master!$C155,"")</f>
        <v>Dalton</v>
      </c>
      <c r="B33" t="str">
        <f>IF(Master!$M155&lt;&gt;"",Master!$D155,"")</f>
        <v>Mitchell</v>
      </c>
      <c r="C33" t="str">
        <f>IF(Master!$M155&lt;&gt;"",Master!$M155,"")</f>
        <v>Dribblers</v>
      </c>
      <c r="E33" t="str">
        <f>IF(Coaches!$C33&lt;&gt;"",Coaches!$A33,"")</f>
        <v>Jorge</v>
      </c>
      <c r="F33" t="str">
        <f>IF(Coaches!$C33&lt;&gt;"",Coaches!$B33,"")</f>
        <v>Noj</v>
      </c>
      <c r="G33" t="str">
        <f>IF(Coaches!$C33&lt;&gt;"",Coaches!$C33,"")</f>
        <v>Strikers</v>
      </c>
    </row>
    <row r="34" spans="1:7" x14ac:dyDescent="0.25">
      <c r="A34" t="str">
        <f>IF(Master!$M172&lt;&gt;"",Master!$C172,"")</f>
        <v>Benny</v>
      </c>
      <c r="B34" t="str">
        <f>IF(Master!$M172&lt;&gt;"",Master!$D172,"")</f>
        <v>Pate</v>
      </c>
      <c r="C34" t="str">
        <f>IF(Master!$M172&lt;&gt;"",Master!$M172,"")</f>
        <v>Dribblers</v>
      </c>
      <c r="E34" t="str">
        <f>IF(Coaches!$C34&lt;&gt;"",Coaches!$A34,"")</f>
        <v>Tony</v>
      </c>
      <c r="F34" t="str">
        <f>IF(Coaches!$C34&lt;&gt;"",Coaches!$B34,"")</f>
        <v>Pappert</v>
      </c>
      <c r="G34" t="str">
        <f>IF(Coaches!$C34&lt;&gt;"",Coaches!$C34,"")</f>
        <v>Sweepers</v>
      </c>
    </row>
    <row r="35" spans="1:7" x14ac:dyDescent="0.25">
      <c r="A35" t="str">
        <f>IF(Master!$M187&lt;&gt;"",Master!$C187,"")</f>
        <v>Isa</v>
      </c>
      <c r="B35" t="str">
        <f>IF(Master!$M187&lt;&gt;"",Master!$D187,"")</f>
        <v>Rasheed</v>
      </c>
      <c r="C35" t="str">
        <f>IF(Master!$M187&lt;&gt;"",Master!$M187,"")</f>
        <v>Dribblers</v>
      </c>
      <c r="E35" t="str">
        <f>IF(Coaches!$C35&lt;&gt;"",Coaches!$A35,"")</f>
        <v xml:space="preserve">Harry </v>
      </c>
      <c r="F35" t="str">
        <f>IF(Coaches!$C35&lt;&gt;"",Coaches!$B35,"")</f>
        <v>Bossey</v>
      </c>
      <c r="G35" t="str">
        <f>IF(Coaches!$C35&lt;&gt;"",Coaches!$C35,"")</f>
        <v>Sweepers</v>
      </c>
    </row>
    <row r="36" spans="1:7" x14ac:dyDescent="0.25">
      <c r="A36" t="str">
        <f>IF(Master!$M188&lt;&gt;"",Master!$C188,"")</f>
        <v>Mason</v>
      </c>
      <c r="B36" t="str">
        <f>IF(Master!$M188&lt;&gt;"",Master!$D188,"")</f>
        <v>Reed</v>
      </c>
      <c r="C36" t="str">
        <f>IF(Master!$M188&lt;&gt;"",Master!$M188,"")</f>
        <v>Dribblers</v>
      </c>
      <c r="E36" t="str">
        <f>IF(Coaches!$C36&lt;&gt;"",Coaches!$A36,"")</f>
        <v>Fred</v>
      </c>
      <c r="F36" t="str">
        <f>IF(Coaches!$C36&lt;&gt;"",Coaches!$B36,"")</f>
        <v>Cario</v>
      </c>
      <c r="G36" t="str">
        <f>IF(Coaches!$C36&lt;&gt;"",Coaches!$C36,"")</f>
        <v>Sweepers</v>
      </c>
    </row>
    <row r="37" spans="1:7" x14ac:dyDescent="0.25">
      <c r="A37" t="str">
        <f>IF(Master!$M197&lt;&gt;"",Master!$C197,"")</f>
        <v>Noah</v>
      </c>
      <c r="B37" t="str">
        <f>IF(Master!$M197&lt;&gt;"",Master!$D197,"")</f>
        <v>Rose</v>
      </c>
      <c r="C37" t="str">
        <f>IF(Master!$M197&lt;&gt;"",Master!$M197,"")</f>
        <v>Dribblers</v>
      </c>
      <c r="E37" t="str">
        <f>IF(Coaches!$C37&lt;&gt;"",Coaches!$A37,"")</f>
        <v>Kathy</v>
      </c>
      <c r="F37" t="str">
        <f>IF(Coaches!$C37&lt;&gt;"",Coaches!$B37,"")</f>
        <v>Denlinger</v>
      </c>
      <c r="G37" t="str">
        <f>IF(Coaches!$C37&lt;&gt;"",Coaches!$C37,"")</f>
        <v>Sweepers</v>
      </c>
    </row>
    <row r="38" spans="1:7" x14ac:dyDescent="0.25">
      <c r="A38" t="str">
        <f>IF(Master!$M217&lt;&gt;"",Master!$C217,"")</f>
        <v>Jonathan</v>
      </c>
      <c r="B38" t="str">
        <f>IF(Master!$M217&lt;&gt;"",Master!$D217,"")</f>
        <v>Sibole</v>
      </c>
      <c r="C38" t="str">
        <f>IF(Master!$M217&lt;&gt;"",Master!$M217,"")</f>
        <v>Dribblers</v>
      </c>
      <c r="E38" t="str">
        <f>IF(Coaches!$C38&lt;&gt;"",Coaches!$A38,"")</f>
        <v>Mindy</v>
      </c>
      <c r="F38" t="str">
        <f>IF(Coaches!$C38&lt;&gt;"",Coaches!$B38,"")</f>
        <v>Heyne</v>
      </c>
      <c r="G38" t="str">
        <f>IF(Coaches!$C38&lt;&gt;"",Coaches!$C38,"")</f>
        <v>Staff</v>
      </c>
    </row>
    <row r="39" spans="1:7" x14ac:dyDescent="0.25">
      <c r="A39" t="str">
        <f>IF(Master!$M258&lt;&gt;"",Master!$C258,"")</f>
        <v>Ian</v>
      </c>
      <c r="B39" t="str">
        <f>IF(Master!$M258&lt;&gt;"",Master!$D258,"")</f>
        <v>Witucky</v>
      </c>
      <c r="C39" t="str">
        <f>IF(Master!$M258&lt;&gt;"",Master!$M258,"")</f>
        <v>Dribblers</v>
      </c>
      <c r="E39" t="str">
        <f>IF(Coaches!$C39&lt;&gt;"",Coaches!$A39,"")</f>
        <v>Jess</v>
      </c>
      <c r="F39" t="str">
        <f>IF(Coaches!$C39&lt;&gt;"",Coaches!$B39,"")</f>
        <v>Rose</v>
      </c>
      <c r="G39" t="str">
        <f>IF(Coaches!$C39&lt;&gt;"",Coaches!$C39,"")</f>
        <v>Staff</v>
      </c>
    </row>
    <row r="40" spans="1:7" x14ac:dyDescent="0.25">
      <c r="A40" t="str">
        <f>IF(Master!$M267&lt;&gt;"",Master!$C267,"")</f>
        <v>Lucas</v>
      </c>
      <c r="B40" t="str">
        <f>IF(Master!$M267&lt;&gt;"",Master!$D267,"")</f>
        <v>Zwiers</v>
      </c>
      <c r="C40" t="str">
        <f>IF(Master!$M267&lt;&gt;"",Master!$M267,"")</f>
        <v>Dribblers</v>
      </c>
      <c r="E40" t="str">
        <f>IF(Coaches!$C40&lt;&gt;"",Coaches!$A40,"")</f>
        <v xml:space="preserve">Paul </v>
      </c>
      <c r="F40" t="str">
        <f>IF(Coaches!$C40&lt;&gt;"",Coaches!$B40,"")</f>
        <v>Boeckman</v>
      </c>
      <c r="G40" t="str">
        <f>IF(Coaches!$C40&lt;&gt;"",Coaches!$C40,"")</f>
        <v>Coach</v>
      </c>
    </row>
    <row r="41" spans="1:7" x14ac:dyDescent="0.25">
      <c r="A41" t="str">
        <f>IF(Master!$M29&lt;&gt;"",Master!$C29,"")</f>
        <v>Noah</v>
      </c>
      <c r="B41" t="str">
        <f>IF(Master!$M29&lt;&gt;"",Master!$D29,"")</f>
        <v>Bush</v>
      </c>
      <c r="C41" t="str">
        <f>IF(Master!$M29&lt;&gt;"",Master!$M29,"")</f>
        <v>Shooters</v>
      </c>
      <c r="E41" t="str">
        <f>IF(Coaches!$C41&lt;&gt;"",Coaches!$A41,"")</f>
        <v>Geoff</v>
      </c>
      <c r="F41" t="str">
        <f>IF(Coaches!$C41&lt;&gt;"",Coaches!$B41,"")</f>
        <v>Darr</v>
      </c>
      <c r="G41" t="str">
        <f>IF(Coaches!$C41&lt;&gt;"",Coaches!$C41,"")</f>
        <v>Coach</v>
      </c>
    </row>
    <row r="42" spans="1:7" x14ac:dyDescent="0.25">
      <c r="A42" t="str">
        <f>IF(Master!$M46&lt;&gt;"",Master!$C46,"")</f>
        <v>Vada</v>
      </c>
      <c r="B42" t="str">
        <f>IF(Master!$M46&lt;&gt;"",Master!$D46,"")</f>
        <v>Daniels</v>
      </c>
      <c r="C42" t="str">
        <f>IF(Master!$M46&lt;&gt;"",Master!$M46,"")</f>
        <v>Shooters</v>
      </c>
      <c r="E42" t="str">
        <f>IF(Coaches!$C42&lt;&gt;"",Coaches!$A42,"")</f>
        <v>Erin</v>
      </c>
      <c r="F42" t="str">
        <f>IF(Coaches!$C42&lt;&gt;"",Coaches!$B42,"")</f>
        <v>Dickerson</v>
      </c>
      <c r="G42" t="str">
        <f>IF(Coaches!$C42&lt;&gt;"",Coaches!$C42,"")</f>
        <v>Staff</v>
      </c>
    </row>
    <row r="43" spans="1:7" x14ac:dyDescent="0.25">
      <c r="A43" t="str">
        <f>IF(Master!$M49&lt;&gt;"",Master!$C49,"")</f>
        <v>Payson</v>
      </c>
      <c r="B43" t="str">
        <f>IF(Master!$M49&lt;&gt;"",Master!$D49,"")</f>
        <v>Davis</v>
      </c>
      <c r="C43" t="str">
        <f>IF(Master!$M49&lt;&gt;"",Master!$M49,"")</f>
        <v>Shooters</v>
      </c>
      <c r="E43" t="str">
        <f>IF(Coaches!$C43&lt;&gt;"",Coaches!$A43,"")</f>
        <v/>
      </c>
      <c r="F43" t="str">
        <f>IF(Coaches!$C43&lt;&gt;"",Coaches!$B43,"")</f>
        <v/>
      </c>
      <c r="G43" t="str">
        <f>IF(Coaches!$C43&lt;&gt;"",Coaches!$C43,"")</f>
        <v/>
      </c>
    </row>
    <row r="44" spans="1:7" x14ac:dyDescent="0.25">
      <c r="A44" t="str">
        <f>IF(Master!$M83&lt;&gt;"",Master!$C83,"")</f>
        <v>Nora</v>
      </c>
      <c r="B44" t="str">
        <f>IF(Master!$M83&lt;&gt;"",Master!$D83,"")</f>
        <v>Grimsley</v>
      </c>
      <c r="C44" t="str">
        <f>IF(Master!$M83&lt;&gt;"",Master!$M83,"")</f>
        <v>Shooters</v>
      </c>
      <c r="E44" t="str">
        <f>IF(Coaches!$C44&lt;&gt;"",Coaches!$A44,"")</f>
        <v/>
      </c>
      <c r="F44" t="str">
        <f>IF(Coaches!$C44&lt;&gt;"",Coaches!$B44,"")</f>
        <v/>
      </c>
      <c r="G44" t="str">
        <f>IF(Coaches!$C44&lt;&gt;"",Coaches!$C44,"")</f>
        <v/>
      </c>
    </row>
    <row r="45" spans="1:7" x14ac:dyDescent="0.25">
      <c r="A45" t="str">
        <f>IF(Master!$M85&lt;&gt;"",Master!$C85,"")</f>
        <v>Zayn</v>
      </c>
      <c r="B45" t="str">
        <f>IF(Master!$M85&lt;&gt;"",Master!$D85,"")</f>
        <v>Hahn</v>
      </c>
      <c r="C45" t="str">
        <f>IF(Master!$M85&lt;&gt;"",Master!$M85,"")</f>
        <v>Shooters</v>
      </c>
      <c r="E45" t="str">
        <f>IF(Coaches!$C45&lt;&gt;"",Coaches!$A45,"")</f>
        <v/>
      </c>
      <c r="F45" t="str">
        <f>IF(Coaches!$C45&lt;&gt;"",Coaches!$B45,"")</f>
        <v/>
      </c>
      <c r="G45" t="str">
        <f>IF(Coaches!$C45&lt;&gt;"",Coaches!$C45,"")</f>
        <v/>
      </c>
    </row>
    <row r="46" spans="1:7" x14ac:dyDescent="0.25">
      <c r="A46" t="str">
        <f>IF(Master!$M104&lt;&gt;"",Master!$C104,"")</f>
        <v>Jeffery</v>
      </c>
      <c r="B46" t="str">
        <f>IF(Master!$M104&lt;&gt;"",Master!$D104,"")</f>
        <v>Isbell</v>
      </c>
      <c r="C46" t="str">
        <f>IF(Master!$M104&lt;&gt;"",Master!$M104,"")</f>
        <v>Shooters</v>
      </c>
      <c r="E46" t="str">
        <f>IF(Coaches!$C46&lt;&gt;"",Coaches!$A46,"")</f>
        <v/>
      </c>
      <c r="F46" t="str">
        <f>IF(Coaches!$C46&lt;&gt;"",Coaches!$B46,"")</f>
        <v/>
      </c>
      <c r="G46" t="str">
        <f>IF(Coaches!$C46&lt;&gt;"",Coaches!$C46,"")</f>
        <v/>
      </c>
    </row>
    <row r="47" spans="1:7" x14ac:dyDescent="0.25">
      <c r="A47" t="str">
        <f>IF(Master!$M108&lt;&gt;"",Master!$C108,"")</f>
        <v>Micah</v>
      </c>
      <c r="B47" t="str">
        <f>IF(Master!$M108&lt;&gt;"",Master!$D108,"")</f>
        <v>Jegede</v>
      </c>
      <c r="C47" t="str">
        <f>IF(Master!$M108&lt;&gt;"",Master!$M108,"")</f>
        <v>Shooters</v>
      </c>
      <c r="E47" t="str">
        <f>IF(Coaches!$C47&lt;&gt;"",Coaches!$A47,"")</f>
        <v/>
      </c>
      <c r="F47" t="str">
        <f>IF(Coaches!$C47&lt;&gt;"",Coaches!$B47,"")</f>
        <v/>
      </c>
      <c r="G47" t="str">
        <f>IF(Coaches!$C47&lt;&gt;"",Coaches!$C47,"")</f>
        <v/>
      </c>
    </row>
    <row r="48" spans="1:7" x14ac:dyDescent="0.25">
      <c r="A48" t="str">
        <f>IF(Master!$M118&lt;&gt;"",Master!$C118,"")</f>
        <v>Keaton</v>
      </c>
      <c r="B48" t="str">
        <f>IF(Master!$M118&lt;&gt;"",Master!$D118,"")</f>
        <v>Kinney</v>
      </c>
      <c r="C48" t="str">
        <f>IF(Master!$M118&lt;&gt;"",Master!$M118,"")</f>
        <v>Shooters</v>
      </c>
      <c r="E48" t="str">
        <f>IF(Coaches!$C48&lt;&gt;"",Coaches!$A48,"")</f>
        <v/>
      </c>
      <c r="F48" t="str">
        <f>IF(Coaches!$C48&lt;&gt;"",Coaches!$B48,"")</f>
        <v/>
      </c>
      <c r="G48" t="str">
        <f>IF(Coaches!$C48&lt;&gt;"",Coaches!$C48,"")</f>
        <v/>
      </c>
    </row>
    <row r="49" spans="1:7" x14ac:dyDescent="0.25">
      <c r="A49" t="str">
        <f>IF(Master!$M148&lt;&gt;"",Master!$C148,"")</f>
        <v>Charlotte</v>
      </c>
      <c r="B49" t="str">
        <f>IF(Master!$M148&lt;&gt;"",Master!$D148,"")</f>
        <v>McKinnson</v>
      </c>
      <c r="C49" t="str">
        <f>IF(Master!$M148&lt;&gt;"",Master!$M148,"")</f>
        <v>Shooters</v>
      </c>
      <c r="E49" t="str">
        <f>IF(Coaches!$C49&lt;&gt;"",Coaches!$A49,"")</f>
        <v/>
      </c>
      <c r="F49" t="str">
        <f>IF(Coaches!$C49&lt;&gt;"",Coaches!$B49,"")</f>
        <v/>
      </c>
      <c r="G49" t="str">
        <f>IF(Coaches!$C49&lt;&gt;"",Coaches!$C49,"")</f>
        <v/>
      </c>
    </row>
    <row r="50" spans="1:7" x14ac:dyDescent="0.25">
      <c r="A50" t="str">
        <f>IF(Master!$M186&lt;&gt;"",Master!$C186,"")</f>
        <v>Levi</v>
      </c>
      <c r="B50" t="str">
        <f>IF(Master!$M186&lt;&gt;"",Master!$D186,"")</f>
        <v>Pullins</v>
      </c>
      <c r="C50" t="str">
        <f>IF(Master!$M186&lt;&gt;"",Master!$M186,"")</f>
        <v>Shooters</v>
      </c>
      <c r="E50" t="str">
        <f>IF(Coaches!$C50&lt;&gt;"",Coaches!$A50,"")</f>
        <v/>
      </c>
      <c r="F50" t="str">
        <f>IF(Coaches!$C50&lt;&gt;"",Coaches!$B50,"")</f>
        <v/>
      </c>
      <c r="G50" t="str">
        <f>IF(Coaches!$C50&lt;&gt;"",Coaches!$C50,"")</f>
        <v/>
      </c>
    </row>
    <row r="51" spans="1:7" x14ac:dyDescent="0.25">
      <c r="A51" t="str">
        <f>IF(Master!$M194&lt;&gt;"",Master!$C194,"")</f>
        <v>Isaac</v>
      </c>
      <c r="B51" t="str">
        <f>IF(Master!$M194&lt;&gt;"",Master!$D194,"")</f>
        <v>Robertson</v>
      </c>
      <c r="C51" t="str">
        <f>IF(Master!$M194&lt;&gt;"",Master!$M194,"")</f>
        <v>Shooters</v>
      </c>
      <c r="E51" t="str">
        <f>IF(Coaches!$C51&lt;&gt;"",Coaches!$A51,"")</f>
        <v/>
      </c>
      <c r="F51" t="str">
        <f>IF(Coaches!$C51&lt;&gt;"",Coaches!$B51,"")</f>
        <v/>
      </c>
      <c r="G51" t="str">
        <f>IF(Coaches!$C51&lt;&gt;"",Coaches!$C51,"")</f>
        <v/>
      </c>
    </row>
    <row r="52" spans="1:7" x14ac:dyDescent="0.25">
      <c r="A52" t="str">
        <f>IF(Master!$M201&lt;&gt;"",Master!$C201,"")</f>
        <v>Aaryan</v>
      </c>
      <c r="B52" t="str">
        <f>IF(Master!$M201&lt;&gt;"",Master!$D201,"")</f>
        <v>Sagvekar</v>
      </c>
      <c r="C52" t="str">
        <f>IF(Master!$M201&lt;&gt;"",Master!$M201,"")</f>
        <v>Shooters</v>
      </c>
      <c r="E52" t="str">
        <f>IF(Coaches!$C46&lt;&gt;"",Coaches!$A46,"")</f>
        <v/>
      </c>
      <c r="F52" t="str">
        <f>IF(Coaches!$C46&lt;&gt;"",Coaches!$B46,"")</f>
        <v/>
      </c>
      <c r="G52" t="str">
        <f>IF(Coaches!$C46&lt;&gt;"",Coaches!$C46,"")</f>
        <v/>
      </c>
    </row>
    <row r="53" spans="1:7" x14ac:dyDescent="0.25">
      <c r="A53" t="str">
        <f>IF(Master!$M204&lt;&gt;"",Master!$C204,"")</f>
        <v>Aaryan</v>
      </c>
      <c r="B53" t="str">
        <f>IF(Master!$M204&lt;&gt;"",Master!$D204,"")</f>
        <v>Satish</v>
      </c>
      <c r="C53" t="str">
        <f>IF(Master!$M204&lt;&gt;"",Master!$M204,"")</f>
        <v>Shooters</v>
      </c>
      <c r="E53" t="str">
        <f>IF(Coaches!$C47&lt;&gt;"",Coaches!$A47,"")</f>
        <v/>
      </c>
      <c r="F53" t="str">
        <f>IF(Coaches!$C47&lt;&gt;"",Coaches!$B47,"")</f>
        <v/>
      </c>
      <c r="G53" t="str">
        <f>IF(Coaches!$C47&lt;&gt;"",Coaches!$C47,"")</f>
        <v/>
      </c>
    </row>
    <row r="54" spans="1:7" x14ac:dyDescent="0.25">
      <c r="A54" t="str">
        <f>IF(Master!$M208&lt;&gt;"",Master!$C208,"")</f>
        <v>Hoyt</v>
      </c>
      <c r="B54" t="str">
        <f>IF(Master!$M208&lt;&gt;"",Master!$D208,"")</f>
        <v>Schaaf</v>
      </c>
      <c r="C54" t="str">
        <f>IF(Master!$M208&lt;&gt;"",Master!$M208,"")</f>
        <v>Shooters</v>
      </c>
      <c r="E54" t="str">
        <f>IF(Coaches!$C48&lt;&gt;"",Coaches!$A48,"")</f>
        <v/>
      </c>
      <c r="F54" t="str">
        <f>IF(Coaches!$C48&lt;&gt;"",Coaches!$B48,"")</f>
        <v/>
      </c>
      <c r="G54" t="str">
        <f>IF(Coaches!$C48&lt;&gt;"",Coaches!$C48,"")</f>
        <v/>
      </c>
    </row>
    <row r="55" spans="1:7" x14ac:dyDescent="0.25">
      <c r="A55" t="str">
        <f>IF(Master!$M228&lt;&gt;"",Master!$C228,"")</f>
        <v>Otto</v>
      </c>
      <c r="B55" t="str">
        <f>IF(Master!$M228&lt;&gt;"",Master!$D228,"")</f>
        <v>Stieger</v>
      </c>
      <c r="C55" t="str">
        <f>IF(Master!$M228&lt;&gt;"",Master!$M228,"")</f>
        <v>Shooters</v>
      </c>
      <c r="E55" t="str">
        <f>IF(Coaches!$C49&lt;&gt;"",Coaches!$A49,"")</f>
        <v/>
      </c>
      <c r="F55" t="str">
        <f>IF(Coaches!$C49&lt;&gt;"",Coaches!$B49,"")</f>
        <v/>
      </c>
      <c r="G55" t="str">
        <f>IF(Coaches!$C49&lt;&gt;"",Coaches!$C49,"")</f>
        <v/>
      </c>
    </row>
    <row r="56" spans="1:7" x14ac:dyDescent="0.25">
      <c r="A56" t="str">
        <f>IF(Master!$M229&lt;&gt;"",Master!$C229,"")</f>
        <v>Luke</v>
      </c>
      <c r="B56" t="str">
        <f>IF(Master!$M229&lt;&gt;"",Master!$D229,"")</f>
        <v>Stingley</v>
      </c>
      <c r="C56" t="str">
        <f>IF(Master!$M229&lt;&gt;"",Master!$M229,"")</f>
        <v>Shooters</v>
      </c>
      <c r="E56" t="str">
        <f>IF(Coaches!$C50&lt;&gt;"",Coaches!$A50,"")</f>
        <v/>
      </c>
      <c r="F56" t="str">
        <f>IF(Coaches!$C50&lt;&gt;"",Coaches!$B50,"")</f>
        <v/>
      </c>
      <c r="G56" t="str">
        <f>IF(Coaches!$C50&lt;&gt;"",Coaches!$C50,"")</f>
        <v/>
      </c>
    </row>
    <row r="57" spans="1:7" x14ac:dyDescent="0.25">
      <c r="A57" t="str">
        <f>IF(Master!$M249&lt;&gt;"",Master!$C249,"")</f>
        <v>Noah</v>
      </c>
      <c r="B57" t="str">
        <f>IF(Master!$M249&lt;&gt;"",Master!$D249,"")</f>
        <v>Webb</v>
      </c>
      <c r="C57" t="str">
        <f>IF(Master!$M249&lt;&gt;"",Master!$M249,"")</f>
        <v>Shooters</v>
      </c>
      <c r="E57" t="str">
        <f>IF(Coaches!$C51&lt;&gt;"",Coaches!$A51,"")</f>
        <v/>
      </c>
      <c r="F57" t="str">
        <f>IF(Coaches!$C51&lt;&gt;"",Coaches!$B51,"")</f>
        <v/>
      </c>
      <c r="G57" t="str">
        <f>IF(Coaches!$C51&lt;&gt;"",Coaches!$C51,"")</f>
        <v/>
      </c>
    </row>
    <row r="58" spans="1:7" x14ac:dyDescent="0.25">
      <c r="A58" t="str">
        <f>IF(Master!$M2&lt;&gt;"",Master!$C2,"")</f>
        <v>Avery</v>
      </c>
      <c r="B58" t="str">
        <f>IF(Master!$M2&lt;&gt;"",Master!$D2,"")</f>
        <v>Abshear</v>
      </c>
      <c r="C58" t="str">
        <f>IF(Master!$M2&lt;&gt;"",Master!$M2,"")</f>
        <v>Wings</v>
      </c>
      <c r="E58" t="str">
        <f>IF(Coaches!$C52&lt;&gt;"",Coaches!$A52,"")</f>
        <v/>
      </c>
      <c r="F58" t="str">
        <f>IF(Coaches!$C52&lt;&gt;"",Coaches!$B52,"")</f>
        <v/>
      </c>
      <c r="G58" t="str">
        <f>IF(Coaches!$C52&lt;&gt;"",Coaches!$C52,"")</f>
        <v/>
      </c>
    </row>
    <row r="59" spans="1:7" x14ac:dyDescent="0.25">
      <c r="A59" t="str">
        <f>IF(Master!$M3&lt;&gt;"",Master!$C3,"")</f>
        <v>Jackson</v>
      </c>
      <c r="B59" t="str">
        <f>IF(Master!$M3&lt;&gt;"",Master!$D3,"")</f>
        <v>Abshear</v>
      </c>
      <c r="C59" t="str">
        <f>IF(Master!$M3&lt;&gt;"",Master!$M3,"")</f>
        <v>Wings</v>
      </c>
      <c r="E59" t="str">
        <f>IF(Coaches!$C53&lt;&gt;"",Coaches!$A53,"")</f>
        <v/>
      </c>
      <c r="F59" t="str">
        <f>IF(Coaches!$C53&lt;&gt;"",Coaches!$B53,"")</f>
        <v/>
      </c>
      <c r="G59" t="str">
        <f>IF(Coaches!$C53&lt;&gt;"",Coaches!$C53,"")</f>
        <v/>
      </c>
    </row>
    <row r="60" spans="1:7" x14ac:dyDescent="0.25">
      <c r="A60" t="str">
        <f>IF(Master!$M77&lt;&gt;"",Master!$C77,"")</f>
        <v>Ella</v>
      </c>
      <c r="B60" t="str">
        <f>IF(Master!$M77&lt;&gt;"",Master!$D77,"")</f>
        <v>Gillette</v>
      </c>
      <c r="C60" t="str">
        <f>IF(Master!$M77&lt;&gt;"",Master!$M77,"")</f>
        <v>Wings</v>
      </c>
      <c r="E60" t="str">
        <f>IF(Coaches!$C54&lt;&gt;"",Coaches!$A54,"")</f>
        <v/>
      </c>
      <c r="F60" t="str">
        <f>IF(Coaches!$C54&lt;&gt;"",Coaches!$B54,"")</f>
        <v/>
      </c>
      <c r="G60" t="str">
        <f>IF(Coaches!$C54&lt;&gt;"",Coaches!$C54,"")</f>
        <v/>
      </c>
    </row>
    <row r="61" spans="1:7" x14ac:dyDescent="0.25">
      <c r="A61" t="str">
        <f>IF(Master!$M93&lt;&gt;"",Master!$C93,"")</f>
        <v>Nicolas</v>
      </c>
      <c r="B61" t="str">
        <f>IF(Master!$M93&lt;&gt;"",Master!$D93,"")</f>
        <v>Heyne</v>
      </c>
      <c r="C61" t="str">
        <f>IF(Master!$M93&lt;&gt;"",Master!$M93,"")</f>
        <v>Wings</v>
      </c>
      <c r="E61" t="str">
        <f>IF(Coaches!$C55&lt;&gt;"",Coaches!$A55,"")</f>
        <v/>
      </c>
      <c r="F61" t="str">
        <f>IF(Coaches!$C55&lt;&gt;"",Coaches!$B55,"")</f>
        <v/>
      </c>
      <c r="G61" t="str">
        <f>IF(Coaches!$C55&lt;&gt;"",Coaches!$C55,"")</f>
        <v/>
      </c>
    </row>
    <row r="62" spans="1:7" x14ac:dyDescent="0.25">
      <c r="A62" t="str">
        <f>IF(Master!$M95&lt;&gt;"",Master!$C95,"")</f>
        <v>Kenley</v>
      </c>
      <c r="B62" t="str">
        <f>IF(Master!$M95&lt;&gt;"",Master!$D95,"")</f>
        <v>Holtz</v>
      </c>
      <c r="C62" t="str">
        <f>IF(Master!$M95&lt;&gt;"",Master!$M95,"")</f>
        <v>Wings</v>
      </c>
      <c r="E62" t="str">
        <f>IF(Coaches!$C60&lt;&gt;"",Coaches!$A60,"")</f>
        <v/>
      </c>
      <c r="F62" t="str">
        <f>IF(Coaches!$C60&lt;&gt;"",Coaches!$B60,"")</f>
        <v/>
      </c>
      <c r="G62" t="str">
        <f>IF(Coaches!$C60&lt;&gt;"",Coaches!$C60,"")</f>
        <v/>
      </c>
    </row>
    <row r="63" spans="1:7" x14ac:dyDescent="0.25">
      <c r="A63" t="str">
        <f>IF(Master!$M126&lt;&gt;"",Master!$C126,"")</f>
        <v>Livy</v>
      </c>
      <c r="B63" t="str">
        <f>IF(Master!$M126&lt;&gt;"",Master!$D126,"")</f>
        <v>Lake</v>
      </c>
      <c r="C63" t="str">
        <f>IF(Master!$M126&lt;&gt;"",Master!$M126,"")</f>
        <v>Wings</v>
      </c>
      <c r="E63" t="str">
        <f>IF(Coaches!$C61&lt;&gt;"",Coaches!$A61,"")</f>
        <v/>
      </c>
      <c r="F63" t="str">
        <f>IF(Coaches!$C61&lt;&gt;"",Coaches!$B61,"")</f>
        <v/>
      </c>
      <c r="G63" t="str">
        <f>IF(Coaches!$C61&lt;&gt;"",Coaches!$C61,"")</f>
        <v/>
      </c>
    </row>
    <row r="64" spans="1:7" x14ac:dyDescent="0.25">
      <c r="A64" t="str">
        <f>IF(Master!$M136&lt;&gt;"",Master!$C136,"")</f>
        <v>Bodey</v>
      </c>
      <c r="B64" t="str">
        <f>IF(Master!$M136&lt;&gt;"",Master!$D136,"")</f>
        <v>Maher</v>
      </c>
      <c r="C64" t="str">
        <f>IF(Master!$M136&lt;&gt;"",Master!$M136,"")</f>
        <v>Wings</v>
      </c>
      <c r="E64" t="str">
        <f>IF(Coaches!$C62&lt;&gt;"",Coaches!$A62,"")</f>
        <v/>
      </c>
      <c r="F64" t="str">
        <f>IF(Coaches!$C62&lt;&gt;"",Coaches!$B62,"")</f>
        <v/>
      </c>
      <c r="G64" t="str">
        <f>IF(Coaches!$C62&lt;&gt;"",Coaches!$C62,"")</f>
        <v/>
      </c>
    </row>
    <row r="65" spans="1:7" x14ac:dyDescent="0.25">
      <c r="A65" t="str">
        <f>IF(Master!$M157&lt;&gt;"",Master!$C157,"")</f>
        <v>Penelope</v>
      </c>
      <c r="B65" t="str">
        <f>IF(Master!$M157&lt;&gt;"",Master!$D157,"")</f>
        <v>Mogollon-Faris</v>
      </c>
      <c r="C65" t="str">
        <f>IF(Master!$M157&lt;&gt;"",Master!$M157,"")</f>
        <v>Wings</v>
      </c>
      <c r="E65" t="str">
        <f>IF(Coaches!$C63&lt;&gt;"",Coaches!$A63,"")</f>
        <v/>
      </c>
      <c r="F65" t="str">
        <f>IF(Coaches!$C63&lt;&gt;"",Coaches!$B63,"")</f>
        <v/>
      </c>
      <c r="G65" t="str">
        <f>IF(Coaches!$C63&lt;&gt;"",Coaches!$C63,"")</f>
        <v/>
      </c>
    </row>
    <row r="66" spans="1:7" x14ac:dyDescent="0.25">
      <c r="A66" t="str">
        <f>IF(Master!$M170&lt;&gt;"",Master!$C170,"")</f>
        <v>Mallory</v>
      </c>
      <c r="B66" t="str">
        <f>IF(Master!$M170&lt;&gt;"",Master!$D170,"")</f>
        <v>O'Neill</v>
      </c>
      <c r="C66" t="str">
        <f>IF(Master!$M170&lt;&gt;"",Master!$M170,"")</f>
        <v>Wings</v>
      </c>
    </row>
    <row r="67" spans="1:7" x14ac:dyDescent="0.25">
      <c r="A67" t="str">
        <f>IF(Master!$M178&lt;&gt;"",Master!$C178,"")</f>
        <v>Lukas</v>
      </c>
      <c r="B67" t="str">
        <f>IF(Master!$M178&lt;&gt;"",Master!$D178,"")</f>
        <v>Pickett</v>
      </c>
      <c r="C67" t="str">
        <f>IF(Master!$M178&lt;&gt;"",Master!$M178,"")</f>
        <v>Wings</v>
      </c>
    </row>
    <row r="68" spans="1:7" x14ac:dyDescent="0.25">
      <c r="A68" t="str">
        <f>IF(Master!$M191&lt;&gt;"",Master!$C191,"")</f>
        <v>Keira</v>
      </c>
      <c r="B68" t="str">
        <f>IF(Master!$M191&lt;&gt;"",Master!$D191,"")</f>
        <v>Richison</v>
      </c>
      <c r="C68" t="str">
        <f>IF(Master!$M191&lt;&gt;"",Master!$M191,"")</f>
        <v>Wings</v>
      </c>
    </row>
    <row r="69" spans="1:7" x14ac:dyDescent="0.25">
      <c r="A69" t="str">
        <f>IF(Master!$M221&lt;&gt;"",Master!$C221,"")</f>
        <v>Ava</v>
      </c>
      <c r="B69" t="str">
        <f>IF(Master!$M221&lt;&gt;"",Master!$D221,"")</f>
        <v>Smith</v>
      </c>
      <c r="C69" t="str">
        <f>IF(Master!$M221&lt;&gt;"",Master!$M221,"")</f>
        <v>Wings</v>
      </c>
    </row>
    <row r="70" spans="1:7" x14ac:dyDescent="0.25">
      <c r="A70" t="str">
        <f>IF(Master!$M242&lt;&gt;"",Master!$C242,"")</f>
        <v>Lyra</v>
      </c>
      <c r="B70" t="str">
        <f>IF(Master!$M242&lt;&gt;"",Master!$D242,"")</f>
        <v>Vinande</v>
      </c>
      <c r="C70" t="str">
        <f>IF(Master!$M242&lt;&gt;"",Master!$M242,"")</f>
        <v>Wings</v>
      </c>
    </row>
    <row r="71" spans="1:7" x14ac:dyDescent="0.25">
      <c r="A71" t="str">
        <f>IF(Master!$M250&lt;&gt;"",Master!$C250,"")</f>
        <v>Gigi</v>
      </c>
      <c r="B71" t="str">
        <f>IF(Master!$M250&lt;&gt;"",Master!$D250,"")</f>
        <v xml:space="preserve">West </v>
      </c>
      <c r="C71" t="str">
        <f>IF(Master!$M250&lt;&gt;"",Master!$M250,"")</f>
        <v>Wings</v>
      </c>
    </row>
    <row r="72" spans="1:7" x14ac:dyDescent="0.25">
      <c r="A72" t="str">
        <f>IF(Master!$M6&lt;&gt;"",Master!$C6,"")</f>
        <v>Gordon (JR)</v>
      </c>
      <c r="B72" t="str">
        <f>IF(Master!$M6&lt;&gt;"",Master!$D6,"")</f>
        <v>Alobwede</v>
      </c>
      <c r="C72" t="str">
        <f>IF(Master!$M6&lt;&gt;"",Master!$M6,"")</f>
        <v>Kickers</v>
      </c>
    </row>
    <row r="73" spans="1:7" x14ac:dyDescent="0.25">
      <c r="A73" t="str">
        <f>IF(Master!$M7&lt;&gt;"",Master!$C7,"")</f>
        <v>Landrie</v>
      </c>
      <c r="B73" t="str">
        <f>IF(Master!$M7&lt;&gt;"",Master!$D7,"")</f>
        <v>Amaro</v>
      </c>
      <c r="C73" t="str">
        <f>IF(Master!$M7&lt;&gt;"",Master!$M7,"")</f>
        <v>Kickers</v>
      </c>
    </row>
    <row r="74" spans="1:7" x14ac:dyDescent="0.25">
      <c r="A74" t="str">
        <f>IF(Master!$M21&lt;&gt;"",Master!$C21,"")</f>
        <v>Dylan</v>
      </c>
      <c r="B74" t="str">
        <f>IF(Master!$M21&lt;&gt;"",Master!$D21,"")</f>
        <v>Bowling</v>
      </c>
      <c r="C74" t="str">
        <f>IF(Master!$M21&lt;&gt;"",Master!$M21,"")</f>
        <v>Kickers</v>
      </c>
    </row>
    <row r="75" spans="1:7" x14ac:dyDescent="0.25">
      <c r="A75" t="str">
        <f>IF(Master!$M25&lt;&gt;"",Master!$C25,"")</f>
        <v>Charles</v>
      </c>
      <c r="B75" t="str">
        <f>IF(Master!$M25&lt;&gt;"",Master!$D25,"")</f>
        <v>Brewer</v>
      </c>
      <c r="C75" t="str">
        <f>IF(Master!$M25&lt;&gt;"",Master!$M25,"")</f>
        <v>Kickers</v>
      </c>
    </row>
    <row r="76" spans="1:7" x14ac:dyDescent="0.25">
      <c r="A76" t="str">
        <f>IF(Master!$M48&lt;&gt;"",Master!$C48,"")</f>
        <v>Ian</v>
      </c>
      <c r="B76" t="str">
        <f>IF(Master!$M48&lt;&gt;"",Master!$D48,"")</f>
        <v>Davis</v>
      </c>
      <c r="C76" t="str">
        <f>IF(Master!$M48&lt;&gt;"",Master!$M48,"")</f>
        <v>Kickers</v>
      </c>
    </row>
    <row r="77" spans="1:7" x14ac:dyDescent="0.25">
      <c r="A77" t="str">
        <f>IF(Master!$M60&lt;&gt;"",Master!$C60,"")</f>
        <v>Leighton</v>
      </c>
      <c r="B77" t="str">
        <f>IF(Master!$M60&lt;&gt;"",Master!$D60,"")</f>
        <v>Ellinger</v>
      </c>
      <c r="C77" t="str">
        <f>IF(Master!$M60&lt;&gt;"",Master!$M60,"")</f>
        <v>Kickers</v>
      </c>
    </row>
    <row r="78" spans="1:7" x14ac:dyDescent="0.25">
      <c r="A78" t="str">
        <f>IF(Master!$M81&lt;&gt;"",Master!$C81,"")</f>
        <v>Matthew</v>
      </c>
      <c r="B78" t="str">
        <f>IF(Master!$M81&lt;&gt;"",Master!$D81,"")</f>
        <v>Greely</v>
      </c>
      <c r="C78" t="str">
        <f>IF(Master!$M81&lt;&gt;"",Master!$M81,"")</f>
        <v>Kickers</v>
      </c>
    </row>
    <row r="79" spans="1:7" x14ac:dyDescent="0.25">
      <c r="A79" t="str">
        <f>IF(Master!$M94&lt;&gt;"",Master!$C94,"")</f>
        <v>Alexander</v>
      </c>
      <c r="B79" t="str">
        <f>IF(Master!$M94&lt;&gt;"",Master!$D94,"")</f>
        <v>Holecek</v>
      </c>
      <c r="C79" t="str">
        <f>IF(Master!$M94&lt;&gt;"",Master!$M94,"")</f>
        <v>Kickers</v>
      </c>
    </row>
    <row r="80" spans="1:7" x14ac:dyDescent="0.25">
      <c r="A80" t="str">
        <f>IF(Master!$M105&lt;&gt;"",Master!$C105,"")</f>
        <v>Sophie</v>
      </c>
      <c r="B80" t="str">
        <f>IF(Master!$M105&lt;&gt;"",Master!$D105,"")</f>
        <v>Jackson</v>
      </c>
      <c r="C80" t="str">
        <f>IF(Master!$M105&lt;&gt;"",Master!$M105,"")</f>
        <v>Kickers</v>
      </c>
    </row>
    <row r="81" spans="1:3" x14ac:dyDescent="0.25">
      <c r="A81" t="str">
        <f>IF(Master!$M111&lt;&gt;"",Master!$C111,"")</f>
        <v>Everett</v>
      </c>
      <c r="B81" t="str">
        <f>IF(Master!$M111&lt;&gt;"",Master!$D111,"")</f>
        <v>Jones</v>
      </c>
      <c r="C81" t="str">
        <f>IF(Master!$M111&lt;&gt;"",Master!$M111,"")</f>
        <v>Kickers</v>
      </c>
    </row>
    <row r="82" spans="1:3" x14ac:dyDescent="0.25">
      <c r="A82" t="str">
        <f>IF(Master!$M127&lt;&gt;"",Master!$C127,"")</f>
        <v>Madison</v>
      </c>
      <c r="B82" t="str">
        <f>IF(Master!$M127&lt;&gt;"",Master!$D127,"")</f>
        <v>Landers</v>
      </c>
      <c r="C82" t="str">
        <f>IF(Master!$M127&lt;&gt;"",Master!$M127,"")</f>
        <v>Kickers</v>
      </c>
    </row>
    <row r="83" spans="1:3" x14ac:dyDescent="0.25">
      <c r="A83" t="str">
        <f>IF(Master!$M164&lt;&gt;"",Master!$C164,"")</f>
        <v>Gemma</v>
      </c>
      <c r="B83" t="str">
        <f>IF(Master!$M164&lt;&gt;"",Master!$D164,"")</f>
        <v>Nessler</v>
      </c>
      <c r="C83" t="str">
        <f>IF(Master!$M164&lt;&gt;"",Master!$M164,"")</f>
        <v>Kickers</v>
      </c>
    </row>
    <row r="84" spans="1:3" x14ac:dyDescent="0.25">
      <c r="A84" t="str">
        <f>IF(Master!$M166&lt;&gt;"",Master!$C166,"")</f>
        <v>Patrick</v>
      </c>
      <c r="B84" t="str">
        <f>IF(Master!$M166&lt;&gt;"",Master!$D166,"")</f>
        <v>O'Brien</v>
      </c>
      <c r="C84" t="str">
        <f>IF(Master!$M166&lt;&gt;"",Master!$M166,"")</f>
        <v>Kickers</v>
      </c>
    </row>
    <row r="85" spans="1:3" x14ac:dyDescent="0.25">
      <c r="A85" t="str">
        <f>IF(Master!$M176&lt;&gt;"",Master!$C176,"")</f>
        <v>Kylie</v>
      </c>
      <c r="B85" t="str">
        <f>IF(Master!$M176&lt;&gt;"",Master!$D176,"")</f>
        <v>Peters</v>
      </c>
      <c r="C85" t="str">
        <f>IF(Master!$M176&lt;&gt;"",Master!$M176,"")</f>
        <v>Kickers</v>
      </c>
    </row>
    <row r="86" spans="1:3" x14ac:dyDescent="0.25">
      <c r="A86" t="str">
        <f>IF(Master!$M185&lt;&gt;"",Master!$C185,"")</f>
        <v>Breyshun</v>
      </c>
      <c r="B86" t="str">
        <f>IF(Master!$M185&lt;&gt;"",Master!$D185,"")</f>
        <v>Price</v>
      </c>
      <c r="C86" t="str">
        <f>IF(Master!$M185&lt;&gt;"",Master!$M185,"")</f>
        <v>Kickers</v>
      </c>
    </row>
    <row r="87" spans="1:3" x14ac:dyDescent="0.25">
      <c r="A87" t="str">
        <f>IF(Master!$M225&lt;&gt;"",Master!$C225,"")</f>
        <v>Zac</v>
      </c>
      <c r="B87" t="str">
        <f>IF(Master!$M225&lt;&gt;"",Master!$D225,"")</f>
        <v>Sparks</v>
      </c>
      <c r="C87" t="str">
        <f>IF(Master!$M225&lt;&gt;"",Master!$M225,"")</f>
        <v>Kickers</v>
      </c>
    </row>
    <row r="88" spans="1:3" x14ac:dyDescent="0.25">
      <c r="A88" t="str">
        <f>IF(Master!$M234&lt;&gt;"",Master!$C234,"")</f>
        <v>Jack</v>
      </c>
      <c r="B88" t="str">
        <f>IF(Master!$M234&lt;&gt;"",Master!$D234,"")</f>
        <v>Tittle</v>
      </c>
      <c r="C88" t="str">
        <f>IF(Master!$M234&lt;&gt;"",Master!$M234,"")</f>
        <v>Kickers</v>
      </c>
    </row>
    <row r="89" spans="1:3" x14ac:dyDescent="0.25">
      <c r="A89" t="str">
        <f>IF(Master!$M240&lt;&gt;"",Master!$C240,"")</f>
        <v>Vincent</v>
      </c>
      <c r="B89" t="str">
        <f>IF(Master!$M240&lt;&gt;"",Master!$D240,"")</f>
        <v>Van Zant</v>
      </c>
      <c r="C89" t="str">
        <f>IF(Master!$M240&lt;&gt;"",Master!$M240,"")</f>
        <v>Kickers</v>
      </c>
    </row>
    <row r="90" spans="1:3" x14ac:dyDescent="0.25">
      <c r="A90" t="str">
        <f>IF(Master!$M265&lt;&gt;"",Master!$C265,"")</f>
        <v>Andrew</v>
      </c>
      <c r="B90" t="str">
        <f>IF(Master!$M265&lt;&gt;"",Master!$D265,"")</f>
        <v>Zecchini</v>
      </c>
      <c r="C90" t="str">
        <f>IF(Master!$M265&lt;&gt;"",Master!$M265,"")</f>
        <v>Kickers</v>
      </c>
    </row>
    <row r="91" spans="1:3" x14ac:dyDescent="0.25">
      <c r="A91" t="str">
        <f>IF(Master!$M31&lt;&gt;"",Master!$C31,"")</f>
        <v>Benny</v>
      </c>
      <c r="B91" t="str">
        <f>IF(Master!$M31&lt;&gt;"",Master!$D31,"")</f>
        <v>Calcutta</v>
      </c>
      <c r="C91" t="str">
        <f>IF(Master!$M31&lt;&gt;"",Master!$M31,"")</f>
        <v>Passers</v>
      </c>
    </row>
    <row r="92" spans="1:3" x14ac:dyDescent="0.25">
      <c r="A92" t="str">
        <f>IF(Master!$M35&lt;&gt;"",Master!$C35,"")</f>
        <v>Jackson</v>
      </c>
      <c r="B92" t="str">
        <f>IF(Master!$M35&lt;&gt;"",Master!$D35,"")</f>
        <v>Chockey</v>
      </c>
      <c r="C92" t="str">
        <f>IF(Master!$M35&lt;&gt;"",Master!$M35,"")</f>
        <v>Passers</v>
      </c>
    </row>
    <row r="93" spans="1:3" x14ac:dyDescent="0.25">
      <c r="A93" t="str">
        <f>IF(Master!$M37&lt;&gt;"",Master!$C37,"")</f>
        <v>Emma</v>
      </c>
      <c r="B93" t="str">
        <f>IF(Master!$M37&lt;&gt;"",Master!$D37,"")</f>
        <v>Cloyes</v>
      </c>
      <c r="C93" t="str">
        <f>IF(Master!$M37&lt;&gt;"",Master!$M37,"")</f>
        <v>Passers</v>
      </c>
    </row>
    <row r="94" spans="1:3" x14ac:dyDescent="0.25">
      <c r="A94" t="str">
        <f>IF(Master!$M42&lt;&gt;"",Master!$C42,"")</f>
        <v>Aiyanna</v>
      </c>
      <c r="B94" t="str">
        <f>IF(Master!$M42&lt;&gt;"",Master!$D42,"")</f>
        <v>Cornell</v>
      </c>
      <c r="C94" t="str">
        <f>IF(Master!$M42&lt;&gt;"",Master!$M42,"")</f>
        <v>Passers</v>
      </c>
    </row>
    <row r="95" spans="1:3" x14ac:dyDescent="0.25">
      <c r="A95" t="str">
        <f>IF(Master!$M57&lt;&gt;"",Master!$C57,"")</f>
        <v>Will</v>
      </c>
      <c r="B95" t="str">
        <f>IF(Master!$M57&lt;&gt;"",Master!$D57,"")</f>
        <v>Drerup</v>
      </c>
      <c r="C95" t="str">
        <f>IF(Master!$M57&lt;&gt;"",Master!$M57,"")</f>
        <v>Passers</v>
      </c>
    </row>
    <row r="96" spans="1:3" x14ac:dyDescent="0.25">
      <c r="A96" t="str">
        <f>IF(Master!$M76&lt;&gt;"",Master!$C76,"")</f>
        <v>Avery</v>
      </c>
      <c r="B96" t="str">
        <f>IF(Master!$M76&lt;&gt;"",Master!$D76,"")</f>
        <v>Gillette</v>
      </c>
      <c r="C96" t="str">
        <f>IF(Master!$M76&lt;&gt;"",Master!$M76,"")</f>
        <v>Passers</v>
      </c>
    </row>
    <row r="97" spans="1:3" x14ac:dyDescent="0.25">
      <c r="A97" t="str">
        <f>IF(Master!$M78&lt;&gt;"",Master!$C78,"")</f>
        <v>Killian</v>
      </c>
      <c r="B97" t="str">
        <f>IF(Master!$M78&lt;&gt;"",Master!$D78,"")</f>
        <v>Gillette</v>
      </c>
      <c r="C97" t="str">
        <f>IF(Master!$M78&lt;&gt;"",Master!$M78,"")</f>
        <v>Passers</v>
      </c>
    </row>
    <row r="98" spans="1:3" x14ac:dyDescent="0.25">
      <c r="A98" t="str">
        <f>IF(Master!$M115&lt;&gt;"",Master!$C115,"")</f>
        <v>Diane Georgia</v>
      </c>
      <c r="B98" t="str">
        <f>IF(Master!$M115&lt;&gt;"",Master!$D115,"")</f>
        <v>Kesner</v>
      </c>
      <c r="C98" t="str">
        <f>IF(Master!$M115&lt;&gt;"",Master!$M115,"")</f>
        <v>Passers</v>
      </c>
    </row>
    <row r="99" spans="1:3" x14ac:dyDescent="0.25">
      <c r="A99" t="str">
        <f>IF(Master!$M143&lt;&gt;"",Master!$C143,"")</f>
        <v>Ian</v>
      </c>
      <c r="B99" t="str">
        <f>IF(Master!$M143&lt;&gt;"",Master!$D143,"")</f>
        <v>Mauersberg</v>
      </c>
      <c r="C99" t="str">
        <f>IF(Master!$M143&lt;&gt;"",Master!$M143,"")</f>
        <v>Passers</v>
      </c>
    </row>
    <row r="100" spans="1:3" x14ac:dyDescent="0.25">
      <c r="A100" t="str">
        <f>IF(Master!$M144&lt;&gt;"",Master!$C144,"")</f>
        <v>Carly</v>
      </c>
      <c r="B100" t="str">
        <f>IF(Master!$M144&lt;&gt;"",Master!$D144,"")</f>
        <v>McCall</v>
      </c>
      <c r="C100" t="str">
        <f>IF(Master!$M144&lt;&gt;"",Master!$M144,"")</f>
        <v>Passers</v>
      </c>
    </row>
    <row r="101" spans="1:3" x14ac:dyDescent="0.25">
      <c r="A101" t="str">
        <f>IF(Master!$M151&lt;&gt;"",Master!$C151,"")</f>
        <v>Hudsen</v>
      </c>
      <c r="B101" t="str">
        <f>IF(Master!$M151&lt;&gt;"",Master!$D151,"")</f>
        <v>Millen</v>
      </c>
      <c r="C101" t="str">
        <f>IF(Master!$M151&lt;&gt;"",Master!$M151,"")</f>
        <v>Passers</v>
      </c>
    </row>
    <row r="102" spans="1:3" x14ac:dyDescent="0.25">
      <c r="A102" t="str">
        <f>IF(Master!$M153&lt;&gt;"",Master!$C153,"")</f>
        <v>Alan</v>
      </c>
      <c r="B102" t="str">
        <f>IF(Master!$M153&lt;&gt;"",Master!$D153,"")</f>
        <v>Millhouse</v>
      </c>
      <c r="C102" t="str">
        <f>IF(Master!$M153&lt;&gt;"",Master!$M153,"")</f>
        <v>Passers</v>
      </c>
    </row>
    <row r="103" spans="1:3" x14ac:dyDescent="0.25">
      <c r="A103" t="str">
        <f>IF(Master!$M209&lt;&gt;"",Master!$C209,"")</f>
        <v>Calvin</v>
      </c>
      <c r="B103" t="str">
        <f>IF(Master!$M209&lt;&gt;"",Master!$D209,"")</f>
        <v>Schneider</v>
      </c>
      <c r="C103" t="str">
        <f>IF(Master!$M209&lt;&gt;"",Master!$M209,"")</f>
        <v>Passers</v>
      </c>
    </row>
    <row r="104" spans="1:3" x14ac:dyDescent="0.25">
      <c r="A104" t="str">
        <f>IF(Master!$M210&lt;&gt;"",Master!$C210,"")</f>
        <v>Nate</v>
      </c>
      <c r="B104" t="str">
        <f>IF(Master!$M210&lt;&gt;"",Master!$D210,"")</f>
        <v>Schreck</v>
      </c>
      <c r="C104" t="str">
        <f>IF(Master!$M210&lt;&gt;"",Master!$M210,"")</f>
        <v>Passers</v>
      </c>
    </row>
    <row r="105" spans="1:3" x14ac:dyDescent="0.25">
      <c r="A105" t="str">
        <f>IF(Master!$M230&lt;&gt;"",Master!$C230,"")</f>
        <v>Luke</v>
      </c>
      <c r="B105" t="str">
        <f>IF(Master!$M230&lt;&gt;"",Master!$D230,"")</f>
        <v>Struble</v>
      </c>
      <c r="C105" t="str">
        <f>IF(Master!$M230&lt;&gt;"",Master!$M230,"")</f>
        <v>Passers</v>
      </c>
    </row>
    <row r="106" spans="1:3" x14ac:dyDescent="0.25">
      <c r="A106" t="str">
        <f>IF(Master!$M243&lt;&gt;"",Master!$C243,"")</f>
        <v>Dominic</v>
      </c>
      <c r="B106" t="str">
        <f>IF(Master!$M243&lt;&gt;"",Master!$D243,"")</f>
        <v>Vorrasi</v>
      </c>
      <c r="C106" t="str">
        <f>IF(Master!$M243&lt;&gt;"",Master!$M243,"")</f>
        <v>Passers</v>
      </c>
    </row>
    <row r="107" spans="1:3" x14ac:dyDescent="0.25">
      <c r="A107" t="str">
        <f>IF(Master!$M253&lt;&gt;"",Master!$C253,"")</f>
        <v>Grayson</v>
      </c>
      <c r="B107" t="str">
        <f>IF(Master!$M253&lt;&gt;"",Master!$D253,"")</f>
        <v>Willis</v>
      </c>
      <c r="C107" t="str">
        <f>IF(Master!$M253&lt;&gt;"",Master!$M253,"")</f>
        <v>Passers</v>
      </c>
    </row>
    <row r="108" spans="1:3" x14ac:dyDescent="0.25">
      <c r="A108" t="str">
        <f>IF(Master!$M40&lt;&gt;"",Master!$C40,"")</f>
        <v>Steven</v>
      </c>
      <c r="B108" t="str">
        <f>IF(Master!$M40&lt;&gt;"",Master!$D40,"")</f>
        <v>Conlee</v>
      </c>
      <c r="C108" t="str">
        <f>IF(Master!$M40&lt;&gt;"",Master!$M40,"")</f>
        <v>Strikers</v>
      </c>
    </row>
    <row r="109" spans="1:3" x14ac:dyDescent="0.25">
      <c r="A109" t="str">
        <f>IF(Master!$M44&lt;&gt;"",Master!$C44,"")</f>
        <v>Andrew</v>
      </c>
      <c r="B109" t="str">
        <f>IF(Master!$M44&lt;&gt;"",Master!$D44,"")</f>
        <v>Crosby</v>
      </c>
      <c r="C109" t="str">
        <f>IF(Master!$M44&lt;&gt;"",Master!$M44,"")</f>
        <v>Strikers</v>
      </c>
    </row>
    <row r="110" spans="1:3" x14ac:dyDescent="0.25">
      <c r="A110" t="str">
        <f>IF(Master!$M56&lt;&gt;"",Master!$C56,"")</f>
        <v>Laura</v>
      </c>
      <c r="B110" t="str">
        <f>IF(Master!$M56&lt;&gt;"",Master!$D56,"")</f>
        <v>Doroh</v>
      </c>
      <c r="C110" t="str">
        <f>IF(Master!$M56&lt;&gt;"",Master!$M56,"")</f>
        <v>Strikers</v>
      </c>
    </row>
    <row r="111" spans="1:3" x14ac:dyDescent="0.25">
      <c r="A111" t="str">
        <f>IF(Master!$M58&lt;&gt;"",Master!$C58,"")</f>
        <v>Nick</v>
      </c>
      <c r="B111" t="str">
        <f>IF(Master!$M58&lt;&gt;"",Master!$D58,"")</f>
        <v>Drewry</v>
      </c>
      <c r="C111" t="str">
        <f>IF(Master!$M58&lt;&gt;"",Master!$M58,"")</f>
        <v>Strikers</v>
      </c>
    </row>
    <row r="112" spans="1:3" x14ac:dyDescent="0.25">
      <c r="A112" t="str">
        <f>IF(Master!$M59&lt;&gt;"",Master!$C59,"")</f>
        <v>Jack</v>
      </c>
      <c r="B112" t="str">
        <f>IF(Master!$M59&lt;&gt;"",Master!$D59,"")</f>
        <v>Duckro</v>
      </c>
      <c r="C112" t="str">
        <f>IF(Master!$M59&lt;&gt;"",Master!$M59,"")</f>
        <v>Strikers</v>
      </c>
    </row>
    <row r="113" spans="1:3" x14ac:dyDescent="0.25">
      <c r="A113" t="str">
        <f>IF(Master!$M67&lt;&gt;"",Master!$C67,"")</f>
        <v>Tracie</v>
      </c>
      <c r="B113" t="str">
        <f>IF(Master!$M67&lt;&gt;"",Master!$D67,"")</f>
        <v>Ferrara</v>
      </c>
      <c r="C113" t="str">
        <f>IF(Master!$M67&lt;&gt;"",Master!$M67,"")</f>
        <v>Strikers</v>
      </c>
    </row>
    <row r="114" spans="1:3" x14ac:dyDescent="0.25">
      <c r="A114" t="str">
        <f>IF(Master!$M91&lt;&gt;"",Master!$C91,"")</f>
        <v>Cody</v>
      </c>
      <c r="B114" t="str">
        <f>IF(Master!$M91&lt;&gt;"",Master!$D91,"")</f>
        <v>Heyne</v>
      </c>
      <c r="C114" t="str">
        <f>IF(Master!$M91&lt;&gt;"",Master!$M91,"")</f>
        <v>Strikers</v>
      </c>
    </row>
    <row r="115" spans="1:3" x14ac:dyDescent="0.25">
      <c r="A115" t="str">
        <f>IF(Master!$M92&lt;&gt;"",Master!$C92,"")</f>
        <v>Michael</v>
      </c>
      <c r="B115" t="str">
        <f>IF(Master!$M92&lt;&gt;"",Master!$D92,"")</f>
        <v>Heyne</v>
      </c>
      <c r="C115" t="str">
        <f>IF(Master!$M92&lt;&gt;"",Master!$M92,"")</f>
        <v>Strikers</v>
      </c>
    </row>
    <row r="116" spans="1:3" x14ac:dyDescent="0.25">
      <c r="A116" t="str">
        <f>IF(Master!$M190&lt;&gt;"",Master!$C190,"")</f>
        <v>Nathan</v>
      </c>
      <c r="B116" t="str">
        <f>IF(Master!$M190&lt;&gt;"",Master!$D190,"")</f>
        <v>Richardson</v>
      </c>
      <c r="C116" t="str">
        <f>IF(Master!$M190&lt;&gt;"",Master!$M190,"")</f>
        <v>Strikers</v>
      </c>
    </row>
    <row r="117" spans="1:3" x14ac:dyDescent="0.25">
      <c r="A117" t="str">
        <f>IF(Master!$M216&lt;&gt;"",Master!$C216,"")</f>
        <v>Anna</v>
      </c>
      <c r="B117" t="str">
        <f>IF(Master!$M216&lt;&gt;"",Master!$D216,"")</f>
        <v>Shonle</v>
      </c>
      <c r="C117" t="str">
        <f>IF(Master!$M216&lt;&gt;"",Master!$M216,"")</f>
        <v>Strikers</v>
      </c>
    </row>
    <row r="118" spans="1:3" x14ac:dyDescent="0.25">
      <c r="A118" t="str">
        <f>IF(Master!$M223&lt;&gt;"",Master!$C223,"")</f>
        <v>John</v>
      </c>
      <c r="B118" t="str">
        <f>IF(Master!$M223&lt;&gt;"",Master!$D223,"")</f>
        <v>Smith</v>
      </c>
      <c r="C118" t="str">
        <f>IF(Master!$M223&lt;&gt;"",Master!$M223,"")</f>
        <v>Strikers</v>
      </c>
    </row>
    <row r="119" spans="1:3" x14ac:dyDescent="0.25">
      <c r="A119" t="str">
        <f>IF(Master!$M237&lt;&gt;"",Master!$C237,"")</f>
        <v>Katie</v>
      </c>
      <c r="B119" t="str">
        <f>IF(Master!$M237&lt;&gt;"",Master!$D237,"")</f>
        <v>Turner</v>
      </c>
      <c r="C119" t="str">
        <f>IF(Master!$M237&lt;&gt;"",Master!$M237,"")</f>
        <v>Strikers</v>
      </c>
    </row>
    <row r="120" spans="1:3" x14ac:dyDescent="0.25">
      <c r="A120" t="str">
        <f>IF(Master!$M245&lt;&gt;"",Master!$C245,"")</f>
        <v>Jacob</v>
      </c>
      <c r="B120" t="str">
        <f>IF(Master!$M245&lt;&gt;"",Master!$D245,"")</f>
        <v>Wagenbach</v>
      </c>
      <c r="C120" t="str">
        <f>IF(Master!$M245&lt;&gt;"",Master!$M245,"")</f>
        <v>Strikers</v>
      </c>
    </row>
    <row r="121" spans="1:3" x14ac:dyDescent="0.25">
      <c r="A121" t="str">
        <f>IF(Master!$M251&lt;&gt;"",Master!$C251,"")</f>
        <v>Anthony</v>
      </c>
      <c r="B121" t="str">
        <f>IF(Master!$M251&lt;&gt;"",Master!$D251,"")</f>
        <v>Whitaker</v>
      </c>
      <c r="C121" t="str">
        <f>IF(Master!$M251&lt;&gt;"",Master!$M251,"")</f>
        <v>Strikers</v>
      </c>
    </row>
    <row r="122" spans="1:3" x14ac:dyDescent="0.25">
      <c r="A122" t="str">
        <f>IF(Master!$M264&lt;&gt;"",Master!$C264,"")</f>
        <v>Karron</v>
      </c>
      <c r="B122" t="str">
        <f>IF(Master!$M264&lt;&gt;"",Master!$D264,"")</f>
        <v>Yoakum</v>
      </c>
      <c r="C122" t="str">
        <f>IF(Master!$M264&lt;&gt;"",Master!$M264,"")</f>
        <v>Strikers</v>
      </c>
    </row>
    <row r="123" spans="1:3" x14ac:dyDescent="0.25">
      <c r="A123" t="str">
        <f>IF(Master!$M22&lt;&gt;"",Master!$C22,"")</f>
        <v>Aaron</v>
      </c>
      <c r="B123" t="str">
        <f>IF(Master!$M22&lt;&gt;"",Master!$D22,"")</f>
        <v>Bowman</v>
      </c>
      <c r="C123" t="str">
        <f>IF(Master!$M22&lt;&gt;"",Master!$M22,"")</f>
        <v>Sweepers</v>
      </c>
    </row>
    <row r="124" spans="1:3" x14ac:dyDescent="0.25">
      <c r="A124" t="str">
        <f>IF(Master!$M30&lt;&gt;"",Master!$C30,"")</f>
        <v>Fred</v>
      </c>
      <c r="B124" t="str">
        <f>IF(Master!$M30&lt;&gt;"",Master!$D30,"")</f>
        <v>Cairo</v>
      </c>
      <c r="C124" t="str">
        <f>IF(Master!$M30&lt;&gt;"",Master!$M30,"")</f>
        <v>Sweepers</v>
      </c>
    </row>
    <row r="125" spans="1:3" x14ac:dyDescent="0.25">
      <c r="A125" t="str">
        <f>IF(Master!$M51&lt;&gt;"",Master!$C51,"")</f>
        <v>Kendra</v>
      </c>
      <c r="B125" t="str">
        <f>IF(Master!$M51&lt;&gt;"",Master!$D51,"")</f>
        <v>Denlinger</v>
      </c>
      <c r="C125" t="str">
        <f>IF(Master!$M51&lt;&gt;"",Master!$M51,"")</f>
        <v>Sweepers</v>
      </c>
    </row>
    <row r="126" spans="1:3" x14ac:dyDescent="0.25">
      <c r="A126" t="str">
        <f>IF(Master!$M52&lt;&gt;"",Master!$C52,"")</f>
        <v>Ryan</v>
      </c>
      <c r="B126" t="str">
        <f>IF(Master!$M52&lt;&gt;"",Master!$D52,"")</f>
        <v>DeWine</v>
      </c>
      <c r="C126" t="str">
        <f>IF(Master!$M52&lt;&gt;"",Master!$M52,"")</f>
        <v>Sweepers</v>
      </c>
    </row>
    <row r="127" spans="1:3" x14ac:dyDescent="0.25">
      <c r="A127" t="str">
        <f>IF(Master!$M55&lt;&gt;"",Master!$C55,"")</f>
        <v>Matt</v>
      </c>
      <c r="B127" t="str">
        <f>IF(Master!$M55&lt;&gt;"",Master!$D55,"")</f>
        <v>Dorn</v>
      </c>
      <c r="C127" t="str">
        <f>IF(Master!$M55&lt;&gt;"",Master!$M55,"")</f>
        <v>Sweepers</v>
      </c>
    </row>
    <row r="128" spans="1:3" x14ac:dyDescent="0.25">
      <c r="A128" t="str">
        <f>IF(Master!$M63&lt;&gt;"",Master!$C63,"")</f>
        <v>Jake</v>
      </c>
      <c r="B128" t="str">
        <f>IF(Master!$M63&lt;&gt;"",Master!$D63,"")</f>
        <v>Everson</v>
      </c>
      <c r="C128" t="str">
        <f>IF(Master!$M63&lt;&gt;"",Master!$M63,"")</f>
        <v>Sweepers</v>
      </c>
    </row>
    <row r="129" spans="1:3" x14ac:dyDescent="0.25">
      <c r="A129" t="str">
        <f>IF(Master!$M74&lt;&gt;"",Master!$C74,"")</f>
        <v>Blane</v>
      </c>
      <c r="B129" t="str">
        <f>IF(Master!$M74&lt;&gt;"",Master!$D74,"")</f>
        <v>Gallagher</v>
      </c>
      <c r="C129" t="str">
        <f>IF(Master!$M74&lt;&gt;"",Master!$M74,"")</f>
        <v>Sweepers</v>
      </c>
    </row>
    <row r="130" spans="1:3" x14ac:dyDescent="0.25">
      <c r="A130" t="str">
        <f>IF(Master!$M99&lt;&gt;"",Master!$C99,"")</f>
        <v>Alexander</v>
      </c>
      <c r="B130" t="str">
        <f>IF(Master!$M99&lt;&gt;"",Master!$D99,"")</f>
        <v>Horton</v>
      </c>
      <c r="C130" t="str">
        <f>IF(Master!$M99&lt;&gt;"",Master!$M99,"")</f>
        <v>Sweepers</v>
      </c>
    </row>
    <row r="131" spans="1:3" x14ac:dyDescent="0.25">
      <c r="A131" t="str">
        <f>IF(Master!$M107&lt;&gt;"",Master!$C107,"")</f>
        <v>Annie</v>
      </c>
      <c r="B131" t="str">
        <f>IF(Master!$M107&lt;&gt;"",Master!$D107,"")</f>
        <v>Jansen</v>
      </c>
      <c r="C131" t="str">
        <f>IF(Master!$M107&lt;&gt;"",Master!$M107,"")</f>
        <v>Sweepers</v>
      </c>
    </row>
    <row r="132" spans="1:3" x14ac:dyDescent="0.25">
      <c r="A132" t="str">
        <f>IF(Master!$M142&lt;&gt;"",Master!$C142,"")</f>
        <v>Aaron</v>
      </c>
      <c r="B132" t="str">
        <f>IF(Master!$M142&lt;&gt;"",Master!$D142,"")</f>
        <v>Marshall</v>
      </c>
      <c r="C132" t="str">
        <f>IF(Master!$M142&lt;&gt;"",Master!$M142,"")</f>
        <v>Sweepers</v>
      </c>
    </row>
    <row r="133" spans="1:3" x14ac:dyDescent="0.25">
      <c r="A133" t="str">
        <f>IF(Master!$M161&lt;&gt;"",Master!$C161,"")</f>
        <v>Joe</v>
      </c>
      <c r="B133" t="str">
        <f>IF(Master!$M161&lt;&gt;"",Master!$D161,"")</f>
        <v>Nartker</v>
      </c>
      <c r="C133" t="str">
        <f>IF(Master!$M161&lt;&gt;"",Master!$M161,"")</f>
        <v>Sweepers</v>
      </c>
    </row>
    <row r="134" spans="1:3" x14ac:dyDescent="0.25">
      <c r="A134" t="str">
        <f>IF(Master!$M165&lt;&gt;"",Master!$C165,"")</f>
        <v>Shanae</v>
      </c>
      <c r="B134" t="str">
        <f>IF(Master!$M165&lt;&gt;"",Master!$D165,"")</f>
        <v>Nicholes</v>
      </c>
      <c r="C134" t="str">
        <f>IF(Master!$M165&lt;&gt;"",Master!$M165,"")</f>
        <v>Sweepers</v>
      </c>
    </row>
    <row r="135" spans="1:3" x14ac:dyDescent="0.25">
      <c r="A135" t="str">
        <f>IF(Master!$M207&lt;&gt;"",Master!$C207,"")</f>
        <v>Crislyn</v>
      </c>
      <c r="B135" t="str">
        <f>IF(Master!$M207&lt;&gt;"",Master!$D207,"")</f>
        <v>Sayger</v>
      </c>
      <c r="C135" t="str">
        <f>IF(Master!$M207&lt;&gt;"",Master!$M207,"")</f>
        <v>Sweepers</v>
      </c>
    </row>
    <row r="136" spans="1:3" x14ac:dyDescent="0.25">
      <c r="A136" t="str">
        <f>IF(Master!$M218&lt;&gt;"",Master!$C218,"")</f>
        <v>Erik</v>
      </c>
      <c r="B136" t="str">
        <f>IF(Master!$M218&lt;&gt;"",Master!$D218,"")</f>
        <v>Sink</v>
      </c>
      <c r="C136" t="str">
        <f>IF(Master!$M218&lt;&gt;"",Master!$M218,"")</f>
        <v>Sweepers</v>
      </c>
    </row>
    <row r="137" spans="1:3" x14ac:dyDescent="0.25">
      <c r="A137" t="str">
        <f>IF(Master!$M220&lt;&gt;"",Master!$C220,"")</f>
        <v>Brianne</v>
      </c>
      <c r="B137" t="str">
        <f>IF(Master!$M220&lt;&gt;"",Master!$D220,"")</f>
        <v>Slusher</v>
      </c>
      <c r="C137" t="str">
        <f>IF(Master!$M220&lt;&gt;"",Master!$M220,"")</f>
        <v>Sweepers</v>
      </c>
    </row>
    <row r="138" spans="1:3" x14ac:dyDescent="0.25">
      <c r="A138" t="str">
        <f>IF(Master!$M233&lt;&gt;"",Master!$C233,"")</f>
        <v>Scott</v>
      </c>
      <c r="B138" t="str">
        <f>IF(Master!$M233&lt;&gt;"",Master!$D233,"")</f>
        <v>Thorner</v>
      </c>
      <c r="C138" t="str">
        <f>IF(Master!$M233&lt;&gt;"",Master!$M233,"")</f>
        <v>Sweepers</v>
      </c>
    </row>
    <row r="139" spans="1:3" x14ac:dyDescent="0.25">
      <c r="A139" t="str">
        <f>IF(Master!$M244&lt;&gt;"",Master!$C244,"")</f>
        <v>Joseph</v>
      </c>
      <c r="B139" t="str">
        <f>IF(Master!$M244&lt;&gt;"",Master!$D244,"")</f>
        <v>Vorsteg Jr</v>
      </c>
      <c r="C139" t="str">
        <f>IF(Master!$M244&lt;&gt;"",Master!$M244,"")</f>
        <v>Sweepers</v>
      </c>
    </row>
    <row r="140" spans="1:3" x14ac:dyDescent="0.25">
      <c r="A140" t="str">
        <f>IF(Master!$M257&lt;&gt;"",Master!$C257,"")</f>
        <v>Paul</v>
      </c>
      <c r="B140" t="str">
        <f>IF(Master!$M257&lt;&gt;"",Master!$D257,"")</f>
        <v>Wittberg</v>
      </c>
      <c r="C140" t="str">
        <f>IF(Master!$M257&lt;&gt;"",Master!$M257,"")</f>
        <v>Sweepers</v>
      </c>
    </row>
    <row r="141" spans="1:3" x14ac:dyDescent="0.25">
      <c r="A141" t="str">
        <f>IF(Master!$M259&lt;&gt;"",Master!$C259,"")</f>
        <v>Nick</v>
      </c>
      <c r="B141" t="str">
        <f>IF(Master!$M259&lt;&gt;"",Master!$D259,"")</f>
        <v>Woeste</v>
      </c>
      <c r="C141" t="str">
        <f>IF(Master!$M259&lt;&gt;"",Master!$M259,"")</f>
        <v>Sweepers</v>
      </c>
    </row>
    <row r="142" spans="1:3" x14ac:dyDescent="0.25">
      <c r="A142" t="str">
        <f>IF(Master!$M262&lt;&gt;"",Master!$C262,"")</f>
        <v>Jeremy</v>
      </c>
      <c r="B142" t="str">
        <f>IF(Master!$M262&lt;&gt;"",Master!$D262,"")</f>
        <v>Wysong</v>
      </c>
      <c r="C142" t="str">
        <f>IF(Master!$M262&lt;&gt;"",Master!$M262,"")</f>
        <v>Sweepers</v>
      </c>
    </row>
    <row r="143" spans="1:3" x14ac:dyDescent="0.25">
      <c r="A143" t="str">
        <f>IF(Master!$M263&lt;&gt;"",Master!$C263,"")</f>
        <v>Javon</v>
      </c>
      <c r="B143" t="str">
        <f>IF(Master!$M263&lt;&gt;"",Master!$D263,"")</f>
        <v>Yoakum</v>
      </c>
      <c r="C143" t="str">
        <f>IF(Master!$M263&lt;&gt;"",Master!$M263,"")</f>
        <v>Sweepers</v>
      </c>
    </row>
    <row r="144" spans="1:3" x14ac:dyDescent="0.25">
      <c r="A144" t="str">
        <f>IF(Master!$M266&lt;&gt;"",Master!$C266,"")</f>
        <v>Jessica</v>
      </c>
      <c r="B144" t="str">
        <f>IF(Master!$M266&lt;&gt;"",Master!$D266,"")</f>
        <v>Zimmerman</v>
      </c>
      <c r="C144" t="str">
        <f>IF(Master!$M266&lt;&gt;"",Master!$M266,"")</f>
        <v>Sweepers</v>
      </c>
    </row>
    <row r="145" spans="1:3" x14ac:dyDescent="0.25">
      <c r="A145" t="str">
        <f>IF(Master!$M4&lt;&gt;"",Master!$C4,"")</f>
        <v/>
      </c>
      <c r="B145" t="str">
        <f>IF(Master!$M4&lt;&gt;"",Master!$D4,"")</f>
        <v/>
      </c>
      <c r="C145" t="str">
        <f>IF(Master!$M4&lt;&gt;"",Master!$M4,"")</f>
        <v/>
      </c>
    </row>
    <row r="146" spans="1:3" x14ac:dyDescent="0.25">
      <c r="A146" t="str">
        <f>IF(Master!$M5&lt;&gt;"",Master!$C5,"")</f>
        <v/>
      </c>
      <c r="B146" t="str">
        <f>IF(Master!$M5&lt;&gt;"",Master!$D5,"")</f>
        <v/>
      </c>
      <c r="C146" t="str">
        <f>IF(Master!$M5&lt;&gt;"",Master!$M5,"")</f>
        <v/>
      </c>
    </row>
    <row r="147" spans="1:3" x14ac:dyDescent="0.25">
      <c r="A147" t="str">
        <f>IF(Master!$M10&lt;&gt;"",Master!$C10,"")</f>
        <v/>
      </c>
      <c r="B147" t="str">
        <f>IF(Master!$M10&lt;&gt;"",Master!$D10,"")</f>
        <v/>
      </c>
      <c r="C147" t="str">
        <f>IF(Master!$M10&lt;&gt;"",Master!$M10,"")</f>
        <v/>
      </c>
    </row>
    <row r="148" spans="1:3" x14ac:dyDescent="0.25">
      <c r="A148" t="str">
        <f>IF(Master!$M11&lt;&gt;"",Master!$C11,"")</f>
        <v/>
      </c>
      <c r="B148" t="str">
        <f>IF(Master!$M11&lt;&gt;"",Master!$D11,"")</f>
        <v/>
      </c>
      <c r="C148" t="str">
        <f>IF(Master!$M11&lt;&gt;"",Master!$M11,"")</f>
        <v/>
      </c>
    </row>
    <row r="149" spans="1:3" x14ac:dyDescent="0.25">
      <c r="A149" t="str">
        <f>IF(Master!$M14&lt;&gt;"",Master!$C14,"")</f>
        <v/>
      </c>
      <c r="B149" t="str">
        <f>IF(Master!$M14&lt;&gt;"",Master!$D14,"")</f>
        <v/>
      </c>
      <c r="C149" t="str">
        <f>IF(Master!$M14&lt;&gt;"",Master!$M14,"")</f>
        <v/>
      </c>
    </row>
    <row r="150" spans="1:3" x14ac:dyDescent="0.25">
      <c r="A150" t="str">
        <f>IF(Master!$M15&lt;&gt;"",Master!$C15,"")</f>
        <v/>
      </c>
      <c r="B150" t="str">
        <f>IF(Master!$M15&lt;&gt;"",Master!$D15,"")</f>
        <v/>
      </c>
      <c r="C150" t="str">
        <f>IF(Master!$M15&lt;&gt;"",Master!$M15,"")</f>
        <v/>
      </c>
    </row>
    <row r="151" spans="1:3" x14ac:dyDescent="0.25">
      <c r="A151" t="str">
        <f>IF(Master!$M16&lt;&gt;"",Master!$C16,"")</f>
        <v/>
      </c>
      <c r="B151" t="str">
        <f>IF(Master!$M16&lt;&gt;"",Master!$D16,"")</f>
        <v/>
      </c>
      <c r="C151" t="str">
        <f>IF(Master!$M16&lt;&gt;"",Master!$M16,"")</f>
        <v/>
      </c>
    </row>
    <row r="152" spans="1:3" x14ac:dyDescent="0.25">
      <c r="A152" t="str">
        <f>IF(Master!$M17&lt;&gt;"",Master!$C17,"")</f>
        <v/>
      </c>
      <c r="B152" t="str">
        <f>IF(Master!$M17&lt;&gt;"",Master!$D17,"")</f>
        <v/>
      </c>
      <c r="C152" t="str">
        <f>IF(Master!$M17&lt;&gt;"",Master!$M17,"")</f>
        <v/>
      </c>
    </row>
    <row r="153" spans="1:3" x14ac:dyDescent="0.25">
      <c r="A153" t="str">
        <f>IF(Master!$M19&lt;&gt;"",Master!$C19,"")</f>
        <v/>
      </c>
      <c r="B153" t="str">
        <f>IF(Master!$M19&lt;&gt;"",Master!$D19,"")</f>
        <v/>
      </c>
      <c r="C153" t="str">
        <f>IF(Master!$M19&lt;&gt;"",Master!$M19,"")</f>
        <v/>
      </c>
    </row>
    <row r="154" spans="1:3" x14ac:dyDescent="0.25">
      <c r="A154" t="str">
        <f>IF(Master!$M20&lt;&gt;"",Master!$C20,"")</f>
        <v/>
      </c>
      <c r="B154" t="str">
        <f>IF(Master!$M20&lt;&gt;"",Master!$D20,"")</f>
        <v/>
      </c>
      <c r="C154" t="str">
        <f>IF(Master!$M20&lt;&gt;"",Master!$M20,"")</f>
        <v/>
      </c>
    </row>
    <row r="155" spans="1:3" x14ac:dyDescent="0.25">
      <c r="A155" t="str">
        <f>IF(Master!$M26&lt;&gt;"",Master!$C26,"")</f>
        <v/>
      </c>
      <c r="B155" t="str">
        <f>IF(Master!$M26&lt;&gt;"",Master!$D26,"")</f>
        <v/>
      </c>
      <c r="C155" t="str">
        <f>IF(Master!$M26&lt;&gt;"",Master!$M26,"")</f>
        <v/>
      </c>
    </row>
    <row r="156" spans="1:3" x14ac:dyDescent="0.25">
      <c r="A156" t="str">
        <f>IF(Master!$M32&lt;&gt;"",Master!$C32,"")</f>
        <v/>
      </c>
      <c r="B156" t="str">
        <f>IF(Master!$M32&lt;&gt;"",Master!$D32,"")</f>
        <v/>
      </c>
      <c r="C156" t="str">
        <f>IF(Master!$M32&lt;&gt;"",Master!$M32,"")</f>
        <v/>
      </c>
    </row>
    <row r="157" spans="1:3" x14ac:dyDescent="0.25">
      <c r="A157" t="str">
        <f>IF(Master!$M33&lt;&gt;"",Master!$C33,"")</f>
        <v/>
      </c>
      <c r="B157" t="str">
        <f>IF(Master!$M33&lt;&gt;"",Master!$D33,"")</f>
        <v/>
      </c>
      <c r="C157" t="str">
        <f>IF(Master!$M33&lt;&gt;"",Master!$M33,"")</f>
        <v/>
      </c>
    </row>
    <row r="158" spans="1:3" x14ac:dyDescent="0.25">
      <c r="A158" t="str">
        <f>IF(Master!$M34&lt;&gt;"",Master!$C34,"")</f>
        <v/>
      </c>
      <c r="B158" t="str">
        <f>IF(Master!$M34&lt;&gt;"",Master!$D34,"")</f>
        <v/>
      </c>
      <c r="C158" t="str">
        <f>IF(Master!$M34&lt;&gt;"",Master!$M34,"")</f>
        <v/>
      </c>
    </row>
    <row r="159" spans="1:3" x14ac:dyDescent="0.25">
      <c r="A159" t="str">
        <f>IF(Master!$M36&lt;&gt;"",Master!$C36,"")</f>
        <v/>
      </c>
      <c r="B159" t="str">
        <f>IF(Master!$M36&lt;&gt;"",Master!$D36,"")</f>
        <v/>
      </c>
      <c r="C159" t="str">
        <f>IF(Master!$M36&lt;&gt;"",Master!$M36,"")</f>
        <v/>
      </c>
    </row>
    <row r="160" spans="1:3" x14ac:dyDescent="0.25">
      <c r="A160" t="str">
        <f>IF(Master!$M38&lt;&gt;"",Master!$C38,"")</f>
        <v/>
      </c>
      <c r="B160" t="str">
        <f>IF(Master!$M38&lt;&gt;"",Master!$D38,"")</f>
        <v/>
      </c>
      <c r="C160" t="str">
        <f>IF(Master!$M38&lt;&gt;"",Master!$M38,"")</f>
        <v/>
      </c>
    </row>
    <row r="161" spans="1:3" x14ac:dyDescent="0.25">
      <c r="A161" t="str">
        <f>IF(Master!$M39&lt;&gt;"",Master!$C39,"")</f>
        <v/>
      </c>
      <c r="B161" t="str">
        <f>IF(Master!$M39&lt;&gt;"",Master!$D39,"")</f>
        <v/>
      </c>
      <c r="C161" t="str">
        <f>IF(Master!$M39&lt;&gt;"",Master!$M39,"")</f>
        <v/>
      </c>
    </row>
    <row r="162" spans="1:3" x14ac:dyDescent="0.25">
      <c r="A162" t="str">
        <f>IF(Master!$M41&lt;&gt;"",Master!$C41,"")</f>
        <v/>
      </c>
      <c r="B162" t="str">
        <f>IF(Master!$M41&lt;&gt;"",Master!$D41,"")</f>
        <v/>
      </c>
      <c r="C162" t="str">
        <f>IF(Master!$M41&lt;&gt;"",Master!$M41,"")</f>
        <v/>
      </c>
    </row>
    <row r="163" spans="1:3" x14ac:dyDescent="0.25">
      <c r="A163" t="str">
        <f>IF(Master!$M47&lt;&gt;"",Master!$C47,"")</f>
        <v/>
      </c>
      <c r="B163" t="str">
        <f>IF(Master!$M47&lt;&gt;"",Master!$D47,"")</f>
        <v/>
      </c>
      <c r="C163" t="str">
        <f>IF(Master!$M47&lt;&gt;"",Master!$M47,"")</f>
        <v/>
      </c>
    </row>
    <row r="164" spans="1:3" x14ac:dyDescent="0.25">
      <c r="A164" t="str">
        <f>IF(Master!$M54&lt;&gt;"",Master!$C54,"")</f>
        <v/>
      </c>
      <c r="B164" t="str">
        <f>IF(Master!$M54&lt;&gt;"",Master!$D54,"")</f>
        <v/>
      </c>
      <c r="C164" t="str">
        <f>IF(Master!$M54&lt;&gt;"",Master!$M54,"")</f>
        <v/>
      </c>
    </row>
    <row r="165" spans="1:3" x14ac:dyDescent="0.25">
      <c r="A165" t="str">
        <f>IF(Master!$M61&lt;&gt;"",Master!$C61,"")</f>
        <v/>
      </c>
      <c r="B165" t="str">
        <f>IF(Master!$M61&lt;&gt;"",Master!$D61,"")</f>
        <v/>
      </c>
      <c r="C165" t="str">
        <f>IF(Master!$M61&lt;&gt;"",Master!$M61,"")</f>
        <v/>
      </c>
    </row>
    <row r="166" spans="1:3" x14ac:dyDescent="0.25">
      <c r="A166" t="str">
        <f>IF(Master!$M62&lt;&gt;"",Master!$C62,"")</f>
        <v/>
      </c>
      <c r="B166" t="str">
        <f>IF(Master!$M62&lt;&gt;"",Master!$D62,"")</f>
        <v/>
      </c>
      <c r="C166" t="str">
        <f>IF(Master!$M62&lt;&gt;"",Master!$M62,"")</f>
        <v/>
      </c>
    </row>
    <row r="167" spans="1:3" x14ac:dyDescent="0.25">
      <c r="A167" t="str">
        <f>IF(Master!$M64&lt;&gt;"",Master!$C64,"")</f>
        <v/>
      </c>
      <c r="B167" t="str">
        <f>IF(Master!$M64&lt;&gt;"",Master!$D64,"")</f>
        <v/>
      </c>
      <c r="C167" t="str">
        <f>IF(Master!$M64&lt;&gt;"",Master!$M64,"")</f>
        <v/>
      </c>
    </row>
    <row r="168" spans="1:3" x14ac:dyDescent="0.25">
      <c r="A168" t="str">
        <f>IF(Master!$M65&lt;&gt;"",Master!$C65,"")</f>
        <v/>
      </c>
      <c r="B168" t="str">
        <f>IF(Master!$M65&lt;&gt;"",Master!$D65,"")</f>
        <v/>
      </c>
      <c r="C168" t="str">
        <f>IF(Master!$M65&lt;&gt;"",Master!$M65,"")</f>
        <v/>
      </c>
    </row>
    <row r="169" spans="1:3" x14ac:dyDescent="0.25">
      <c r="A169" t="str">
        <f>IF(Master!$M66&lt;&gt;"",Master!$C66,"")</f>
        <v/>
      </c>
      <c r="B169" t="str">
        <f>IF(Master!$M66&lt;&gt;"",Master!$D66,"")</f>
        <v/>
      </c>
      <c r="C169" t="str">
        <f>IF(Master!$M66&lt;&gt;"",Master!$M66,"")</f>
        <v/>
      </c>
    </row>
    <row r="170" spans="1:3" x14ac:dyDescent="0.25">
      <c r="A170" t="str">
        <f>IF(Master!$M68&lt;&gt;"",Master!$C68,"")</f>
        <v/>
      </c>
      <c r="B170" t="str">
        <f>IF(Master!$M68&lt;&gt;"",Master!$D68,"")</f>
        <v/>
      </c>
      <c r="C170" t="str">
        <f>IF(Master!$M68&lt;&gt;"",Master!$M68,"")</f>
        <v/>
      </c>
    </row>
    <row r="171" spans="1:3" x14ac:dyDescent="0.25">
      <c r="A171" t="str">
        <f>IF(Master!$M69&lt;&gt;"",Master!$C69,"")</f>
        <v/>
      </c>
      <c r="B171" t="str">
        <f>IF(Master!$M69&lt;&gt;"",Master!$D69,"")</f>
        <v/>
      </c>
      <c r="C171" t="str">
        <f>IF(Master!$M69&lt;&gt;"",Master!$M69,"")</f>
        <v/>
      </c>
    </row>
    <row r="172" spans="1:3" x14ac:dyDescent="0.25">
      <c r="A172" t="str">
        <f>IF(Master!$M70&lt;&gt;"",Master!$C70,"")</f>
        <v/>
      </c>
      <c r="B172" t="str">
        <f>IF(Master!$M70&lt;&gt;"",Master!$D70,"")</f>
        <v/>
      </c>
      <c r="C172" t="str">
        <f>IF(Master!$M70&lt;&gt;"",Master!$M70,"")</f>
        <v/>
      </c>
    </row>
    <row r="173" spans="1:3" x14ac:dyDescent="0.25">
      <c r="A173" t="str">
        <f>IF(Master!$M71&lt;&gt;"",Master!$C71,"")</f>
        <v/>
      </c>
      <c r="B173" t="str">
        <f>IF(Master!$M71&lt;&gt;"",Master!$D71,"")</f>
        <v/>
      </c>
      <c r="C173" t="str">
        <f>IF(Master!$M71&lt;&gt;"",Master!$M71,"")</f>
        <v/>
      </c>
    </row>
    <row r="174" spans="1:3" x14ac:dyDescent="0.25">
      <c r="A174" t="str">
        <f>IF(Master!$M72&lt;&gt;"",Master!$C72,"")</f>
        <v/>
      </c>
      <c r="B174" t="str">
        <f>IF(Master!$M72&lt;&gt;"",Master!$D72,"")</f>
        <v/>
      </c>
      <c r="C174" t="str">
        <f>IF(Master!$M72&lt;&gt;"",Master!$M72,"")</f>
        <v/>
      </c>
    </row>
    <row r="175" spans="1:3" x14ac:dyDescent="0.25">
      <c r="A175" t="str">
        <f>IF(Master!$M73&lt;&gt;"",Master!$C73,"")</f>
        <v/>
      </c>
      <c r="B175" t="str">
        <f>IF(Master!$M73&lt;&gt;"",Master!$D73,"")</f>
        <v/>
      </c>
      <c r="C175" t="str">
        <f>IF(Master!$M73&lt;&gt;"",Master!$M73,"")</f>
        <v/>
      </c>
    </row>
    <row r="176" spans="1:3" x14ac:dyDescent="0.25">
      <c r="A176" t="str">
        <f>IF(Master!$M79&lt;&gt;"",Master!$C79,"")</f>
        <v/>
      </c>
      <c r="B176" t="str">
        <f>IF(Master!$M79&lt;&gt;"",Master!$D79,"")</f>
        <v/>
      </c>
      <c r="C176" t="str">
        <f>IF(Master!$M79&lt;&gt;"",Master!$M79,"")</f>
        <v/>
      </c>
    </row>
    <row r="177" spans="1:3" x14ac:dyDescent="0.25">
      <c r="A177" t="str">
        <f>IF(Master!$M80&lt;&gt;"",Master!$C80,"")</f>
        <v/>
      </c>
      <c r="B177" t="str">
        <f>IF(Master!$M80&lt;&gt;"",Master!$D80,"")</f>
        <v/>
      </c>
      <c r="C177" t="str">
        <f>IF(Master!$M80&lt;&gt;"",Master!$M80,"")</f>
        <v/>
      </c>
    </row>
    <row r="178" spans="1:3" x14ac:dyDescent="0.25">
      <c r="A178" t="str">
        <f>IF(Master!$M82&lt;&gt;"",Master!$C82,"")</f>
        <v/>
      </c>
      <c r="B178" t="str">
        <f>IF(Master!$M82&lt;&gt;"",Master!$D82,"")</f>
        <v/>
      </c>
      <c r="C178" t="str">
        <f>IF(Master!$M82&lt;&gt;"",Master!$M82,"")</f>
        <v/>
      </c>
    </row>
    <row r="179" spans="1:3" x14ac:dyDescent="0.25">
      <c r="A179" t="str">
        <f>IF(Master!$M84&lt;&gt;"",Master!$C84,"")</f>
        <v/>
      </c>
      <c r="B179" t="str">
        <f>IF(Master!$M84&lt;&gt;"",Master!$D84,"")</f>
        <v/>
      </c>
      <c r="C179" t="str">
        <f>IF(Master!$M84&lt;&gt;"",Master!$M84,"")</f>
        <v/>
      </c>
    </row>
    <row r="180" spans="1:3" x14ac:dyDescent="0.25">
      <c r="A180" t="str">
        <f>IF(Master!$M86&lt;&gt;"",Master!$C86,"")</f>
        <v/>
      </c>
      <c r="B180" t="str">
        <f>IF(Master!$M86&lt;&gt;"",Master!$D86,"")</f>
        <v/>
      </c>
      <c r="C180" t="str">
        <f>IF(Master!$M86&lt;&gt;"",Master!$M86,"")</f>
        <v/>
      </c>
    </row>
    <row r="181" spans="1:3" x14ac:dyDescent="0.25">
      <c r="A181" t="str">
        <f>IF(Master!$M87&lt;&gt;"",Master!$C87,"")</f>
        <v/>
      </c>
      <c r="B181" t="str">
        <f>IF(Master!$M87&lt;&gt;"",Master!$D87,"")</f>
        <v/>
      </c>
      <c r="C181" t="str">
        <f>IF(Master!$M87&lt;&gt;"",Master!$M87,"")</f>
        <v/>
      </c>
    </row>
    <row r="182" spans="1:3" x14ac:dyDescent="0.25">
      <c r="A182" t="str">
        <f>IF(Master!$M88&lt;&gt;"",Master!$C88,"")</f>
        <v/>
      </c>
      <c r="B182" t="str">
        <f>IF(Master!$M88&lt;&gt;"",Master!$D88,"")</f>
        <v/>
      </c>
      <c r="C182" t="str">
        <f>IF(Master!$M88&lt;&gt;"",Master!$M88,"")</f>
        <v/>
      </c>
    </row>
    <row r="183" spans="1:3" x14ac:dyDescent="0.25">
      <c r="A183" t="str">
        <f>IF(Master!$M89&lt;&gt;"",Master!$C89,"")</f>
        <v/>
      </c>
      <c r="B183" t="str">
        <f>IF(Master!$M89&lt;&gt;"",Master!$D89,"")</f>
        <v/>
      </c>
      <c r="C183" t="str">
        <f>IF(Master!$M89&lt;&gt;"",Master!$M89,"")</f>
        <v/>
      </c>
    </row>
    <row r="184" spans="1:3" x14ac:dyDescent="0.25">
      <c r="A184" t="str">
        <f>IF(Master!$M96&lt;&gt;"",Master!$C96,"")</f>
        <v/>
      </c>
      <c r="B184" t="str">
        <f>IF(Master!$M96&lt;&gt;"",Master!$D96,"")</f>
        <v/>
      </c>
      <c r="C184" t="str">
        <f>IF(Master!$M96&lt;&gt;"",Master!$M96,"")</f>
        <v/>
      </c>
    </row>
    <row r="185" spans="1:3" x14ac:dyDescent="0.25">
      <c r="A185" t="str">
        <f>IF(Master!$M98&lt;&gt;"",Master!$C98,"")</f>
        <v/>
      </c>
      <c r="B185" t="str">
        <f>IF(Master!$M98&lt;&gt;"",Master!$D98,"")</f>
        <v/>
      </c>
      <c r="C185" t="str">
        <f>IF(Master!$M98&lt;&gt;"",Master!$M98,"")</f>
        <v/>
      </c>
    </row>
    <row r="186" spans="1:3" x14ac:dyDescent="0.25">
      <c r="A186" t="str">
        <f>IF(Master!$M100&lt;&gt;"",Master!$C100,"")</f>
        <v/>
      </c>
      <c r="B186" t="str">
        <f>IF(Master!$M100&lt;&gt;"",Master!$D100,"")</f>
        <v/>
      </c>
      <c r="C186" t="str">
        <f>IF(Master!$M100&lt;&gt;"",Master!$M100,"")</f>
        <v/>
      </c>
    </row>
    <row r="187" spans="1:3" x14ac:dyDescent="0.25">
      <c r="A187" t="str">
        <f>IF(Master!$M101&lt;&gt;"",Master!$C101,"")</f>
        <v/>
      </c>
      <c r="B187" t="str">
        <f>IF(Master!$M101&lt;&gt;"",Master!$D101,"")</f>
        <v/>
      </c>
      <c r="C187" t="str">
        <f>IF(Master!$M101&lt;&gt;"",Master!$M101,"")</f>
        <v/>
      </c>
    </row>
    <row r="188" spans="1:3" x14ac:dyDescent="0.25">
      <c r="A188" t="str">
        <f>IF(Master!$M106&lt;&gt;"",Master!$C106,"")</f>
        <v/>
      </c>
      <c r="B188" t="str">
        <f>IF(Master!$M106&lt;&gt;"",Master!$D106,"")</f>
        <v/>
      </c>
      <c r="C188" t="str">
        <f>IF(Master!$M106&lt;&gt;"",Master!$M106,"")</f>
        <v/>
      </c>
    </row>
    <row r="189" spans="1:3" x14ac:dyDescent="0.25">
      <c r="A189" t="str">
        <f>IF(Master!$M109&lt;&gt;"",Master!$C109,"")</f>
        <v/>
      </c>
      <c r="B189" t="str">
        <f>IF(Master!$M109&lt;&gt;"",Master!$D109,"")</f>
        <v/>
      </c>
      <c r="C189" t="str">
        <f>IF(Master!$M109&lt;&gt;"",Master!$M109,"")</f>
        <v/>
      </c>
    </row>
    <row r="190" spans="1:3" x14ac:dyDescent="0.25">
      <c r="A190" t="str">
        <f>IF(Master!$M110&lt;&gt;"",Master!$C110,"")</f>
        <v/>
      </c>
      <c r="B190" t="str">
        <f>IF(Master!$M110&lt;&gt;"",Master!$D110,"")</f>
        <v/>
      </c>
      <c r="C190" t="str">
        <f>IF(Master!$M110&lt;&gt;"",Master!$M110,"")</f>
        <v/>
      </c>
    </row>
    <row r="191" spans="1:3" x14ac:dyDescent="0.25">
      <c r="A191" t="str">
        <f>IF(Master!$M113&lt;&gt;"",Master!$C113,"")</f>
        <v/>
      </c>
      <c r="B191" t="str">
        <f>IF(Master!$M113&lt;&gt;"",Master!$D113,"")</f>
        <v/>
      </c>
      <c r="C191" t="str">
        <f>IF(Master!$M113&lt;&gt;"",Master!$M113,"")</f>
        <v/>
      </c>
    </row>
    <row r="192" spans="1:3" x14ac:dyDescent="0.25">
      <c r="A192" t="str">
        <f>IF(Master!$M116&lt;&gt;"",Master!$C116,"")</f>
        <v/>
      </c>
      <c r="B192" t="str">
        <f>IF(Master!$M116&lt;&gt;"",Master!$D116,"")</f>
        <v/>
      </c>
      <c r="C192" t="str">
        <f>IF(Master!$M116&lt;&gt;"",Master!$M116,"")</f>
        <v/>
      </c>
    </row>
    <row r="193" spans="1:3" x14ac:dyDescent="0.25">
      <c r="A193" t="str">
        <f>IF(Master!$M117&lt;&gt;"",Master!$C117,"")</f>
        <v/>
      </c>
      <c r="B193" t="str">
        <f>IF(Master!$M117&lt;&gt;"",Master!$D117,"")</f>
        <v/>
      </c>
      <c r="C193" t="str">
        <f>IF(Master!$M117&lt;&gt;"",Master!$M117,"")</f>
        <v/>
      </c>
    </row>
    <row r="194" spans="1:3" x14ac:dyDescent="0.25">
      <c r="A194" t="str">
        <f>IF(Master!$M119&lt;&gt;"",Master!$C119,"")</f>
        <v/>
      </c>
      <c r="B194" t="str">
        <f>IF(Master!$M119&lt;&gt;"",Master!$D119,"")</f>
        <v/>
      </c>
      <c r="C194" t="str">
        <f>IF(Master!$M119&lt;&gt;"",Master!$M119,"")</f>
        <v/>
      </c>
    </row>
    <row r="195" spans="1:3" x14ac:dyDescent="0.25">
      <c r="A195" t="str">
        <f>IF(Master!$M120&lt;&gt;"",Master!$C120,"")</f>
        <v/>
      </c>
      <c r="B195" t="str">
        <f>IF(Master!$M120&lt;&gt;"",Master!$D120,"")</f>
        <v/>
      </c>
      <c r="C195" t="str">
        <f>IF(Master!$M120&lt;&gt;"",Master!$M120,"")</f>
        <v/>
      </c>
    </row>
    <row r="196" spans="1:3" x14ac:dyDescent="0.25">
      <c r="A196" t="str">
        <f>IF(Master!$M121&lt;&gt;"",Master!$C121,"")</f>
        <v/>
      </c>
      <c r="B196" t="str">
        <f>IF(Master!$M121&lt;&gt;"",Master!$D121,"")</f>
        <v/>
      </c>
      <c r="C196" t="str">
        <f>IF(Master!$M121&lt;&gt;"",Master!$M121,"")</f>
        <v/>
      </c>
    </row>
    <row r="197" spans="1:3" x14ac:dyDescent="0.25">
      <c r="A197" t="str">
        <f>IF(Master!$M122&lt;&gt;"",Master!$C122,"")</f>
        <v/>
      </c>
      <c r="B197" t="str">
        <f>IF(Master!$M122&lt;&gt;"",Master!$D122,"")</f>
        <v/>
      </c>
      <c r="C197" t="str">
        <f>IF(Master!$M122&lt;&gt;"",Master!$M122,"")</f>
        <v/>
      </c>
    </row>
    <row r="198" spans="1:3" x14ac:dyDescent="0.25">
      <c r="A198" t="str">
        <f>IF(Master!$M123&lt;&gt;"",Master!$C123,"")</f>
        <v/>
      </c>
      <c r="B198" t="str">
        <f>IF(Master!$M123&lt;&gt;"",Master!$D123,"")</f>
        <v/>
      </c>
      <c r="C198" t="str">
        <f>IF(Master!$M123&lt;&gt;"",Master!$M123,"")</f>
        <v/>
      </c>
    </row>
    <row r="199" spans="1:3" x14ac:dyDescent="0.25">
      <c r="A199" t="str">
        <f>IF(Master!$M128&lt;&gt;"",Master!$C128,"")</f>
        <v/>
      </c>
      <c r="B199" t="str">
        <f>IF(Master!$M128&lt;&gt;"",Master!$D128,"")</f>
        <v/>
      </c>
      <c r="C199" t="str">
        <f>IF(Master!$M128&lt;&gt;"",Master!$M128,"")</f>
        <v/>
      </c>
    </row>
    <row r="200" spans="1:3" x14ac:dyDescent="0.25">
      <c r="A200" t="str">
        <f>IF(Master!$M129&lt;&gt;"",Master!$C129,"")</f>
        <v/>
      </c>
      <c r="B200" t="str">
        <f>IF(Master!$M129&lt;&gt;"",Master!$D129,"")</f>
        <v/>
      </c>
      <c r="C200" t="str">
        <f>IF(Master!$M129&lt;&gt;"",Master!$M129,"")</f>
        <v/>
      </c>
    </row>
    <row r="201" spans="1:3" x14ac:dyDescent="0.25">
      <c r="A201" t="str">
        <f>IF(Master!$M130&lt;&gt;"",Master!$C130,"")</f>
        <v/>
      </c>
      <c r="B201" t="str">
        <f>IF(Master!$M130&lt;&gt;"",Master!$D130,"")</f>
        <v/>
      </c>
      <c r="C201" t="str">
        <f>IF(Master!$M130&lt;&gt;"",Master!$M130,"")</f>
        <v/>
      </c>
    </row>
    <row r="202" spans="1:3" x14ac:dyDescent="0.25">
      <c r="A202" t="str">
        <f>IF(Master!$M131&lt;&gt;"",Master!$C131,"")</f>
        <v/>
      </c>
      <c r="B202" t="str">
        <f>IF(Master!$M131&lt;&gt;"",Master!$D131,"")</f>
        <v/>
      </c>
      <c r="C202" t="str">
        <f>IF(Master!$M131&lt;&gt;"",Master!$M131,"")</f>
        <v/>
      </c>
    </row>
    <row r="203" spans="1:3" x14ac:dyDescent="0.25">
      <c r="A203" t="str">
        <f>IF(Master!$M132&lt;&gt;"",Master!$C132,"")</f>
        <v/>
      </c>
      <c r="B203" t="str">
        <f>IF(Master!$M132&lt;&gt;"",Master!$D132,"")</f>
        <v/>
      </c>
      <c r="C203" t="str">
        <f>IF(Master!$M132&lt;&gt;"",Master!$M132,"")</f>
        <v/>
      </c>
    </row>
    <row r="204" spans="1:3" x14ac:dyDescent="0.25">
      <c r="A204" t="str">
        <f>IF(Master!$M133&lt;&gt;"",Master!$C133,"")</f>
        <v/>
      </c>
      <c r="B204" t="str">
        <f>IF(Master!$M133&lt;&gt;"",Master!$D133,"")</f>
        <v/>
      </c>
      <c r="C204" t="str">
        <f>IF(Master!$M133&lt;&gt;"",Master!$M133,"")</f>
        <v/>
      </c>
    </row>
    <row r="205" spans="1:3" x14ac:dyDescent="0.25">
      <c r="A205" t="str">
        <f>IF(Master!$M134&lt;&gt;"",Master!$C134,"")</f>
        <v/>
      </c>
      <c r="B205" t="str">
        <f>IF(Master!$M134&lt;&gt;"",Master!$D134,"")</f>
        <v/>
      </c>
      <c r="C205" t="str">
        <f>IF(Master!$M134&lt;&gt;"",Master!$M134,"")</f>
        <v/>
      </c>
    </row>
    <row r="206" spans="1:3" x14ac:dyDescent="0.25">
      <c r="A206" t="str">
        <f>IF(Master!$M135&lt;&gt;"",Master!$C135,"")</f>
        <v/>
      </c>
      <c r="B206" t="str">
        <f>IF(Master!$M135&lt;&gt;"",Master!$D135,"")</f>
        <v/>
      </c>
      <c r="C206" t="str">
        <f>IF(Master!$M135&lt;&gt;"",Master!$M135,"")</f>
        <v/>
      </c>
    </row>
    <row r="207" spans="1:3" x14ac:dyDescent="0.25">
      <c r="A207" t="str">
        <f>IF(Master!$M137&lt;&gt;"",Master!$C137,"")</f>
        <v/>
      </c>
      <c r="B207" t="str">
        <f>IF(Master!$M137&lt;&gt;"",Master!$D137,"")</f>
        <v/>
      </c>
      <c r="C207" t="str">
        <f>IF(Master!$M137&lt;&gt;"",Master!$M137,"")</f>
        <v/>
      </c>
    </row>
    <row r="208" spans="1:3" x14ac:dyDescent="0.25">
      <c r="A208" t="str">
        <f>IF(Master!$M138&lt;&gt;"",Master!$C138,"")</f>
        <v/>
      </c>
      <c r="B208" t="str">
        <f>IF(Master!$M138&lt;&gt;"",Master!$D138,"")</f>
        <v/>
      </c>
      <c r="C208" t="str">
        <f>IF(Master!$M138&lt;&gt;"",Master!$M138,"")</f>
        <v/>
      </c>
    </row>
    <row r="209" spans="1:3" x14ac:dyDescent="0.25">
      <c r="A209" t="str">
        <f>IF(Master!$M139&lt;&gt;"",Master!$C139,"")</f>
        <v/>
      </c>
      <c r="B209" t="str">
        <f>IF(Master!$M139&lt;&gt;"",Master!$D139,"")</f>
        <v/>
      </c>
      <c r="C209" t="str">
        <f>IF(Master!$M139&lt;&gt;"",Master!$M139,"")</f>
        <v/>
      </c>
    </row>
    <row r="210" spans="1:3" x14ac:dyDescent="0.25">
      <c r="A210" t="str">
        <f>IF(Master!$M140&lt;&gt;"",Master!$C140,"")</f>
        <v/>
      </c>
      <c r="B210" t="str">
        <f>IF(Master!$M140&lt;&gt;"",Master!$D140,"")</f>
        <v/>
      </c>
      <c r="C210" t="str">
        <f>IF(Master!$M140&lt;&gt;"",Master!$M140,"")</f>
        <v/>
      </c>
    </row>
    <row r="211" spans="1:3" x14ac:dyDescent="0.25">
      <c r="A211" t="str">
        <f>IF(Master!$M141&lt;&gt;"",Master!$C141,"")</f>
        <v/>
      </c>
      <c r="B211" t="str">
        <f>IF(Master!$M141&lt;&gt;"",Master!$D141,"")</f>
        <v/>
      </c>
      <c r="C211" t="str">
        <f>IF(Master!$M141&lt;&gt;"",Master!$M141,"")</f>
        <v/>
      </c>
    </row>
    <row r="212" spans="1:3" x14ac:dyDescent="0.25">
      <c r="A212" t="str">
        <f>IF(Master!$M145&lt;&gt;"",Master!$C145,"")</f>
        <v/>
      </c>
      <c r="B212" t="str">
        <f>IF(Master!$M145&lt;&gt;"",Master!$D145,"")</f>
        <v/>
      </c>
      <c r="C212" t="str">
        <f>IF(Master!$M145&lt;&gt;"",Master!$M145,"")</f>
        <v/>
      </c>
    </row>
    <row r="213" spans="1:3" x14ac:dyDescent="0.25">
      <c r="A213" t="str">
        <f>IF(Master!$M146&lt;&gt;"",Master!$C146,"")</f>
        <v/>
      </c>
      <c r="B213" t="str">
        <f>IF(Master!$M146&lt;&gt;"",Master!$D146,"")</f>
        <v/>
      </c>
      <c r="C213" t="str">
        <f>IF(Master!$M146&lt;&gt;"",Master!$M146,"")</f>
        <v/>
      </c>
    </row>
    <row r="214" spans="1:3" x14ac:dyDescent="0.25">
      <c r="A214" t="str">
        <f>IF(Master!$M147&lt;&gt;"",Master!$C147,"")</f>
        <v/>
      </c>
      <c r="B214" t="str">
        <f>IF(Master!$M147&lt;&gt;"",Master!$D147,"")</f>
        <v/>
      </c>
      <c r="C214" t="str">
        <f>IF(Master!$M147&lt;&gt;"",Master!$M147,"")</f>
        <v/>
      </c>
    </row>
    <row r="215" spans="1:3" x14ac:dyDescent="0.25">
      <c r="A215" t="str">
        <f>IF(Master!$M149&lt;&gt;"",Master!$C149,"")</f>
        <v/>
      </c>
      <c r="B215" t="str">
        <f>IF(Master!$M149&lt;&gt;"",Master!$D149,"")</f>
        <v/>
      </c>
      <c r="C215" t="str">
        <f>IF(Master!$M149&lt;&gt;"",Master!$M149,"")</f>
        <v/>
      </c>
    </row>
    <row r="216" spans="1:3" x14ac:dyDescent="0.25">
      <c r="A216" t="str">
        <f>IF(Master!$M154&lt;&gt;"",Master!$C154,"")</f>
        <v/>
      </c>
      <c r="B216" t="str">
        <f>IF(Master!$M154&lt;&gt;"",Master!$D154,"")</f>
        <v/>
      </c>
      <c r="C216" t="str">
        <f>IF(Master!$M154&lt;&gt;"",Master!$M154,"")</f>
        <v/>
      </c>
    </row>
    <row r="217" spans="1:3" x14ac:dyDescent="0.25">
      <c r="A217" t="str">
        <f>IF(Master!$M156&lt;&gt;"",Master!$C156,"")</f>
        <v/>
      </c>
      <c r="B217" t="str">
        <f>IF(Master!$M156&lt;&gt;"",Master!$D156,"")</f>
        <v/>
      </c>
      <c r="C217" t="str">
        <f>IF(Master!$M156&lt;&gt;"",Master!$M156,"")</f>
        <v/>
      </c>
    </row>
    <row r="218" spans="1:3" x14ac:dyDescent="0.25">
      <c r="A218" t="str">
        <f>IF(Master!$M159&lt;&gt;"",Master!$C159,"")</f>
        <v/>
      </c>
      <c r="B218" t="str">
        <f>IF(Master!$M159&lt;&gt;"",Master!$D159,"")</f>
        <v/>
      </c>
      <c r="C218" t="str">
        <f>IF(Master!$M159&lt;&gt;"",Master!$M159,"")</f>
        <v/>
      </c>
    </row>
    <row r="219" spans="1:3" x14ac:dyDescent="0.25">
      <c r="A219" t="str">
        <f>IF(Master!$M160&lt;&gt;"",Master!$C160,"")</f>
        <v/>
      </c>
      <c r="B219" t="str">
        <f>IF(Master!$M160&lt;&gt;"",Master!$D160,"")</f>
        <v/>
      </c>
      <c r="C219" t="str">
        <f>IF(Master!$M160&lt;&gt;"",Master!$M160,"")</f>
        <v/>
      </c>
    </row>
    <row r="220" spans="1:3" x14ac:dyDescent="0.25">
      <c r="A220" t="str">
        <f>IF(Master!$M162&lt;&gt;"",Master!$C162,"")</f>
        <v/>
      </c>
      <c r="B220" t="str">
        <f>IF(Master!$M162&lt;&gt;"",Master!$D162,"")</f>
        <v/>
      </c>
      <c r="C220" t="str">
        <f>IF(Master!$M162&lt;&gt;"",Master!$M162,"")</f>
        <v/>
      </c>
    </row>
    <row r="221" spans="1:3" x14ac:dyDescent="0.25">
      <c r="A221" t="str">
        <f>IF(Master!$M163&lt;&gt;"",Master!$C163,"")</f>
        <v/>
      </c>
      <c r="B221" t="str">
        <f>IF(Master!$M163&lt;&gt;"",Master!$D163,"")</f>
        <v/>
      </c>
      <c r="C221" t="str">
        <f>IF(Master!$M163&lt;&gt;"",Master!$M163,"")</f>
        <v/>
      </c>
    </row>
    <row r="222" spans="1:3" x14ac:dyDescent="0.25">
      <c r="A222" t="str">
        <f>IF(Master!$M167&lt;&gt;"",Master!$C167,"")</f>
        <v/>
      </c>
      <c r="B222" t="str">
        <f>IF(Master!$M167&lt;&gt;"",Master!$D167,"")</f>
        <v/>
      </c>
      <c r="C222" t="str">
        <f>IF(Master!$M167&lt;&gt;"",Master!$M167,"")</f>
        <v/>
      </c>
    </row>
    <row r="223" spans="1:3" x14ac:dyDescent="0.25">
      <c r="A223" t="str">
        <f>IF(Master!$M168&lt;&gt;"",Master!$C168,"")</f>
        <v/>
      </c>
      <c r="B223" t="str">
        <f>IF(Master!$M168&lt;&gt;"",Master!$D168,"")</f>
        <v/>
      </c>
      <c r="C223" t="str">
        <f>IF(Master!$M168&lt;&gt;"",Master!$M168,"")</f>
        <v/>
      </c>
    </row>
    <row r="224" spans="1:3" x14ac:dyDescent="0.25">
      <c r="A224" t="str">
        <f>IF(Master!$M169&lt;&gt;"",Master!$C169,"")</f>
        <v/>
      </c>
      <c r="B224" t="str">
        <f>IF(Master!$M169&lt;&gt;"",Master!$D169,"")</f>
        <v/>
      </c>
      <c r="C224" t="str">
        <f>IF(Master!$M169&lt;&gt;"",Master!$M169,"")</f>
        <v/>
      </c>
    </row>
    <row r="225" spans="1:3" x14ac:dyDescent="0.25">
      <c r="A225" t="str">
        <f>IF(Master!$M171&lt;&gt;"",Master!$C171,"")</f>
        <v/>
      </c>
      <c r="B225" t="str">
        <f>IF(Master!$M171&lt;&gt;"",Master!$D171,"")</f>
        <v/>
      </c>
      <c r="C225" t="str">
        <f>IF(Master!$M171&lt;&gt;"",Master!$M171,"")</f>
        <v/>
      </c>
    </row>
    <row r="226" spans="1:3" x14ac:dyDescent="0.25">
      <c r="A226" t="str">
        <f>IF(Master!$M173&lt;&gt;"",Master!$C173,"")</f>
        <v/>
      </c>
      <c r="B226" t="str">
        <f>IF(Master!$M173&lt;&gt;"",Master!$D173,"")</f>
        <v/>
      </c>
      <c r="C226" t="str">
        <f>IF(Master!$M173&lt;&gt;"",Master!$M173,"")</f>
        <v/>
      </c>
    </row>
    <row r="227" spans="1:3" x14ac:dyDescent="0.25">
      <c r="A227" t="str">
        <f>IF(Master!$M175&lt;&gt;"",Master!$C175,"")</f>
        <v/>
      </c>
      <c r="B227" t="str">
        <f>IF(Master!$M175&lt;&gt;"",Master!$D175,"")</f>
        <v/>
      </c>
      <c r="C227" t="str">
        <f>IF(Master!$M175&lt;&gt;"",Master!$M175,"")</f>
        <v/>
      </c>
    </row>
    <row r="228" spans="1:3" x14ac:dyDescent="0.25">
      <c r="A228" t="str">
        <f>IF(Master!$M177&lt;&gt;"",Master!$C177,"")</f>
        <v/>
      </c>
      <c r="B228" t="str">
        <f>IF(Master!$M177&lt;&gt;"",Master!$D177,"")</f>
        <v/>
      </c>
      <c r="C228" t="str">
        <f>IF(Master!$M177&lt;&gt;"",Master!$M177,"")</f>
        <v/>
      </c>
    </row>
    <row r="229" spans="1:3" x14ac:dyDescent="0.25">
      <c r="A229" t="str">
        <f>IF(Master!$M179&lt;&gt;"",Master!$C179,"")</f>
        <v/>
      </c>
      <c r="B229" t="str">
        <f>IF(Master!$M179&lt;&gt;"",Master!$D179,"")</f>
        <v/>
      </c>
      <c r="C229" t="str">
        <f>IF(Master!$M179&lt;&gt;"",Master!$M179,"")</f>
        <v/>
      </c>
    </row>
    <row r="230" spans="1:3" x14ac:dyDescent="0.25">
      <c r="A230" t="str">
        <f>IF(Master!$M180&lt;&gt;"",Master!$C180,"")</f>
        <v/>
      </c>
      <c r="B230" t="str">
        <f>IF(Master!$M180&lt;&gt;"",Master!$D180,"")</f>
        <v/>
      </c>
      <c r="C230" t="str">
        <f>IF(Master!$M180&lt;&gt;"",Master!$M180,"")</f>
        <v/>
      </c>
    </row>
    <row r="231" spans="1:3" x14ac:dyDescent="0.25">
      <c r="A231" t="str">
        <f>IF(Master!$M181&lt;&gt;"",Master!$C181,"")</f>
        <v/>
      </c>
      <c r="B231" t="str">
        <f>IF(Master!$M181&lt;&gt;"",Master!$D181,"")</f>
        <v/>
      </c>
      <c r="C231" t="str">
        <f>IF(Master!$M181&lt;&gt;"",Master!$M181,"")</f>
        <v/>
      </c>
    </row>
    <row r="232" spans="1:3" x14ac:dyDescent="0.25">
      <c r="A232" t="str">
        <f>IF(Master!$M182&lt;&gt;"",Master!$C182,"")</f>
        <v/>
      </c>
      <c r="B232" t="str">
        <f>IF(Master!$M182&lt;&gt;"",Master!$D182,"")</f>
        <v/>
      </c>
      <c r="C232" t="str">
        <f>IF(Master!$M182&lt;&gt;"",Master!$M182,"")</f>
        <v/>
      </c>
    </row>
    <row r="233" spans="1:3" x14ac:dyDescent="0.25">
      <c r="A233" t="str">
        <f>IF(Master!$M183&lt;&gt;"",Master!$C183,"")</f>
        <v/>
      </c>
      <c r="B233" t="str">
        <f>IF(Master!$M183&lt;&gt;"",Master!$D183,"")</f>
        <v/>
      </c>
      <c r="C233" t="str">
        <f>IF(Master!$M183&lt;&gt;"",Master!$M183,"")</f>
        <v/>
      </c>
    </row>
    <row r="234" spans="1:3" x14ac:dyDescent="0.25">
      <c r="A234" t="str">
        <f>IF(Master!$M184&lt;&gt;"",Master!$C184,"")</f>
        <v/>
      </c>
      <c r="B234" t="str">
        <f>IF(Master!$M184&lt;&gt;"",Master!$D184,"")</f>
        <v/>
      </c>
      <c r="C234" t="str">
        <f>IF(Master!$M184&lt;&gt;"",Master!$M184,"")</f>
        <v/>
      </c>
    </row>
    <row r="235" spans="1:3" x14ac:dyDescent="0.25">
      <c r="A235" t="str">
        <f>IF(Master!$M189&lt;&gt;"",Master!$C189,"")</f>
        <v/>
      </c>
      <c r="B235" t="str">
        <f>IF(Master!$M189&lt;&gt;"",Master!$D189,"")</f>
        <v/>
      </c>
      <c r="C235" t="str">
        <f>IF(Master!$M189&lt;&gt;"",Master!$M189,"")</f>
        <v/>
      </c>
    </row>
    <row r="236" spans="1:3" x14ac:dyDescent="0.25">
      <c r="A236" t="str">
        <f>IF(Master!$M192&lt;&gt;"",Master!$C192,"")</f>
        <v/>
      </c>
      <c r="B236" t="str">
        <f>IF(Master!$M192&lt;&gt;"",Master!$D192,"")</f>
        <v/>
      </c>
      <c r="C236" t="str">
        <f>IF(Master!$M192&lt;&gt;"",Master!$M192,"")</f>
        <v/>
      </c>
    </row>
    <row r="237" spans="1:3" x14ac:dyDescent="0.25">
      <c r="A237" t="str">
        <f>IF(Master!$M193&lt;&gt;"",Master!$C193,"")</f>
        <v/>
      </c>
      <c r="B237" t="str">
        <f>IF(Master!$M193&lt;&gt;"",Master!$D193,"")</f>
        <v/>
      </c>
      <c r="C237" t="str">
        <f>IF(Master!$M193&lt;&gt;"",Master!$M193,"")</f>
        <v/>
      </c>
    </row>
    <row r="238" spans="1:3" x14ac:dyDescent="0.25">
      <c r="A238" t="str">
        <f>IF(Master!$M195&lt;&gt;"",Master!$C195,"")</f>
        <v/>
      </c>
      <c r="B238" t="str">
        <f>IF(Master!$M195&lt;&gt;"",Master!$D195,"")</f>
        <v/>
      </c>
      <c r="C238" t="str">
        <f>IF(Master!$M195&lt;&gt;"",Master!$M195,"")</f>
        <v/>
      </c>
    </row>
    <row r="239" spans="1:3" x14ac:dyDescent="0.25">
      <c r="A239" t="str">
        <f>IF(Master!$M196&lt;&gt;"",Master!$C196,"")</f>
        <v/>
      </c>
      <c r="B239" t="str">
        <f>IF(Master!$M196&lt;&gt;"",Master!$D196,"")</f>
        <v/>
      </c>
      <c r="C239" t="str">
        <f>IF(Master!$M196&lt;&gt;"",Master!$M196,"")</f>
        <v/>
      </c>
    </row>
    <row r="240" spans="1:3" x14ac:dyDescent="0.25">
      <c r="A240" t="str">
        <f>IF(Master!$M198&lt;&gt;"",Master!$C198,"")</f>
        <v/>
      </c>
      <c r="B240" t="str">
        <f>IF(Master!$M198&lt;&gt;"",Master!$D198,"")</f>
        <v/>
      </c>
      <c r="C240" t="str">
        <f>IF(Master!$M198&lt;&gt;"",Master!$M198,"")</f>
        <v/>
      </c>
    </row>
    <row r="241" spans="1:3" x14ac:dyDescent="0.25">
      <c r="A241" t="str">
        <f>IF(Master!$M199&lt;&gt;"",Master!$C199,"")</f>
        <v/>
      </c>
      <c r="B241" t="str">
        <f>IF(Master!$M199&lt;&gt;"",Master!$D199,"")</f>
        <v/>
      </c>
      <c r="C241" t="str">
        <f>IF(Master!$M199&lt;&gt;"",Master!$M199,"")</f>
        <v/>
      </c>
    </row>
    <row r="242" spans="1:3" x14ac:dyDescent="0.25">
      <c r="A242" t="str">
        <f>IF(Master!$M200&lt;&gt;"",Master!$C200,"")</f>
        <v/>
      </c>
      <c r="B242" t="str">
        <f>IF(Master!$M200&lt;&gt;"",Master!$D200,"")</f>
        <v/>
      </c>
      <c r="C242" t="str">
        <f>IF(Master!$M200&lt;&gt;"",Master!$M200,"")</f>
        <v/>
      </c>
    </row>
    <row r="243" spans="1:3" x14ac:dyDescent="0.25">
      <c r="A243" t="str">
        <f>IF(Master!$M202&lt;&gt;"",Master!$C202,"")</f>
        <v/>
      </c>
      <c r="B243" t="str">
        <f>IF(Master!$M202&lt;&gt;"",Master!$D202,"")</f>
        <v/>
      </c>
      <c r="C243" t="str">
        <f>IF(Master!$M202&lt;&gt;"",Master!$M202,"")</f>
        <v/>
      </c>
    </row>
    <row r="244" spans="1:3" x14ac:dyDescent="0.25">
      <c r="A244" t="str">
        <f>IF(Master!$M203&lt;&gt;"",Master!$C203,"")</f>
        <v/>
      </c>
      <c r="B244" t="str">
        <f>IF(Master!$M203&lt;&gt;"",Master!$D203,"")</f>
        <v/>
      </c>
      <c r="C244" t="str">
        <f>IF(Master!$M203&lt;&gt;"",Master!$M203,"")</f>
        <v/>
      </c>
    </row>
    <row r="245" spans="1:3" x14ac:dyDescent="0.25">
      <c r="A245" t="str">
        <f>IF(Master!$M211&lt;&gt;"",Master!$C211,"")</f>
        <v/>
      </c>
      <c r="B245" t="str">
        <f>IF(Master!$M211&lt;&gt;"",Master!$D211,"")</f>
        <v/>
      </c>
      <c r="C245" t="str">
        <f>IF(Master!$M211&lt;&gt;"",Master!$M211,"")</f>
        <v/>
      </c>
    </row>
    <row r="246" spans="1:3" x14ac:dyDescent="0.25">
      <c r="A246" t="str">
        <f>IF(Master!$M212&lt;&gt;"",Master!$C212,"")</f>
        <v/>
      </c>
      <c r="B246" t="str">
        <f>IF(Master!$M212&lt;&gt;"",Master!$D212,"")</f>
        <v/>
      </c>
      <c r="C246" t="str">
        <f>IF(Master!$M212&lt;&gt;"",Master!$M212,"")</f>
        <v/>
      </c>
    </row>
    <row r="247" spans="1:3" x14ac:dyDescent="0.25">
      <c r="A247" t="str">
        <f>IF(Master!$M213&lt;&gt;"",Master!$C213,"")</f>
        <v/>
      </c>
      <c r="B247" t="str">
        <f>IF(Master!$M213&lt;&gt;"",Master!$D213,"")</f>
        <v/>
      </c>
      <c r="C247" t="str">
        <f>IF(Master!$M213&lt;&gt;"",Master!$M213,"")</f>
        <v/>
      </c>
    </row>
    <row r="248" spans="1:3" x14ac:dyDescent="0.25">
      <c r="A248" t="str">
        <f>IF(Master!$M214&lt;&gt;"",Master!$C214,"")</f>
        <v/>
      </c>
      <c r="B248" t="str">
        <f>IF(Master!$M214&lt;&gt;"",Master!$D214,"")</f>
        <v/>
      </c>
      <c r="C248" t="str">
        <f>IF(Master!$M214&lt;&gt;"",Master!$M214,"")</f>
        <v/>
      </c>
    </row>
    <row r="249" spans="1:3" x14ac:dyDescent="0.25">
      <c r="A249" t="str">
        <f>IF(Master!$M219&lt;&gt;"",Master!$C219,"")</f>
        <v/>
      </c>
      <c r="B249" t="str">
        <f>IF(Master!$M219&lt;&gt;"",Master!$D219,"")</f>
        <v/>
      </c>
      <c r="C249" t="str">
        <f>IF(Master!$M219&lt;&gt;"",Master!$M219,"")</f>
        <v/>
      </c>
    </row>
    <row r="250" spans="1:3" x14ac:dyDescent="0.25">
      <c r="A250" t="str">
        <f>IF(Master!$M222&lt;&gt;"",Master!$C222,"")</f>
        <v/>
      </c>
      <c r="B250" t="str">
        <f>IF(Master!$M222&lt;&gt;"",Master!$D222,"")</f>
        <v/>
      </c>
      <c r="C250" t="str">
        <f>IF(Master!$M222&lt;&gt;"",Master!$M222,"")</f>
        <v/>
      </c>
    </row>
    <row r="251" spans="1:3" x14ac:dyDescent="0.25">
      <c r="A251" t="str">
        <f>IF(Master!$M227&lt;&gt;"",Master!$C227,"")</f>
        <v/>
      </c>
      <c r="B251" t="str">
        <f>IF(Master!$M227&lt;&gt;"",Master!$D227,"")</f>
        <v/>
      </c>
      <c r="C251" t="str">
        <f>IF(Master!$M227&lt;&gt;"",Master!$M227,"")</f>
        <v/>
      </c>
    </row>
    <row r="252" spans="1:3" x14ac:dyDescent="0.25">
      <c r="A252" t="str">
        <f>IF(Master!$M231&lt;&gt;"",Master!$C231,"")</f>
        <v/>
      </c>
      <c r="B252" t="str">
        <f>IF(Master!$M231&lt;&gt;"",Master!$D231,"")</f>
        <v/>
      </c>
      <c r="C252" t="str">
        <f>IF(Master!$M231&lt;&gt;"",Master!$M231,"")</f>
        <v/>
      </c>
    </row>
    <row r="253" spans="1:3" x14ac:dyDescent="0.25">
      <c r="A253" t="str">
        <f>IF(Master!$M235&lt;&gt;"",Master!$C235,"")</f>
        <v/>
      </c>
      <c r="B253" t="str">
        <f>IF(Master!$M235&lt;&gt;"",Master!$D235,"")</f>
        <v/>
      </c>
      <c r="C253" t="str">
        <f>IF(Master!$M235&lt;&gt;"",Master!$M235,"")</f>
        <v/>
      </c>
    </row>
    <row r="254" spans="1:3" x14ac:dyDescent="0.25">
      <c r="A254" t="str">
        <f>IF(Master!$M236&lt;&gt;"",Master!$C236,"")</f>
        <v/>
      </c>
      <c r="B254" t="str">
        <f>IF(Master!$M236&lt;&gt;"",Master!$D236,"")</f>
        <v/>
      </c>
      <c r="C254" t="str">
        <f>IF(Master!$M236&lt;&gt;"",Master!$M236,"")</f>
        <v/>
      </c>
    </row>
    <row r="255" spans="1:3" x14ac:dyDescent="0.25">
      <c r="A255" t="str">
        <f>IF(Master!$M238&lt;&gt;"",Master!$C238,"")</f>
        <v/>
      </c>
      <c r="B255" t="str">
        <f>IF(Master!$M238&lt;&gt;"",Master!$D238,"")</f>
        <v/>
      </c>
      <c r="C255" t="str">
        <f>IF(Master!$M238&lt;&gt;"",Master!$M238,"")</f>
        <v/>
      </c>
    </row>
    <row r="256" spans="1:3" x14ac:dyDescent="0.25">
      <c r="A256" t="str">
        <f>IF(Master!$M239&lt;&gt;"",Master!$C239,"")</f>
        <v/>
      </c>
      <c r="B256" t="str">
        <f>IF(Master!$M239&lt;&gt;"",Master!$D239,"")</f>
        <v/>
      </c>
      <c r="C256" t="str">
        <f>IF(Master!$M239&lt;&gt;"",Master!$M239,"")</f>
        <v/>
      </c>
    </row>
    <row r="257" spans="1:3" x14ac:dyDescent="0.25">
      <c r="A257" t="str">
        <f>IF(Master!$M241&lt;&gt;"",Master!$C241,"")</f>
        <v/>
      </c>
      <c r="B257" t="str">
        <f>IF(Master!$M241&lt;&gt;"",Master!$D241,"")</f>
        <v/>
      </c>
      <c r="C257" t="str">
        <f>IF(Master!$M241&lt;&gt;"",Master!$M241,"")</f>
        <v/>
      </c>
    </row>
    <row r="258" spans="1:3" x14ac:dyDescent="0.25">
      <c r="A258" t="str">
        <f>IF(Master!$M246&lt;&gt;"",Master!$C246,"")</f>
        <v/>
      </c>
      <c r="B258" t="str">
        <f>IF(Master!$M246&lt;&gt;"",Master!$D246,"")</f>
        <v/>
      </c>
      <c r="C258" t="str">
        <f>IF(Master!$M246&lt;&gt;"",Master!$M246,"")</f>
        <v/>
      </c>
    </row>
    <row r="259" spans="1:3" x14ac:dyDescent="0.25">
      <c r="A259" t="str">
        <f>IF(Master!$M247&lt;&gt;"",Master!$C247,"")</f>
        <v/>
      </c>
      <c r="B259" t="str">
        <f>IF(Master!$M247&lt;&gt;"",Master!$D247,"")</f>
        <v/>
      </c>
      <c r="C259" t="str">
        <f>IF(Master!$M247&lt;&gt;"",Master!$M247,"")</f>
        <v/>
      </c>
    </row>
    <row r="260" spans="1:3" x14ac:dyDescent="0.25">
      <c r="A260" t="str">
        <f>IF(Master!$M248&lt;&gt;"",Master!$C248,"")</f>
        <v/>
      </c>
      <c r="B260" t="str">
        <f>IF(Master!$M248&lt;&gt;"",Master!$D248,"")</f>
        <v/>
      </c>
      <c r="C260" t="str">
        <f>IF(Master!$M248&lt;&gt;"",Master!$M248,"")</f>
        <v/>
      </c>
    </row>
    <row r="261" spans="1:3" x14ac:dyDescent="0.25">
      <c r="A261" t="str">
        <f>IF(Master!$M252&lt;&gt;"",Master!$C252,"")</f>
        <v/>
      </c>
      <c r="B261" t="str">
        <f>IF(Master!$M252&lt;&gt;"",Master!$D252,"")</f>
        <v/>
      </c>
      <c r="C261" t="str">
        <f>IF(Master!$M252&lt;&gt;"",Master!$M252,"")</f>
        <v/>
      </c>
    </row>
    <row r="262" spans="1:3" x14ac:dyDescent="0.25">
      <c r="A262" t="str">
        <f>IF(Master!$M254&lt;&gt;"",Master!$C254,"")</f>
        <v/>
      </c>
      <c r="B262" t="str">
        <f>IF(Master!$M254&lt;&gt;"",Master!$D254,"")</f>
        <v/>
      </c>
      <c r="C262" t="str">
        <f>IF(Master!$M254&lt;&gt;"",Master!$M254,"")</f>
        <v/>
      </c>
    </row>
    <row r="263" spans="1:3" x14ac:dyDescent="0.25">
      <c r="A263" t="str">
        <f>IF(Master!$M255&lt;&gt;"",Master!$C255,"")</f>
        <v/>
      </c>
      <c r="B263" t="str">
        <f>IF(Master!$M255&lt;&gt;"",Master!$D255,"")</f>
        <v/>
      </c>
      <c r="C263" t="str">
        <f>IF(Master!$M255&lt;&gt;"",Master!$M255,"")</f>
        <v/>
      </c>
    </row>
    <row r="264" spans="1:3" x14ac:dyDescent="0.25">
      <c r="A264" t="str">
        <f>IF(Master!$M256&lt;&gt;"",Master!$C256,"")</f>
        <v/>
      </c>
      <c r="B264" t="str">
        <f>IF(Master!$M256&lt;&gt;"",Master!$D256,"")</f>
        <v/>
      </c>
      <c r="C264" t="str">
        <f>IF(Master!$M256&lt;&gt;"",Master!$M256,"")</f>
        <v/>
      </c>
    </row>
    <row r="265" spans="1:3" x14ac:dyDescent="0.25">
      <c r="A265" t="str">
        <f>IF(Master!$M260&lt;&gt;"",Master!$C260,"")</f>
        <v/>
      </c>
      <c r="B265" t="str">
        <f>IF(Master!$M260&lt;&gt;"",Master!$D260,"")</f>
        <v/>
      </c>
      <c r="C265" t="str">
        <f>IF(Master!$M260&lt;&gt;"",Master!$M260,"")</f>
        <v/>
      </c>
    </row>
    <row r="266" spans="1:3" x14ac:dyDescent="0.25">
      <c r="A266" t="str">
        <f>IF(Master!$M261&lt;&gt;"",Master!$C261,"")</f>
        <v/>
      </c>
      <c r="B266" t="str">
        <f>IF(Master!$M261&lt;&gt;"",Master!$D261,"")</f>
        <v/>
      </c>
      <c r="C266" t="str">
        <f>IF(Master!$M261&lt;&gt;"",Master!$M261,"")</f>
        <v/>
      </c>
    </row>
    <row r="267" spans="1:3" x14ac:dyDescent="0.25">
      <c r="A267" t="str">
        <f>IF(Master!$M268&lt;&gt;"",Master!$C268,"")</f>
        <v/>
      </c>
      <c r="B267" t="str">
        <f>IF(Master!$M268&lt;&gt;"",Master!$D268,"")</f>
        <v/>
      </c>
      <c r="C267" t="str">
        <f>IF(Master!$M268&lt;&gt;"",Master!$M268,"")</f>
        <v/>
      </c>
    </row>
    <row r="268" spans="1:3" x14ac:dyDescent="0.25">
      <c r="A268" t="str">
        <f>IF(Master!$M269&lt;&gt;"",Master!$C269,"")</f>
        <v/>
      </c>
      <c r="B268" t="str">
        <f>IF(Master!$M269&lt;&gt;"",Master!$D269,"")</f>
        <v/>
      </c>
      <c r="C268" t="str">
        <f>IF(Master!$M269&lt;&gt;"",Master!$M269,"")</f>
        <v/>
      </c>
    </row>
    <row r="269" spans="1:3" x14ac:dyDescent="0.25">
      <c r="A269" t="str">
        <f>IF(Master!$M270&lt;&gt;"",Master!$C270,"")</f>
        <v/>
      </c>
      <c r="B269" t="str">
        <f>IF(Master!$M270&lt;&gt;"",Master!$D270,"")</f>
        <v/>
      </c>
      <c r="C269" t="str">
        <f>IF(Master!$M270&lt;&gt;"",Master!$M270,"")</f>
        <v/>
      </c>
    </row>
    <row r="270" spans="1:3" x14ac:dyDescent="0.25">
      <c r="A270" t="str">
        <f>IF(Master!$M8&lt;&gt;"",Master!$C8,"")</f>
        <v>Gracie</v>
      </c>
      <c r="B270" t="str">
        <f>IF(Master!$M8&lt;&gt;"",Master!$D8,"")</f>
        <v>Arnold</v>
      </c>
      <c r="C270" t="str">
        <f>IF(Master!$M8&lt;&gt;"",Master!$M8,"")</f>
        <v xml:space="preserve"> </v>
      </c>
    </row>
  </sheetData>
  <sheetProtection algorithmName="SHA-512" hashValue="N3I6GhvXQpP77xldIRIW8HrrUj4Zoq3amj/Sykz0kq7c8vwZ3r+UYGPej0F5QUA0iZ/2Eh/CH4CSQq9DZpRF3w==" saltValue="bjobztZOnXrFZTvurBq2ag==" spinCount="100000" sheet="1" objects="1" scenarios="1"/>
  <sortState xmlns:xlrd2="http://schemas.microsoft.com/office/spreadsheetml/2017/richdata2" ref="A2:C270">
    <sortCondition ref="C2:C270" customList="Hotwheels,Dribblers,Shooters,Wings,Kickers,Passers,Strikers,Sweepers"/>
    <sortCondition ref="B2:B270"/>
    <sortCondition ref="A2:A270"/>
  </sortState>
  <pageMargins left="0.7" right="0.7" top="0.75" bottom="0.75" header="0.3" footer="0.3"/>
  <pageSetup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ameTagsSort">
                <anchor moveWithCells="1">
                  <from>
                    <xdr:col>3</xdr:col>
                    <xdr:colOff>9525</xdr:colOff>
                    <xdr:row>0</xdr:row>
                    <xdr:rowOff>19050</xdr:rowOff>
                  </from>
                  <to>
                    <xdr:col>3</xdr:col>
                    <xdr:colOff>1381125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C270"/>
  <sheetViews>
    <sheetView workbookViewId="0"/>
  </sheetViews>
  <sheetFormatPr defaultRowHeight="15" x14ac:dyDescent="0.25"/>
  <cols>
    <col min="1" max="1" width="22.42578125" customWidth="1"/>
    <col min="2" max="2" width="29.5703125" customWidth="1"/>
    <col min="3" max="3" width="25.85546875" customWidth="1"/>
  </cols>
  <sheetData>
    <row r="1" spans="1:3" ht="15.75" x14ac:dyDescent="0.25">
      <c r="A1" s="30" t="s">
        <v>109</v>
      </c>
      <c r="B1" s="30" t="s">
        <v>110</v>
      </c>
      <c r="C1" s="30" t="s">
        <v>561</v>
      </c>
    </row>
    <row r="2" spans="1:3" x14ac:dyDescent="0.25">
      <c r="A2" t="str">
        <f>Master!$E2 &amp; ""</f>
        <v>Avery Abshear</v>
      </c>
      <c r="B2" t="str">
        <f>Master!$F2 &amp; ""</f>
        <v>81 East Drive</v>
      </c>
      <c r="C2" t="str">
        <f>Master!$J2 &amp; ""</f>
        <v>Centerville, OH 45459</v>
      </c>
    </row>
    <row r="3" spans="1:3" x14ac:dyDescent="0.25">
      <c r="A3" t="str">
        <f>Master!$E3 &amp; ""</f>
        <v>Jackson Abshear</v>
      </c>
      <c r="B3" t="str">
        <f>Master!$F3 &amp; ""</f>
        <v/>
      </c>
      <c r="C3" t="str">
        <f>Master!$J3 &amp; ""</f>
        <v/>
      </c>
    </row>
    <row r="4" spans="1:3" x14ac:dyDescent="0.25">
      <c r="A4" t="str">
        <f>Master!$E4 &amp; ""</f>
        <v>Nicholas Aiena</v>
      </c>
      <c r="B4" t="str">
        <f>Master!$F4 &amp; ""</f>
        <v/>
      </c>
      <c r="C4" t="str">
        <f>Master!$J4 &amp; ""</f>
        <v/>
      </c>
    </row>
    <row r="5" spans="1:3" x14ac:dyDescent="0.25">
      <c r="A5" t="str">
        <f>Master!$E5 &amp; ""</f>
        <v>Gracie Albert</v>
      </c>
      <c r="B5" t="str">
        <f>Master!$F5 &amp; ""</f>
        <v>262 Crosswell Ave</v>
      </c>
      <c r="C5" t="str">
        <f>Master!$J5 &amp; ""</f>
        <v>Brookville, OH 45309</v>
      </c>
    </row>
    <row r="6" spans="1:3" x14ac:dyDescent="0.25">
      <c r="A6" t="str">
        <f>Master!$E6 &amp; ""</f>
        <v>Gordon (JR) Alobwede</v>
      </c>
      <c r="B6" t="str">
        <f>Master!$F6 &amp; ""</f>
        <v>4323 Turtle Dove Way</v>
      </c>
      <c r="C6" t="str">
        <f>Master!$J6 &amp; ""</f>
        <v>Miamisburg, OH 45342</v>
      </c>
    </row>
    <row r="7" spans="1:3" x14ac:dyDescent="0.25">
      <c r="A7" t="str">
        <f>Master!$E7 &amp; ""</f>
        <v>Landrie Amaro</v>
      </c>
      <c r="B7" t="str">
        <f>Master!$F7 &amp; ""</f>
        <v>2083 S. Tulane Dr</v>
      </c>
      <c r="C7" t="str">
        <f>Master!$J7 &amp; ""</f>
        <v>Beavercreek, OH 45431</v>
      </c>
    </row>
    <row r="8" spans="1:3" x14ac:dyDescent="0.25">
      <c r="A8" t="str">
        <f>Master!$E8 &amp; ""</f>
        <v>Gracie Arnold</v>
      </c>
      <c r="B8" t="str">
        <f>Master!$F8 &amp; ""</f>
        <v>4400 Vera Place</v>
      </c>
      <c r="C8" t="str">
        <f>Master!$J8 &amp; ""</f>
        <v>Kettering, OH 45429</v>
      </c>
    </row>
    <row r="9" spans="1:3" x14ac:dyDescent="0.25">
      <c r="A9" t="str">
        <f>Master!$E9 &amp; ""</f>
        <v>Elena Back</v>
      </c>
      <c r="B9" t="str">
        <f>Master!$F9 &amp; ""</f>
        <v/>
      </c>
      <c r="C9" t="str">
        <f>Master!$J9 &amp; ""</f>
        <v/>
      </c>
    </row>
    <row r="10" spans="1:3" x14ac:dyDescent="0.25">
      <c r="A10" t="str">
        <f>Master!$E10 &amp; ""</f>
        <v>Harper Besserman</v>
      </c>
      <c r="B10" t="str">
        <f>Master!$F10 &amp; ""</f>
        <v>1620 S. Branch Rd</v>
      </c>
      <c r="C10" t="str">
        <f>Master!$J10 &amp; ""</f>
        <v>Dayton, OH 45458</v>
      </c>
    </row>
    <row r="11" spans="1:3" x14ac:dyDescent="0.25">
      <c r="A11" t="str">
        <f>Master!$E11 &amp; ""</f>
        <v>Cohen Bickett</v>
      </c>
      <c r="B11" t="str">
        <f>Master!$F11 &amp; ""</f>
        <v>380 Blumen Lane</v>
      </c>
      <c r="C11" t="str">
        <f>Master!$J11 &amp; ""</f>
        <v>Moraine, OH 45439</v>
      </c>
    </row>
    <row r="12" spans="1:3" x14ac:dyDescent="0.25">
      <c r="A12" t="str">
        <f>Master!$E12 &amp; ""</f>
        <v>Leila Binkley</v>
      </c>
      <c r="B12" t="str">
        <f>Master!$F12 &amp; ""</f>
        <v>4232 Weber Dr</v>
      </c>
      <c r="C12" t="str">
        <f>Master!$J12 &amp; ""</f>
        <v>Beavercreek, OH 45430</v>
      </c>
    </row>
    <row r="13" spans="1:3" x14ac:dyDescent="0.25">
      <c r="A13" t="str">
        <f>Master!$E13 &amp; ""</f>
        <v>Naomi Black</v>
      </c>
      <c r="B13" t="str">
        <f>Master!$F13 &amp; ""</f>
        <v>113 Goldengate Dr</v>
      </c>
      <c r="C13" t="str">
        <f>Master!$J13 &amp; ""</f>
        <v>Centerville, OH 45459</v>
      </c>
    </row>
    <row r="14" spans="1:3" x14ac:dyDescent="0.25">
      <c r="A14" t="str">
        <f>Master!$E14 &amp; ""</f>
        <v>Conner Blankenship</v>
      </c>
      <c r="B14" t="str">
        <f>Master!$F14 &amp; ""</f>
        <v>2670 Opal Dr</v>
      </c>
      <c r="C14" t="str">
        <f>Master!$J14 &amp; ""</f>
        <v>Middletown, OH 45044</v>
      </c>
    </row>
    <row r="15" spans="1:3" x14ac:dyDescent="0.25">
      <c r="A15" t="str">
        <f>Master!$E15 &amp; ""</f>
        <v>Evan Blankenship</v>
      </c>
      <c r="B15" t="str">
        <f>Master!$F15 &amp; ""</f>
        <v>2670 Opal Dr</v>
      </c>
      <c r="C15" t="str">
        <f>Master!$J15 &amp; ""</f>
        <v>Middletown, OH 45044</v>
      </c>
    </row>
    <row r="16" spans="1:3" x14ac:dyDescent="0.25">
      <c r="A16" t="str">
        <f>Master!$E16 &amp; ""</f>
        <v>Brady Bolton</v>
      </c>
      <c r="B16" t="str">
        <f>Master!$F16 &amp; ""</f>
        <v/>
      </c>
      <c r="C16" t="str">
        <f>Master!$J16 &amp; ""</f>
        <v/>
      </c>
    </row>
    <row r="17" spans="1:3" x14ac:dyDescent="0.25">
      <c r="A17" t="str">
        <f>Master!$E17 &amp; ""</f>
        <v>Mason Booker</v>
      </c>
      <c r="B17" t="str">
        <f>Master!$F17 &amp; ""</f>
        <v/>
      </c>
      <c r="C17" t="str">
        <f>Master!$J17 &amp; ""</f>
        <v/>
      </c>
    </row>
    <row r="18" spans="1:3" x14ac:dyDescent="0.25">
      <c r="A18" t="str">
        <f>Master!$E18 &amp; ""</f>
        <v>Hannah Borton</v>
      </c>
      <c r="B18" t="str">
        <f>Master!$F18 &amp; ""</f>
        <v/>
      </c>
      <c r="C18" t="str">
        <f>Master!$J18 &amp; ""</f>
        <v/>
      </c>
    </row>
    <row r="19" spans="1:3" x14ac:dyDescent="0.25">
      <c r="A19" t="str">
        <f>Master!$E19 &amp; ""</f>
        <v>Evangelia Bourbakis</v>
      </c>
      <c r="B19" t="str">
        <f>Master!$F19 &amp; ""</f>
        <v>9834 Country Creek Way</v>
      </c>
      <c r="C19" t="str">
        <f>Master!$J19 &amp; ""</f>
        <v>Centerville, OH 45458</v>
      </c>
    </row>
    <row r="20" spans="1:3" x14ac:dyDescent="0.25">
      <c r="A20" t="str">
        <f>Master!$E20 &amp; ""</f>
        <v>Tobias Bowermaster</v>
      </c>
      <c r="B20" t="str">
        <f>Master!$F20 &amp; ""</f>
        <v/>
      </c>
      <c r="C20" t="str">
        <f>Master!$J20 &amp; ""</f>
        <v/>
      </c>
    </row>
    <row r="21" spans="1:3" x14ac:dyDescent="0.25">
      <c r="A21" t="str">
        <f>Master!$E21 &amp; ""</f>
        <v>Dylan Bowling</v>
      </c>
      <c r="B21" t="str">
        <f>Master!$F21 &amp; ""</f>
        <v/>
      </c>
      <c r="C21" t="str">
        <f>Master!$J21 &amp; ""</f>
        <v/>
      </c>
    </row>
    <row r="22" spans="1:3" x14ac:dyDescent="0.25">
      <c r="A22" t="str">
        <f>Master!$E22 &amp; ""</f>
        <v>Aaron Bowman</v>
      </c>
      <c r="B22" t="str">
        <f>Master!$F22 &amp; ""</f>
        <v>4095 Lytle Rd</v>
      </c>
      <c r="C22" t="str">
        <f>Master!$J22 &amp; ""</f>
        <v>Waynesville, OH 45068</v>
      </c>
    </row>
    <row r="23" spans="1:3" x14ac:dyDescent="0.25">
      <c r="A23" t="str">
        <f>Master!$E23 &amp; ""</f>
        <v>Everette Bowman</v>
      </c>
      <c r="B23" t="str">
        <f>Master!$F23 &amp; ""</f>
        <v/>
      </c>
      <c r="C23" t="str">
        <f>Master!$J23 &amp; ""</f>
        <v/>
      </c>
    </row>
    <row r="24" spans="1:3" x14ac:dyDescent="0.25">
      <c r="A24" t="str">
        <f>Master!$E24 &amp; ""</f>
        <v>Gretchen Braun</v>
      </c>
      <c r="B24" t="str">
        <f>Master!$F24 &amp; ""</f>
        <v>2154 Hedge Gate Blvd</v>
      </c>
      <c r="C24" t="str">
        <f>Master!$J24 &amp; ""</f>
        <v>Beavercreek, OH 45431</v>
      </c>
    </row>
    <row r="25" spans="1:3" x14ac:dyDescent="0.25">
      <c r="A25" t="str">
        <f>Master!$E25 &amp; ""</f>
        <v>Charles Brewer</v>
      </c>
      <c r="B25" t="str">
        <f>Master!$F25 &amp; ""</f>
        <v>141 Chestnut Ave</v>
      </c>
      <c r="C25" t="str">
        <f>Master!$J25 &amp; ""</f>
        <v>Carlisle, OH 45005</v>
      </c>
    </row>
    <row r="26" spans="1:3" x14ac:dyDescent="0.25">
      <c r="A26" t="str">
        <f>Master!$E26 &amp; ""</f>
        <v>Benjamin Browning</v>
      </c>
      <c r="B26" t="str">
        <f>Master!$F26 &amp; ""</f>
        <v>2285 Weller Ln</v>
      </c>
      <c r="C26" t="str">
        <f>Master!$J26 &amp; ""</f>
        <v>Bellbrook, OH 45305</v>
      </c>
    </row>
    <row r="27" spans="1:3" x14ac:dyDescent="0.25">
      <c r="A27" t="str">
        <f>Master!$E27 &amp; ""</f>
        <v>Janice Brun</v>
      </c>
      <c r="B27" t="str">
        <f>Master!$F27 &amp; ""</f>
        <v>562 W Alex Bell Rd</v>
      </c>
      <c r="C27" t="str">
        <f>Master!$J27 &amp; ""</f>
        <v>Centerville, OH 45459</v>
      </c>
    </row>
    <row r="28" spans="1:3" x14ac:dyDescent="0.25">
      <c r="A28" t="str">
        <f>Master!$E28 &amp; ""</f>
        <v>Niklaus Burtnett</v>
      </c>
      <c r="B28" t="str">
        <f>Master!$F28 &amp; ""</f>
        <v/>
      </c>
      <c r="C28" t="str">
        <f>Master!$J28 &amp; ""</f>
        <v/>
      </c>
    </row>
    <row r="29" spans="1:3" x14ac:dyDescent="0.25">
      <c r="A29" t="str">
        <f>Master!$E29 &amp; ""</f>
        <v>Noah Bush</v>
      </c>
      <c r="B29" t="str">
        <f>Master!$F29 &amp; ""</f>
        <v/>
      </c>
      <c r="C29" t="str">
        <f>Master!$J29 &amp; ""</f>
        <v/>
      </c>
    </row>
    <row r="30" spans="1:3" x14ac:dyDescent="0.25">
      <c r="A30" t="str">
        <f>Master!$E30 &amp; ""</f>
        <v>Fred Cairo</v>
      </c>
      <c r="B30" t="str">
        <f>Master!$F30 &amp; ""</f>
        <v>37 W Wren Cir</v>
      </c>
      <c r="C30" t="str">
        <f>Master!$J30 &amp; ""</f>
        <v>Kettering, OH 45420</v>
      </c>
    </row>
    <row r="31" spans="1:3" x14ac:dyDescent="0.25">
      <c r="A31" t="str">
        <f>Master!$E31 &amp; ""</f>
        <v>Benny Calcutta</v>
      </c>
      <c r="B31" t="str">
        <f>Master!$F31 &amp; ""</f>
        <v>1858 Beaverton Dr</v>
      </c>
      <c r="C31" t="str">
        <f>Master!$J31 &amp; ""</f>
        <v>Kettering, OH 45429</v>
      </c>
    </row>
    <row r="32" spans="1:3" x14ac:dyDescent="0.25">
      <c r="A32" t="str">
        <f>Master!$E32 &amp; ""</f>
        <v>Beckett Calfee</v>
      </c>
      <c r="B32" t="str">
        <f>Master!$F32 &amp; ""</f>
        <v>1240 Waterwyck Trail</v>
      </c>
      <c r="C32" t="str">
        <f>Master!$J32 &amp; ""</f>
        <v>Centerville, OH 45458</v>
      </c>
    </row>
    <row r="33" spans="1:3" x14ac:dyDescent="0.25">
      <c r="A33" t="str">
        <f>Master!$E33 &amp; ""</f>
        <v>Jacob Candy</v>
      </c>
      <c r="B33" t="str">
        <f>Master!$F33 &amp; ""</f>
        <v>38 Blackstone Dr</v>
      </c>
      <c r="C33" t="str">
        <f>Master!$J33 &amp; ""</f>
        <v>Centerville, OH 45459</v>
      </c>
    </row>
    <row r="34" spans="1:3" x14ac:dyDescent="0.25">
      <c r="A34" t="str">
        <f>Master!$E34 &amp; ""</f>
        <v>Luca Carlton</v>
      </c>
      <c r="B34" t="str">
        <f>Master!$F34 &amp; ""</f>
        <v/>
      </c>
      <c r="C34" t="str">
        <f>Master!$J34 &amp; ""</f>
        <v/>
      </c>
    </row>
    <row r="35" spans="1:3" x14ac:dyDescent="0.25">
      <c r="A35" t="str">
        <f>Master!$E35 &amp; ""</f>
        <v>Jackson Chockey</v>
      </c>
      <c r="B35" t="str">
        <f>Master!$F35 &amp; ""</f>
        <v>4348 Chippewa Trail</v>
      </c>
      <c r="C35" t="str">
        <f>Master!$J35 &amp; ""</f>
        <v>Jamestown, OH 45335</v>
      </c>
    </row>
    <row r="36" spans="1:3" x14ac:dyDescent="0.25">
      <c r="A36" t="str">
        <f>Master!$E36 &amp; ""</f>
        <v>Bailey Clark</v>
      </c>
      <c r="B36" t="str">
        <f>Master!$F36 &amp; ""</f>
        <v>2160 Pompano Circle</v>
      </c>
      <c r="C36" t="str">
        <f>Master!$J36 &amp; ""</f>
        <v>Dayton, OH 45404</v>
      </c>
    </row>
    <row r="37" spans="1:3" x14ac:dyDescent="0.25">
      <c r="A37" t="str">
        <f>Master!$E37 &amp; ""</f>
        <v>Emma Cloyes</v>
      </c>
      <c r="B37" t="str">
        <f>Master!$F37 &amp; ""</f>
        <v/>
      </c>
      <c r="C37" t="str">
        <f>Master!$J37 &amp; ""</f>
        <v/>
      </c>
    </row>
    <row r="38" spans="1:3" x14ac:dyDescent="0.25">
      <c r="A38" t="str">
        <f>Master!$E38 &amp; ""</f>
        <v>Charlie Coleman</v>
      </c>
      <c r="B38" t="str">
        <f>Master!$F38 &amp; ""</f>
        <v/>
      </c>
      <c r="C38" t="str">
        <f>Master!$J38 &amp; ""</f>
        <v/>
      </c>
    </row>
    <row r="39" spans="1:3" x14ac:dyDescent="0.25">
      <c r="A39" t="str">
        <f>Master!$E39 &amp; ""</f>
        <v>Jack Coleman</v>
      </c>
      <c r="B39" t="str">
        <f>Master!$F39 &amp; ""</f>
        <v/>
      </c>
      <c r="C39" t="str">
        <f>Master!$J39 &amp; ""</f>
        <v/>
      </c>
    </row>
    <row r="40" spans="1:3" x14ac:dyDescent="0.25">
      <c r="A40" t="str">
        <f>Master!$E40 &amp; ""</f>
        <v>Steven Conlee</v>
      </c>
      <c r="B40" t="str">
        <f>Master!$F40 &amp; ""</f>
        <v>2299 Adrian Ct</v>
      </c>
      <c r="C40" t="str">
        <f>Master!$J40 &amp; ""</f>
        <v>Dayton, OH 45439</v>
      </c>
    </row>
    <row r="41" spans="1:3" x14ac:dyDescent="0.25">
      <c r="A41" t="str">
        <f>Master!$E41 &amp; ""</f>
        <v>Alexander Coomer</v>
      </c>
      <c r="B41" t="str">
        <f>Master!$F41 &amp; ""</f>
        <v>1132 E Pearl St</v>
      </c>
      <c r="C41" t="str">
        <f>Master!$J41 &amp; ""</f>
        <v>Miamisburg, OH 45342</v>
      </c>
    </row>
    <row r="42" spans="1:3" x14ac:dyDescent="0.25">
      <c r="A42" t="str">
        <f>Master!$E42 &amp; ""</f>
        <v>Aiyanna Cornell</v>
      </c>
      <c r="B42" t="str">
        <f>Master!$F42 &amp; ""</f>
        <v/>
      </c>
      <c r="C42" t="str">
        <f>Master!$J42 &amp; ""</f>
        <v/>
      </c>
    </row>
    <row r="43" spans="1:3" x14ac:dyDescent="0.25">
      <c r="A43" t="str">
        <f>Master!$E43 &amp; ""</f>
        <v>Carter Cornell</v>
      </c>
      <c r="B43" t="str">
        <f>Master!$F43 &amp; ""</f>
        <v>1934 Nutt Rd</v>
      </c>
      <c r="C43" t="str">
        <f>Master!$J43 &amp; ""</f>
        <v>Centerville, OH 45458</v>
      </c>
    </row>
    <row r="44" spans="1:3" x14ac:dyDescent="0.25">
      <c r="A44" t="str">
        <f>Master!$E44 &amp; ""</f>
        <v>Andrew Crosby</v>
      </c>
      <c r="B44" t="str">
        <f>Master!$F44 &amp; ""</f>
        <v>9217 N. Creek Ln</v>
      </c>
      <c r="C44" t="str">
        <f>Master!$J44 &amp; ""</f>
        <v>Centerville, OH 45458</v>
      </c>
    </row>
    <row r="45" spans="1:3" x14ac:dyDescent="0.25">
      <c r="A45" t="str">
        <f>Master!$E45 &amp; ""</f>
        <v>Noah Curtis</v>
      </c>
      <c r="B45" t="str">
        <f>Master!$F45 &amp; ""</f>
        <v>116 St. Rt 350</v>
      </c>
      <c r="C45" t="str">
        <f>Master!$J45 &amp; ""</f>
        <v>Cuba, OH 45177</v>
      </c>
    </row>
    <row r="46" spans="1:3" x14ac:dyDescent="0.25">
      <c r="A46" t="str">
        <f>Master!$E46 &amp; ""</f>
        <v>Vada Daniels</v>
      </c>
      <c r="B46" t="str">
        <f>Master!$F46 &amp; ""</f>
        <v>2008 Pacer Trail</v>
      </c>
      <c r="C46" t="str">
        <f>Master!$J46 &amp; ""</f>
        <v>Beavercreek Twn, OH 45434</v>
      </c>
    </row>
    <row r="47" spans="1:3" x14ac:dyDescent="0.25">
      <c r="A47" t="str">
        <f>Master!$E47 &amp; ""</f>
        <v>Ellie Davenport</v>
      </c>
      <c r="B47" t="str">
        <f>Master!$F47 &amp; ""</f>
        <v>504 Country Squire Ct</v>
      </c>
      <c r="C47" t="str">
        <f>Master!$J47 &amp; ""</f>
        <v>Dayton, OH 45458</v>
      </c>
    </row>
    <row r="48" spans="1:3" x14ac:dyDescent="0.25">
      <c r="A48" t="str">
        <f>Master!$E48 &amp; ""</f>
        <v>Ian Davis</v>
      </c>
      <c r="B48" t="str">
        <f>Master!$F48 &amp; ""</f>
        <v>5260 Vermadale Drive</v>
      </c>
      <c r="C48" t="str">
        <f>Master!$J48 &amp; ""</f>
        <v>Dayton, OH 45429</v>
      </c>
    </row>
    <row r="49" spans="1:3" x14ac:dyDescent="0.25">
      <c r="A49" t="str">
        <f>Master!$E49 &amp; ""</f>
        <v>Payson Davis</v>
      </c>
      <c r="B49" t="str">
        <f>Master!$F49 &amp; ""</f>
        <v>743 Woodspring Ct</v>
      </c>
      <c r="C49" t="str">
        <f>Master!$J49 &amp; ""</f>
        <v>Beavercreek, OH 45430</v>
      </c>
    </row>
    <row r="50" spans="1:3" x14ac:dyDescent="0.25">
      <c r="A50" t="str">
        <f>Master!$E50 &amp; ""</f>
        <v>Nolan DeGrazia</v>
      </c>
      <c r="B50" t="str">
        <f>Master!$F50 &amp; ""</f>
        <v/>
      </c>
      <c r="C50" t="str">
        <f>Master!$J50 &amp; ""</f>
        <v/>
      </c>
    </row>
    <row r="51" spans="1:3" x14ac:dyDescent="0.25">
      <c r="A51" t="str">
        <f>Master!$E51 &amp; ""</f>
        <v>Kendra Denlinger</v>
      </c>
      <c r="B51" t="str">
        <f>Master!$F51 &amp; ""</f>
        <v>2799 Emerald Way</v>
      </c>
      <c r="C51" t="str">
        <f>Master!$J51 &amp; ""</f>
        <v>Waynesville, OH 45068</v>
      </c>
    </row>
    <row r="52" spans="1:3" x14ac:dyDescent="0.25">
      <c r="A52" t="str">
        <f>Master!$E52 &amp; ""</f>
        <v>Ryan DeWine</v>
      </c>
      <c r="B52" t="str">
        <f>Master!$F52 &amp; ""</f>
        <v>6605-2 Brigham Sq</v>
      </c>
      <c r="C52" t="str">
        <f>Master!$J52 &amp; ""</f>
        <v>Centerville, OH 45459</v>
      </c>
    </row>
    <row r="53" spans="1:3" x14ac:dyDescent="0.25">
      <c r="A53" t="str">
        <f>Master!$E53 &amp; ""</f>
        <v>Brandon Dietsch</v>
      </c>
      <c r="B53" t="str">
        <f>Master!$F53 &amp; ""</f>
        <v>1452 Vanderlyn Ct.</v>
      </c>
      <c r="C53" t="str">
        <f>Master!$J53 &amp; ""</f>
        <v>Fairborn, OH 45324</v>
      </c>
    </row>
    <row r="54" spans="1:3" x14ac:dyDescent="0.25">
      <c r="A54" t="str">
        <f>Master!$E54 &amp; ""</f>
        <v>Grant Dismuke</v>
      </c>
      <c r="B54" t="str">
        <f>Master!$F54 &amp; ""</f>
        <v>9186 Country Pond Trail</v>
      </c>
      <c r="C54" t="str">
        <f>Master!$J54 &amp; ""</f>
        <v>Miamisburg, OH 45342</v>
      </c>
    </row>
    <row r="55" spans="1:3" x14ac:dyDescent="0.25">
      <c r="A55" t="str">
        <f>Master!$E55 &amp; ""</f>
        <v>Matt Dorn</v>
      </c>
      <c r="B55" t="str">
        <f>Master!$F55 &amp; ""</f>
        <v>1483 Townhall</v>
      </c>
      <c r="C55" t="str">
        <f>Master!$J55 &amp; ""</f>
        <v>Beavercreek, OH 45434</v>
      </c>
    </row>
    <row r="56" spans="1:3" x14ac:dyDescent="0.25">
      <c r="A56" t="str">
        <f>Master!$E56 &amp; ""</f>
        <v>Laura Doroh</v>
      </c>
      <c r="B56" t="str">
        <f>Master!$F56 &amp; ""</f>
        <v>1564 Silverlake Dr</v>
      </c>
      <c r="C56" t="str">
        <f>Master!$J56 &amp; ""</f>
        <v>Dayton, OH 45458</v>
      </c>
    </row>
    <row r="57" spans="1:3" x14ac:dyDescent="0.25">
      <c r="A57" t="str">
        <f>Master!$E57 &amp; ""</f>
        <v>Will Drerup</v>
      </c>
      <c r="B57" t="str">
        <f>Master!$F57 &amp; ""</f>
        <v>2005 Indigo Trail</v>
      </c>
      <c r="C57" t="str">
        <f>Master!$J57 &amp; ""</f>
        <v>Centerville, OH 45459</v>
      </c>
    </row>
    <row r="58" spans="1:3" x14ac:dyDescent="0.25">
      <c r="A58" t="str">
        <f>Master!$E58 &amp; ""</f>
        <v>Nick Drewry</v>
      </c>
      <c r="B58" t="str">
        <f>Master!$F58 &amp; ""</f>
        <v>485 Evergreen Dr</v>
      </c>
      <c r="C58" t="str">
        <f>Master!$J58 &amp; ""</f>
        <v>Springboro, OH 45066</v>
      </c>
    </row>
    <row r="59" spans="1:3" x14ac:dyDescent="0.25">
      <c r="A59" t="str">
        <f>Master!$E59 &amp; ""</f>
        <v>Jack Duckro</v>
      </c>
      <c r="B59" t="str">
        <f>Master!$F59 &amp; ""</f>
        <v>3915 Elliot Ave</v>
      </c>
      <c r="C59" t="str">
        <f>Master!$J59 &amp; ""</f>
        <v>Dayton, OH 45420</v>
      </c>
    </row>
    <row r="60" spans="1:3" x14ac:dyDescent="0.25">
      <c r="A60" t="e">
        <f>Master!#REF! &amp; ""</f>
        <v>#REF!</v>
      </c>
      <c r="B60" t="e">
        <f>Master!#REF! &amp; ""</f>
        <v>#REF!</v>
      </c>
      <c r="C60" t="e">
        <f>Master!#REF! &amp; ""</f>
        <v>#REF!</v>
      </c>
    </row>
    <row r="61" spans="1:3" x14ac:dyDescent="0.25">
      <c r="A61" t="e">
        <f>Master!#REF! &amp; ""</f>
        <v>#REF!</v>
      </c>
      <c r="B61" t="e">
        <f>Master!#REF! &amp; ""</f>
        <v>#REF!</v>
      </c>
      <c r="C61" t="e">
        <f>Master!#REF! &amp; ""</f>
        <v>#REF!</v>
      </c>
    </row>
    <row r="62" spans="1:3" x14ac:dyDescent="0.25">
      <c r="A62" t="e">
        <f>Master!#REF! &amp; ""</f>
        <v>#REF!</v>
      </c>
      <c r="B62" t="e">
        <f>Master!#REF! &amp; ""</f>
        <v>#REF!</v>
      </c>
      <c r="C62" t="e">
        <f>Master!#REF! &amp; ""</f>
        <v>#REF!</v>
      </c>
    </row>
    <row r="63" spans="1:3" x14ac:dyDescent="0.25">
      <c r="A63" t="str">
        <f>Master!$E60 &amp; ""</f>
        <v>Leighton Ellinger</v>
      </c>
      <c r="B63" t="str">
        <f>Master!$F60 &amp; ""</f>
        <v/>
      </c>
      <c r="C63" t="str">
        <f>Master!$J60 &amp; ""</f>
        <v/>
      </c>
    </row>
    <row r="64" spans="1:3" x14ac:dyDescent="0.25">
      <c r="A64" t="str">
        <f>Master!$E61 &amp; ""</f>
        <v>Freddie Engle</v>
      </c>
      <c r="B64" t="str">
        <f>Master!$F61 &amp; ""</f>
        <v>1558 Maumee Dr</v>
      </c>
      <c r="C64" t="str">
        <f>Master!$J61 &amp; ""</f>
        <v>Xenia, OH 45385</v>
      </c>
    </row>
    <row r="65" spans="1:3" x14ac:dyDescent="0.25">
      <c r="A65" t="str">
        <f>Master!$E62 &amp; ""</f>
        <v>Graham Enneking</v>
      </c>
      <c r="B65" t="str">
        <f>Master!$F62 &amp; ""</f>
        <v>2211 Marcia Dr</v>
      </c>
      <c r="C65" t="str">
        <f>Master!$J62 &amp; ""</f>
        <v>Bellbrook, OH 45305</v>
      </c>
    </row>
    <row r="66" spans="1:3" x14ac:dyDescent="0.25">
      <c r="A66" t="str">
        <f>Master!$E63 &amp; ""</f>
        <v>Jake Everson</v>
      </c>
      <c r="B66" t="str">
        <f>Master!$F63 &amp; ""</f>
        <v>2509 Emerald Way</v>
      </c>
      <c r="C66" t="str">
        <f>Master!$J63 &amp; ""</f>
        <v>Waynesville, OH 45068</v>
      </c>
    </row>
    <row r="67" spans="1:3" x14ac:dyDescent="0.25">
      <c r="A67" t="str">
        <f>Master!$E64 &amp; ""</f>
        <v>Henry Farrell</v>
      </c>
      <c r="B67" t="str">
        <f>Master!$F64 &amp; ""</f>
        <v>1118 Sharon Ave</v>
      </c>
      <c r="C67" t="str">
        <f>Master!$J64 &amp; ""</f>
        <v>Kettering, OH 45429</v>
      </c>
    </row>
    <row r="68" spans="1:3" x14ac:dyDescent="0.25">
      <c r="A68" t="str">
        <f>Master!$E65 &amp; ""</f>
        <v>Elias Felton</v>
      </c>
      <c r="B68" t="str">
        <f>Master!$F65 &amp; ""</f>
        <v/>
      </c>
      <c r="C68" t="str">
        <f>Master!$J65 &amp; ""</f>
        <v/>
      </c>
    </row>
    <row r="69" spans="1:3" x14ac:dyDescent="0.25">
      <c r="A69" t="str">
        <f>Master!$E66 &amp; ""</f>
        <v>Jack Ferguson</v>
      </c>
      <c r="B69" t="str">
        <f>Master!$F66 &amp; ""</f>
        <v/>
      </c>
      <c r="C69" t="str">
        <f>Master!$J66 &amp; ""</f>
        <v/>
      </c>
    </row>
    <row r="70" spans="1:3" x14ac:dyDescent="0.25">
      <c r="A70" t="str">
        <f>Master!$E67 &amp; ""</f>
        <v>Tracie Ferrara</v>
      </c>
      <c r="B70" t="str">
        <f>Master!$F67 &amp; ""</f>
        <v>1120 Belvo Estates Ct</v>
      </c>
      <c r="C70" t="str">
        <f>Master!$J67 &amp; ""</f>
        <v>Miamisburg, OH 45342</v>
      </c>
    </row>
    <row r="71" spans="1:3" x14ac:dyDescent="0.25">
      <c r="A71" t="str">
        <f>Master!$E68 &amp; ""</f>
        <v>Isaiah Fisher</v>
      </c>
      <c r="B71" t="str">
        <f>Master!$F68 &amp; ""</f>
        <v>2771 Latonia Ave</v>
      </c>
      <c r="C71" t="str">
        <f>Master!$J68 &amp; ""</f>
        <v>Dayton, OH 45439</v>
      </c>
    </row>
    <row r="72" spans="1:3" x14ac:dyDescent="0.25">
      <c r="A72" t="str">
        <f>Master!$E69 &amp; ""</f>
        <v>Adam Flowers</v>
      </c>
      <c r="B72" t="str">
        <f>Master!$F69 &amp; ""</f>
        <v>491 W Spring Valley Pk</v>
      </c>
      <c r="C72" t="str">
        <f>Master!$J69 &amp; ""</f>
        <v>Centerville, OH 45458</v>
      </c>
    </row>
    <row r="73" spans="1:3" x14ac:dyDescent="0.25">
      <c r="A73" t="str">
        <f>Master!$E70 &amp; ""</f>
        <v>Kaizyr Forgy</v>
      </c>
      <c r="B73" t="str">
        <f>Master!$F70 &amp; ""</f>
        <v/>
      </c>
      <c r="C73" t="str">
        <f>Master!$J70 &amp; ""</f>
        <v/>
      </c>
    </row>
    <row r="74" spans="1:3" x14ac:dyDescent="0.25">
      <c r="A74" t="str">
        <f>Master!$E71 &amp; ""</f>
        <v>Sarah Forman</v>
      </c>
      <c r="B74" t="str">
        <f>Master!$F71 &amp; ""</f>
        <v>544 Hyde Park Dr</v>
      </c>
      <c r="C74" t="str">
        <f>Master!$J71 &amp; ""</f>
        <v>Dayton, OH 45429</v>
      </c>
    </row>
    <row r="75" spans="1:3" x14ac:dyDescent="0.25">
      <c r="A75" t="str">
        <f>Master!$E72 &amp; ""</f>
        <v>Shawn Frederick</v>
      </c>
      <c r="B75" t="str">
        <f>Master!$F72 &amp; ""</f>
        <v>228 Telford Ave</v>
      </c>
      <c r="C75" t="str">
        <f>Master!$J72 &amp; ""</f>
        <v>Oakwood, OH 45419</v>
      </c>
    </row>
    <row r="76" spans="1:3" x14ac:dyDescent="0.25">
      <c r="A76" t="str">
        <f>Master!$E73 &amp; ""</f>
        <v>Matthew Fry</v>
      </c>
      <c r="B76" t="str">
        <f>Master!$F73 &amp; ""</f>
        <v>65 Graywood Ct</v>
      </c>
      <c r="C76" t="str">
        <f>Master!$J73 &amp; ""</f>
        <v>Centerville, OH 45458</v>
      </c>
    </row>
    <row r="77" spans="1:3" x14ac:dyDescent="0.25">
      <c r="A77" t="str">
        <f>Master!$E74 &amp; ""</f>
        <v>Blane Gallagher</v>
      </c>
      <c r="B77" t="str">
        <f>Master!$F74 &amp; ""</f>
        <v/>
      </c>
      <c r="C77" t="str">
        <f>Master!$J74 &amp; ""</f>
        <v/>
      </c>
    </row>
    <row r="78" spans="1:3" x14ac:dyDescent="0.25">
      <c r="A78" t="str">
        <f>Master!$E75 &amp; ""</f>
        <v>Julianne Gillespie</v>
      </c>
      <c r="B78" t="str">
        <f>Master!$F75 &amp; ""</f>
        <v>929 Malone Ave</v>
      </c>
      <c r="C78" t="str">
        <f>Master!$J75 &amp; ""</f>
        <v>Kettering, OH 45429</v>
      </c>
    </row>
    <row r="79" spans="1:3" x14ac:dyDescent="0.25">
      <c r="A79" t="str">
        <f>Master!$E76 &amp; ""</f>
        <v>Avery Gillette</v>
      </c>
      <c r="B79" t="str">
        <f>Master!$F76 &amp; ""</f>
        <v>625 Saddlewood Ave</v>
      </c>
      <c r="C79" t="str">
        <f>Master!$J76 &amp; ""</f>
        <v>Centerville, OH 45459</v>
      </c>
    </row>
    <row r="80" spans="1:3" x14ac:dyDescent="0.25">
      <c r="A80" t="str">
        <f>Master!$E77 &amp; ""</f>
        <v>Ella Gillette</v>
      </c>
      <c r="B80" t="str">
        <f>Master!$F77 &amp; ""</f>
        <v>625 Saddlewood Ave</v>
      </c>
      <c r="C80" t="str">
        <f>Master!$J77 &amp; ""</f>
        <v>Centerville, OH 45459</v>
      </c>
    </row>
    <row r="81" spans="1:3" x14ac:dyDescent="0.25">
      <c r="A81" t="str">
        <f>Master!$E78 &amp; ""</f>
        <v>Killian Gillette</v>
      </c>
      <c r="B81" t="str">
        <f>Master!$F78 &amp; ""</f>
        <v>625 Saddlewood Ave</v>
      </c>
      <c r="C81" t="str">
        <f>Master!$J78 &amp; ""</f>
        <v>Centerville, OH 45459</v>
      </c>
    </row>
    <row r="82" spans="1:3" x14ac:dyDescent="0.25">
      <c r="A82" t="str">
        <f>Master!$E79 &amp; ""</f>
        <v>Balen Glover</v>
      </c>
      <c r="B82" t="str">
        <f>Master!$F79 &amp; ""</f>
        <v>721 Easter Dr.</v>
      </c>
      <c r="C82" t="str">
        <f>Master!$J79 &amp; ""</f>
        <v>Carlisle, OH 45005</v>
      </c>
    </row>
    <row r="83" spans="1:3" x14ac:dyDescent="0.25">
      <c r="A83" t="str">
        <f>Master!$E80 &amp; ""</f>
        <v>Gabriel Gogel</v>
      </c>
      <c r="B83" t="str">
        <f>Master!$F80 &amp; ""</f>
        <v/>
      </c>
      <c r="C83" t="str">
        <f>Master!$J80 &amp; ""</f>
        <v/>
      </c>
    </row>
    <row r="84" spans="1:3" x14ac:dyDescent="0.25">
      <c r="A84" t="str">
        <f>Master!$E81 &amp; ""</f>
        <v>Matthew Greely</v>
      </c>
      <c r="B84" t="str">
        <f>Master!$F81 &amp; ""</f>
        <v>10119 Washington Church Rd</v>
      </c>
      <c r="C84" t="str">
        <f>Master!$J81 &amp; ""</f>
        <v>Miamisburg, OH 45342</v>
      </c>
    </row>
    <row r="85" spans="1:3" x14ac:dyDescent="0.25">
      <c r="A85" t="str">
        <f>Master!$E82 &amp; ""</f>
        <v>Summer Greenspan</v>
      </c>
      <c r="B85" t="str">
        <f>Master!$F82 &amp; ""</f>
        <v>3025 Bulah Dr.</v>
      </c>
      <c r="C85" t="str">
        <f>Master!$J82 &amp; ""</f>
        <v>Kettering, OH 45429</v>
      </c>
    </row>
    <row r="86" spans="1:3" x14ac:dyDescent="0.25">
      <c r="A86" t="str">
        <f>Master!$E83 &amp; ""</f>
        <v>Nora Grimsley</v>
      </c>
      <c r="B86" t="str">
        <f>Master!$F83 &amp; ""</f>
        <v/>
      </c>
      <c r="C86" t="str">
        <f>Master!$J83 &amp; ""</f>
        <v/>
      </c>
    </row>
    <row r="87" spans="1:3" x14ac:dyDescent="0.25">
      <c r="A87" t="str">
        <f>Master!$E84 &amp; ""</f>
        <v>Tyler Gustafson</v>
      </c>
      <c r="B87" t="str">
        <f>Master!$F84 &amp; ""</f>
        <v>3155 Felton Dr</v>
      </c>
      <c r="C87" t="str">
        <f>Master!$J84 &amp; ""</f>
        <v>Beavercreek, OH 45431</v>
      </c>
    </row>
    <row r="88" spans="1:3" x14ac:dyDescent="0.25">
      <c r="A88" t="str">
        <f>Master!$E85 &amp; ""</f>
        <v>Zayn Hahn</v>
      </c>
      <c r="B88" t="str">
        <f>Master!$F85 &amp; ""</f>
        <v>5950 Chambersburg Rd</v>
      </c>
      <c r="C88" t="str">
        <f>Master!$J85 &amp; ""</f>
        <v>Dayton, OH 45424</v>
      </c>
    </row>
    <row r="89" spans="1:3" x14ac:dyDescent="0.25">
      <c r="A89" t="str">
        <f>Master!$E87 &amp; ""</f>
        <v>Alicia Hanna</v>
      </c>
      <c r="B89" t="str">
        <f>Master!$F87 &amp; ""</f>
        <v>PO Box 98</v>
      </c>
      <c r="C89" t="str">
        <f>Master!$J87 &amp; ""</f>
        <v>Matlacha, FL 33933</v>
      </c>
    </row>
    <row r="90" spans="1:3" x14ac:dyDescent="0.25">
      <c r="A90" t="str">
        <f>Master!$E88 &amp; ""</f>
        <v>Gavin Hardy</v>
      </c>
      <c r="B90" t="str">
        <f>Master!$F88 &amp; ""</f>
        <v>11 E Cottage Ave</v>
      </c>
      <c r="C90" t="str">
        <f>Master!$J88 &amp; ""</f>
        <v>West Carrollton, OH 45449</v>
      </c>
    </row>
    <row r="91" spans="1:3" x14ac:dyDescent="0.25">
      <c r="A91" t="str">
        <f>Master!$E89 &amp; ""</f>
        <v>Marilyn Hatfield</v>
      </c>
      <c r="B91" t="str">
        <f>Master!$F89 &amp; ""</f>
        <v>356 High Street</v>
      </c>
      <c r="C91" t="str">
        <f>Master!$J89 &amp; ""</f>
        <v>Wilmington, OH 45177</v>
      </c>
    </row>
    <row r="92" spans="1:3" x14ac:dyDescent="0.25">
      <c r="A92" t="str">
        <f>Master!$E90 &amp; ""</f>
        <v>Neil Heller</v>
      </c>
      <c r="B92" t="str">
        <f>Master!$F90 &amp; ""</f>
        <v>1148 Cloverfield Ave</v>
      </c>
      <c r="C92" t="str">
        <f>Master!$J90 &amp; ""</f>
        <v>Kettering, OH 45429</v>
      </c>
    </row>
    <row r="93" spans="1:3" x14ac:dyDescent="0.25">
      <c r="A93" t="str">
        <f>Master!$E91 &amp; ""</f>
        <v>Cody Heyne</v>
      </c>
      <c r="B93" t="str">
        <f>Master!$F91 &amp; ""</f>
        <v>8282 Rhine Way</v>
      </c>
      <c r="C93" t="str">
        <f>Master!$J91 &amp; ""</f>
        <v>Centerville, OH 45458</v>
      </c>
    </row>
    <row r="94" spans="1:3" x14ac:dyDescent="0.25">
      <c r="A94" t="str">
        <f>Master!$E93 &amp; ""</f>
        <v>Nicolas Heyne</v>
      </c>
      <c r="B94" t="str">
        <f>Master!$F93 &amp; ""</f>
        <v>8282 Rhine Way</v>
      </c>
      <c r="C94" t="str">
        <f>Master!$J93 &amp; ""</f>
        <v>Centerville, OH 45458</v>
      </c>
    </row>
    <row r="95" spans="1:3" x14ac:dyDescent="0.25">
      <c r="A95" t="str">
        <f>Master!$E94 &amp; ""</f>
        <v>Alexander Holecek</v>
      </c>
      <c r="B95" t="str">
        <f>Master!$F94 &amp; ""</f>
        <v/>
      </c>
      <c r="C95" t="str">
        <f>Master!$J94 &amp; ""</f>
        <v/>
      </c>
    </row>
    <row r="96" spans="1:3" x14ac:dyDescent="0.25">
      <c r="A96" t="str">
        <f>Master!$E95 &amp; ""</f>
        <v>Kenley Holtz</v>
      </c>
      <c r="B96" t="str">
        <f>Master!$F95 &amp; ""</f>
        <v>197 Poinciana Dr</v>
      </c>
      <c r="C96" t="str">
        <f>Master!$J95 &amp; ""</f>
        <v>Centerville, OH 45459</v>
      </c>
    </row>
    <row r="97" spans="1:3" x14ac:dyDescent="0.25">
      <c r="A97" t="str">
        <f>Master!$E96 &amp; ""</f>
        <v>Carlee Honius</v>
      </c>
      <c r="B97" t="str">
        <f>Master!$F96 &amp; ""</f>
        <v>1220 McKinley Ct</v>
      </c>
      <c r="C97" t="str">
        <f>Master!$J96 &amp; ""</f>
        <v>Miamisburg, OH 45342</v>
      </c>
    </row>
    <row r="98" spans="1:3" x14ac:dyDescent="0.25">
      <c r="A98" t="str">
        <f>Master!$E97 &amp; ""</f>
        <v>Mikey Hoptry</v>
      </c>
      <c r="B98" t="str">
        <f>Master!$F97 &amp; ""</f>
        <v/>
      </c>
      <c r="C98" t="str">
        <f>Master!$J97 &amp; ""</f>
        <v/>
      </c>
    </row>
    <row r="99" spans="1:3" x14ac:dyDescent="0.25">
      <c r="A99" t="str">
        <f>Master!$E98 &amp; ""</f>
        <v>Beth Horstman</v>
      </c>
      <c r="B99" t="str">
        <f>Master!$F98 &amp; ""</f>
        <v>2337 Spicer Dr</v>
      </c>
      <c r="C99" t="str">
        <f>Master!$J98 &amp; ""</f>
        <v>Beavercreek, OH 45431</v>
      </c>
    </row>
    <row r="100" spans="1:3" x14ac:dyDescent="0.25">
      <c r="A100" t="str">
        <f>Master!$E99 &amp; ""</f>
        <v>Alexander Horton</v>
      </c>
      <c r="B100" t="str">
        <f>Master!$F99 &amp; ""</f>
        <v>1362 Hickoryview</v>
      </c>
      <c r="C100" t="str">
        <f>Master!$J99 &amp; ""</f>
        <v>Dayton, OH 45458</v>
      </c>
    </row>
    <row r="101" spans="1:3" x14ac:dyDescent="0.25">
      <c r="A101" t="str">
        <f>Master!$E100 &amp; ""</f>
        <v>Patience Howard</v>
      </c>
      <c r="B101" t="str">
        <f>Master!$F100 &amp; ""</f>
        <v/>
      </c>
      <c r="C101" t="str">
        <f>Master!$J100 &amp; ""</f>
        <v/>
      </c>
    </row>
    <row r="102" spans="1:3" x14ac:dyDescent="0.25">
      <c r="A102" t="str">
        <f>Master!$E101 &amp; ""</f>
        <v>Jakob Howson</v>
      </c>
      <c r="B102" t="str">
        <f>Master!$F101 &amp; ""</f>
        <v>1895 Edith Marie Dr</v>
      </c>
      <c r="C102" t="str">
        <f>Master!$J101 &amp; ""</f>
        <v>Beavercreek, OH 45431</v>
      </c>
    </row>
    <row r="103" spans="1:3" x14ac:dyDescent="0.25">
      <c r="A103" t="str">
        <f>Master!$E102 &amp; ""</f>
        <v>Corey Hume</v>
      </c>
      <c r="B103" t="str">
        <f>Master!$F102 &amp; ""</f>
        <v>2161 Hedge Gate Blvd</v>
      </c>
      <c r="C103" t="str">
        <f>Master!$J102 &amp; ""</f>
        <v>Beavercreek, OH 45431</v>
      </c>
    </row>
    <row r="104" spans="1:3" x14ac:dyDescent="0.25">
      <c r="A104" t="str">
        <f>Master!$E103 &amp; ""</f>
        <v>Skylar Hurley</v>
      </c>
      <c r="B104" t="str">
        <f>Master!$F103 &amp; ""</f>
        <v>110 Aspen Woods Sdrive</v>
      </c>
      <c r="C104" t="str">
        <f>Master!$J103 &amp; ""</f>
        <v>Springboro, OH 45066</v>
      </c>
    </row>
    <row r="105" spans="1:3" x14ac:dyDescent="0.25">
      <c r="A105" t="str">
        <f>Master!$E104 &amp; ""</f>
        <v>Jeffery Isbell</v>
      </c>
      <c r="B105" t="str">
        <f>Master!$F104 &amp; ""</f>
        <v/>
      </c>
      <c r="C105" t="str">
        <f>Master!$J104 &amp; ""</f>
        <v/>
      </c>
    </row>
    <row r="106" spans="1:3" x14ac:dyDescent="0.25">
      <c r="A106" t="str">
        <f>Master!$E105 &amp; ""</f>
        <v>Sophie Jackson</v>
      </c>
      <c r="B106" t="str">
        <f>Master!$F105 &amp; ""</f>
        <v>1303 Adams Way</v>
      </c>
      <c r="C106" t="str">
        <f>Master!$J105 &amp; ""</f>
        <v>Beavercreek, OH 45434</v>
      </c>
    </row>
    <row r="107" spans="1:3" x14ac:dyDescent="0.25">
      <c r="A107" t="str">
        <f>Master!$E106 &amp; ""</f>
        <v>Mohammed Jamal</v>
      </c>
      <c r="B107" t="str">
        <f>Master!$F106 &amp; ""</f>
        <v>130 Snowhill Ave</v>
      </c>
      <c r="C107" t="str">
        <f>Master!$J106 &amp; ""</f>
        <v>Kettering, OH 45429</v>
      </c>
    </row>
    <row r="108" spans="1:3" x14ac:dyDescent="0.25">
      <c r="A108" t="str">
        <f>Master!$E107 &amp; ""</f>
        <v>Annie Jansen</v>
      </c>
      <c r="B108" t="str">
        <f>Master!$F107 &amp; ""</f>
        <v>606 Loxwood Dr</v>
      </c>
      <c r="C108" t="str">
        <f>Master!$J107 &amp; ""</f>
        <v>Centerville, OH 45458</v>
      </c>
    </row>
    <row r="109" spans="1:3" x14ac:dyDescent="0.25">
      <c r="A109" t="str">
        <f>Master!$E108 &amp; ""</f>
        <v>Micah Jegede</v>
      </c>
      <c r="B109" t="str">
        <f>Master!$F108 &amp; ""</f>
        <v/>
      </c>
      <c r="C109" t="str">
        <f>Master!$J108 &amp; ""</f>
        <v/>
      </c>
    </row>
    <row r="110" spans="1:3" x14ac:dyDescent="0.25">
      <c r="A110" t="str">
        <f>Master!$E109 &amp; ""</f>
        <v xml:space="preserve">Ethan Jo </v>
      </c>
      <c r="B110" t="str">
        <f>Master!$F109 &amp; ""</f>
        <v/>
      </c>
      <c r="C110" t="str">
        <f>Master!$J109 &amp; ""</f>
        <v/>
      </c>
    </row>
    <row r="111" spans="1:3" x14ac:dyDescent="0.25">
      <c r="A111" t="str">
        <f>Master!$E110 &amp; ""</f>
        <v>Noah Jobson</v>
      </c>
      <c r="B111" t="str">
        <f>Master!$F110 &amp; ""</f>
        <v/>
      </c>
      <c r="C111" t="str">
        <f>Master!$J110 &amp; ""</f>
        <v/>
      </c>
    </row>
    <row r="112" spans="1:3" x14ac:dyDescent="0.25">
      <c r="A112" t="str">
        <f>Master!$E111 &amp; ""</f>
        <v>Everett Jones</v>
      </c>
      <c r="B112" t="str">
        <f>Master!$F111 &amp; ""</f>
        <v/>
      </c>
      <c r="C112" t="str">
        <f>Master!$J111 &amp; ""</f>
        <v/>
      </c>
    </row>
    <row r="113" spans="1:3" x14ac:dyDescent="0.25">
      <c r="A113" t="str">
        <f>Master!$E112 &amp; ""</f>
        <v xml:space="preserve">Korey Joseph </v>
      </c>
      <c r="B113" t="str">
        <f>Master!$F112 &amp; ""</f>
        <v>1116 Oxford State Rd</v>
      </c>
      <c r="C113" t="str">
        <f>Master!$J112 &amp; ""</f>
        <v>Middletown, OH 45044</v>
      </c>
    </row>
    <row r="114" spans="1:3" x14ac:dyDescent="0.25">
      <c r="A114" t="str">
        <f>Master!$E113 &amp; ""</f>
        <v>Akshay Kalani</v>
      </c>
      <c r="B114" t="str">
        <f>Master!$F113 &amp; ""</f>
        <v>2247 Princess Dr</v>
      </c>
      <c r="C114" t="str">
        <f>Master!$J113 &amp; ""</f>
        <v>Beavercreek, OH 45434</v>
      </c>
    </row>
    <row r="115" spans="1:3" x14ac:dyDescent="0.25">
      <c r="A115" t="str">
        <f>Master!$E114 &amp; ""</f>
        <v>Trent Kapfhammer</v>
      </c>
      <c r="B115" t="str">
        <f>Master!$F114 &amp; ""</f>
        <v/>
      </c>
      <c r="C115" t="str">
        <f>Master!$J114 &amp; ""</f>
        <v/>
      </c>
    </row>
    <row r="116" spans="1:3" x14ac:dyDescent="0.25">
      <c r="A116" t="str">
        <f>Master!$E115 &amp; ""</f>
        <v>Diane Georgia Kesner</v>
      </c>
      <c r="B116" t="str">
        <f>Master!$F115 &amp; ""</f>
        <v/>
      </c>
      <c r="C116" t="str">
        <f>Master!$J115 &amp; ""</f>
        <v/>
      </c>
    </row>
    <row r="117" spans="1:3" x14ac:dyDescent="0.25">
      <c r="A117" t="str">
        <f>Master!$E116 &amp; ""</f>
        <v>Katy Kindopp</v>
      </c>
      <c r="B117" t="str">
        <f>Master!$F116 &amp; ""</f>
        <v>6773 Penridge Dr</v>
      </c>
      <c r="C117" t="str">
        <f>Master!$J116 &amp; ""</f>
        <v>Centerville, OH 45459</v>
      </c>
    </row>
    <row r="118" spans="1:3" x14ac:dyDescent="0.25">
      <c r="A118" t="str">
        <f>Master!$E117 &amp; ""</f>
        <v>Mark Kindopp</v>
      </c>
      <c r="B118" t="str">
        <f>Master!$F117 &amp; ""</f>
        <v>6773 Penridge Dr</v>
      </c>
      <c r="C118" t="str">
        <f>Master!$J117 &amp; ""</f>
        <v>Centerville, OH 45459</v>
      </c>
    </row>
    <row r="119" spans="1:3" x14ac:dyDescent="0.25">
      <c r="A119" t="str">
        <f>Master!$E118 &amp; ""</f>
        <v>Keaton Kinney</v>
      </c>
      <c r="B119" t="str">
        <f>Master!$F118 &amp; ""</f>
        <v/>
      </c>
      <c r="C119" t="str">
        <f>Master!$J118 &amp; ""</f>
        <v/>
      </c>
    </row>
    <row r="120" spans="1:3" x14ac:dyDescent="0.25">
      <c r="A120" t="str">
        <f>Master!$E119 &amp; ""</f>
        <v>Parth Kulkarni</v>
      </c>
      <c r="B120" t="str">
        <f>Master!$F119 &amp; ""</f>
        <v>1574 Gatekeeper Way</v>
      </c>
      <c r="C120" t="str">
        <f>Master!$J119 &amp; ""</f>
        <v>Centerville, OH 45458</v>
      </c>
    </row>
    <row r="121" spans="1:3" x14ac:dyDescent="0.25">
      <c r="A121" t="str">
        <f>Master!$E120 &amp; ""</f>
        <v>Dylan Kunka</v>
      </c>
      <c r="B121" t="str">
        <f>Master!$F120 &amp; ""</f>
        <v>1617 Belvo Rd</v>
      </c>
      <c r="C121" t="str">
        <f>Master!$J120 &amp; ""</f>
        <v>Miamisburg, OH 45342</v>
      </c>
    </row>
    <row r="122" spans="1:3" x14ac:dyDescent="0.25">
      <c r="A122" t="str">
        <f>Master!$E121 &amp; ""</f>
        <v>Xander Kuschnerus</v>
      </c>
      <c r="B122" t="str">
        <f>Master!$F121 &amp; ""</f>
        <v>2359 Featherston Ct</v>
      </c>
      <c r="C122" t="str">
        <f>Master!$J121 &amp; ""</f>
        <v>Miamisburg, OH 45342</v>
      </c>
    </row>
    <row r="123" spans="1:3" x14ac:dyDescent="0.25">
      <c r="A123" t="str">
        <f>Master!$E122 &amp; ""</f>
        <v>Julia Kutter</v>
      </c>
      <c r="B123" t="str">
        <f>Master!$F122 &amp; ""</f>
        <v>2415 Countryside Dr</v>
      </c>
      <c r="C123" t="str">
        <f>Master!$J122 &amp; ""</f>
        <v>Fairborn, OH 45324</v>
      </c>
    </row>
    <row r="124" spans="1:3" x14ac:dyDescent="0.25">
      <c r="A124" t="str">
        <f>Master!$E123 &amp; ""</f>
        <v>Thomas Kutter</v>
      </c>
      <c r="B124" t="str">
        <f>Master!$F123 &amp; ""</f>
        <v>2415 Countryside Dr</v>
      </c>
      <c r="C124" t="str">
        <f>Master!$J123 &amp; ""</f>
        <v>Fairborn, OH 45324</v>
      </c>
    </row>
    <row r="125" spans="1:3" x14ac:dyDescent="0.25">
      <c r="A125" t="str">
        <f>Master!$E124 &amp; ""</f>
        <v>Elliot Ladd</v>
      </c>
      <c r="B125" t="str">
        <f>Master!$F124 &amp; ""</f>
        <v>290 Pinecone Dr</v>
      </c>
      <c r="C125" t="str">
        <f>Master!$J124 &amp; ""</f>
        <v>Springboro, OH 45066</v>
      </c>
    </row>
    <row r="126" spans="1:3" x14ac:dyDescent="0.25">
      <c r="A126" t="str">
        <f>Master!$E125 &amp; ""</f>
        <v>Cade LaFontsee</v>
      </c>
      <c r="B126" t="str">
        <f>Master!$F125 &amp; ""</f>
        <v/>
      </c>
      <c r="C126" t="str">
        <f>Master!$J125 &amp; ""</f>
        <v/>
      </c>
    </row>
    <row r="127" spans="1:3" x14ac:dyDescent="0.25">
      <c r="A127" t="str">
        <f>Master!$E127 &amp; ""</f>
        <v>Madison Landers</v>
      </c>
      <c r="B127" t="str">
        <f>Master!$F127 &amp; ""</f>
        <v>115 Gulfwood Ct</v>
      </c>
      <c r="C127" t="str">
        <f>Master!$J127 &amp; ""</f>
        <v>Dayton, OH 45458</v>
      </c>
    </row>
    <row r="128" spans="1:3" x14ac:dyDescent="0.25">
      <c r="A128" t="str">
        <f>Master!$E128 &amp; ""</f>
        <v>Mariah Lane</v>
      </c>
      <c r="B128" t="str">
        <f>Master!$F128 &amp; ""</f>
        <v/>
      </c>
      <c r="C128" t="str">
        <f>Master!$J128 &amp; ""</f>
        <v/>
      </c>
    </row>
    <row r="129" spans="1:3" x14ac:dyDescent="0.25">
      <c r="A129" t="str">
        <f>Master!$E129 &amp; ""</f>
        <v>Mason Lane</v>
      </c>
      <c r="B129" t="str">
        <f>Master!$F129 &amp; ""</f>
        <v/>
      </c>
      <c r="C129" t="str">
        <f>Master!$J129 &amp; ""</f>
        <v/>
      </c>
    </row>
    <row r="130" spans="1:3" x14ac:dyDescent="0.25">
      <c r="A130" t="str">
        <f>Master!$E130 &amp; ""</f>
        <v>Alishalyn Lang</v>
      </c>
      <c r="B130" t="str">
        <f>Master!$F130 &amp; ""</f>
        <v>1710 Green Hollow Ct</v>
      </c>
      <c r="C130" t="str">
        <f>Master!$J130 &amp; ""</f>
        <v>Washington Twp, OH 45488</v>
      </c>
    </row>
    <row r="131" spans="1:3" x14ac:dyDescent="0.25">
      <c r="A131" t="str">
        <f>Master!$E131 &amp; ""</f>
        <v>Grayson Leffew</v>
      </c>
      <c r="B131" t="str">
        <f>Master!$F131 &amp; ""</f>
        <v/>
      </c>
      <c r="C131" t="str">
        <f>Master!$J131 &amp; ""</f>
        <v/>
      </c>
    </row>
    <row r="132" spans="1:3" x14ac:dyDescent="0.25">
      <c r="A132" t="str">
        <f>Master!$E132 &amp; ""</f>
        <v>Isabella Leonard</v>
      </c>
      <c r="B132" t="str">
        <f>Master!$F132 &amp; ""</f>
        <v/>
      </c>
      <c r="C132" t="str">
        <f>Master!$J132 &amp; ""</f>
        <v/>
      </c>
    </row>
    <row r="133" spans="1:3" x14ac:dyDescent="0.25">
      <c r="A133" t="str">
        <f>Master!$E133 &amp; ""</f>
        <v>Lochlan Leonard</v>
      </c>
      <c r="B133" t="str">
        <f>Master!$F133 &amp; ""</f>
        <v>208 Hollyhock St.</v>
      </c>
      <c r="C133" t="str">
        <f>Master!$J133 &amp; ""</f>
        <v>Franklin, OH 45005</v>
      </c>
    </row>
    <row r="134" spans="1:3" x14ac:dyDescent="0.25">
      <c r="A134" t="str">
        <f>Master!$E134 &amp; ""</f>
        <v>Rhett List</v>
      </c>
      <c r="B134" t="str">
        <f>Master!$F134 &amp; ""</f>
        <v/>
      </c>
      <c r="C134" t="str">
        <f>Master!$J134 &amp; ""</f>
        <v/>
      </c>
    </row>
    <row r="135" spans="1:3" x14ac:dyDescent="0.25">
      <c r="A135" t="str">
        <f>Master!$E135 &amp; ""</f>
        <v>Kyra  Lovings</v>
      </c>
      <c r="B135" t="str">
        <f>Master!$F135 &amp; ""</f>
        <v>1553 Roamont Dr</v>
      </c>
      <c r="C135" t="str">
        <f>Master!$J135 &amp; ""</f>
        <v>Dayton, OH 45459</v>
      </c>
    </row>
    <row r="136" spans="1:3" x14ac:dyDescent="0.25">
      <c r="A136" t="str">
        <f>Master!$E136 &amp; ""</f>
        <v>Bodey Maher</v>
      </c>
      <c r="B136" t="str">
        <f>Master!$F136 &amp; ""</f>
        <v/>
      </c>
      <c r="C136" t="str">
        <f>Master!$J136 &amp; ""</f>
        <v/>
      </c>
    </row>
    <row r="137" spans="1:3" x14ac:dyDescent="0.25">
      <c r="A137" t="str">
        <f>Master!$E137 &amp; ""</f>
        <v>Artie Mahl</v>
      </c>
      <c r="B137" t="str">
        <f>Master!$F137 &amp; ""</f>
        <v>7305 Hartcrest Lane</v>
      </c>
      <c r="C137" t="str">
        <f>Master!$J137 &amp; ""</f>
        <v>Centerville, OH 45459</v>
      </c>
    </row>
    <row r="138" spans="1:3" x14ac:dyDescent="0.25">
      <c r="A138" t="str">
        <f>Master!$E138 &amp; ""</f>
        <v>Lucia Malott</v>
      </c>
      <c r="B138" t="str">
        <f>Master!$F138 &amp; ""</f>
        <v>5273 Oakbrook Dr</v>
      </c>
      <c r="C138" t="str">
        <f>Master!$J138 &amp; ""</f>
        <v>Kettering, OH 45440</v>
      </c>
    </row>
    <row r="139" spans="1:3" x14ac:dyDescent="0.25">
      <c r="A139" t="str">
        <f>Master!$E139 &amp; ""</f>
        <v>Drake Marks</v>
      </c>
      <c r="B139" t="str">
        <f>Master!$F139 &amp; ""</f>
        <v/>
      </c>
      <c r="C139" t="str">
        <f>Master!$J139 &amp; ""</f>
        <v/>
      </c>
    </row>
    <row r="140" spans="1:3" x14ac:dyDescent="0.25">
      <c r="A140" t="str">
        <f>Master!$E140 &amp; ""</f>
        <v>Kaely Marks</v>
      </c>
      <c r="B140" t="str">
        <f>Master!$F140 &amp; ""</f>
        <v/>
      </c>
      <c r="C140" t="str">
        <f>Master!$J140 &amp; ""</f>
        <v/>
      </c>
    </row>
    <row r="141" spans="1:3" x14ac:dyDescent="0.25">
      <c r="A141" t="str">
        <f>Master!$E141 &amp; ""</f>
        <v>Scarlett Marquette</v>
      </c>
      <c r="B141" t="str">
        <f>Master!$F141 &amp; ""</f>
        <v/>
      </c>
      <c r="C141" t="str">
        <f>Master!$J141 &amp; ""</f>
        <v/>
      </c>
    </row>
    <row r="142" spans="1:3" x14ac:dyDescent="0.25">
      <c r="A142" t="str">
        <f>Master!$E142 &amp; ""</f>
        <v>Aaron Marshall</v>
      </c>
      <c r="B142" t="str">
        <f>Master!$F142 &amp; ""</f>
        <v>1161 Yankee Woods Dr</v>
      </c>
      <c r="C142" t="str">
        <f>Master!$J142 &amp; ""</f>
        <v>Centerville, OH 45458</v>
      </c>
    </row>
    <row r="143" spans="1:3" x14ac:dyDescent="0.25">
      <c r="A143" t="str">
        <f>Master!$E143 &amp; ""</f>
        <v>Ian Mauersberg</v>
      </c>
      <c r="B143" t="str">
        <f>Master!$F143 &amp; ""</f>
        <v>1200 Oakwood Ave</v>
      </c>
      <c r="C143" t="str">
        <f>Master!$J143 &amp; ""</f>
        <v>Oakwood, OH 45419</v>
      </c>
    </row>
    <row r="144" spans="1:3" x14ac:dyDescent="0.25">
      <c r="A144" t="str">
        <f>Master!$E144 &amp; ""</f>
        <v>Carly McCall</v>
      </c>
      <c r="B144" t="str">
        <f>Master!$F144 &amp; ""</f>
        <v>4740 Eagleview Dr</v>
      </c>
      <c r="C144" t="str">
        <f>Master!$J144 &amp; ""</f>
        <v>Kettering, OH 45429</v>
      </c>
    </row>
    <row r="145" spans="1:3" x14ac:dyDescent="0.25">
      <c r="A145" t="str">
        <f>Master!$E145 &amp; ""</f>
        <v>Timothy McCleese</v>
      </c>
      <c r="B145" t="str">
        <f>Master!$F145 &amp; ""</f>
        <v>5050 Bigger Rd</v>
      </c>
      <c r="C145" t="str">
        <f>Master!$J145 &amp; ""</f>
        <v>Kettering, OH 45440</v>
      </c>
    </row>
    <row r="146" spans="1:3" x14ac:dyDescent="0.25">
      <c r="A146" t="str">
        <f>Master!$E146 &amp; ""</f>
        <v>Michael McDonald</v>
      </c>
      <c r="B146" t="str">
        <f>Master!$F146 &amp; ""</f>
        <v>1166 Landshire Dr</v>
      </c>
      <c r="C146" t="str">
        <f>Master!$J146 &amp; ""</f>
        <v>Xenia, OH 45385</v>
      </c>
    </row>
    <row r="147" spans="1:3" x14ac:dyDescent="0.25">
      <c r="A147" t="str">
        <f>Master!$E147 &amp; ""</f>
        <v>Kayley McGovern</v>
      </c>
      <c r="B147" t="str">
        <f>Master!$F147 &amp; ""</f>
        <v>1841 Swift Pl</v>
      </c>
      <c r="C147" t="str">
        <f>Master!$J147 &amp; ""</f>
        <v>Beavercreek, OH 45431</v>
      </c>
    </row>
    <row r="148" spans="1:3" x14ac:dyDescent="0.25">
      <c r="A148" t="str">
        <f>Master!$E148 &amp; ""</f>
        <v>Charlotte McKinnson</v>
      </c>
      <c r="B148" t="str">
        <f>Master!$F148 &amp; ""</f>
        <v/>
      </c>
      <c r="C148" t="str">
        <f>Master!$J148 &amp; ""</f>
        <v/>
      </c>
    </row>
    <row r="149" spans="1:3" x14ac:dyDescent="0.25">
      <c r="A149" t="str">
        <f>Master!$E149 &amp; ""</f>
        <v>Roman Meyers</v>
      </c>
      <c r="B149" t="str">
        <f>Master!$F149 &amp; ""</f>
        <v>139 S. Hedges Street</v>
      </c>
      <c r="C149" t="str">
        <f>Master!$J149 &amp; ""</f>
        <v>Dayton, OH 45403</v>
      </c>
    </row>
    <row r="150" spans="1:3" x14ac:dyDescent="0.25">
      <c r="A150" t="str">
        <f>Master!$E150 &amp; ""</f>
        <v>Benji Mezera</v>
      </c>
      <c r="B150" t="str">
        <f>Master!$F150 &amp; ""</f>
        <v/>
      </c>
      <c r="C150" t="str">
        <f>Master!$J150 &amp; ""</f>
        <v/>
      </c>
    </row>
    <row r="151" spans="1:3" x14ac:dyDescent="0.25">
      <c r="A151" t="str">
        <f>Master!$E151 &amp; ""</f>
        <v>Hudsen Millen</v>
      </c>
      <c r="B151" t="str">
        <f>Master!$F151 &amp; ""</f>
        <v/>
      </c>
      <c r="C151" t="str">
        <f>Master!$J151 &amp; ""</f>
        <v/>
      </c>
    </row>
    <row r="152" spans="1:3" x14ac:dyDescent="0.25">
      <c r="A152" t="str">
        <f>Master!$E152 &amp; ""</f>
        <v>Jayla Miller</v>
      </c>
      <c r="B152" t="str">
        <f>Master!$F152 &amp; ""</f>
        <v/>
      </c>
      <c r="C152" t="str">
        <f>Master!$J152 &amp; ""</f>
        <v/>
      </c>
    </row>
    <row r="153" spans="1:3" x14ac:dyDescent="0.25">
      <c r="A153" t="str">
        <f>Master!$E153 &amp; ""</f>
        <v>Alan Millhouse</v>
      </c>
      <c r="B153" t="str">
        <f>Master!$F153 &amp; ""</f>
        <v>921 Ashcreek Dr</v>
      </c>
      <c r="C153" t="str">
        <f>Master!$J153 &amp; ""</f>
        <v>Centerville, OH 45458</v>
      </c>
    </row>
    <row r="154" spans="1:3" x14ac:dyDescent="0.25">
      <c r="A154" t="str">
        <f>Master!$E154 &amp; ""</f>
        <v>Marley Minch</v>
      </c>
      <c r="B154" t="str">
        <f>Master!$F154 &amp; ""</f>
        <v>508 Judith Dr</v>
      </c>
      <c r="C154" t="str">
        <f>Master!$J154 &amp; ""</f>
        <v>Kettering, OH 45429</v>
      </c>
    </row>
    <row r="155" spans="1:3" x14ac:dyDescent="0.25">
      <c r="A155" t="str">
        <f>Master!$E155 &amp; ""</f>
        <v>Dalton Mitchell</v>
      </c>
      <c r="B155" t="str">
        <f>Master!$F155 &amp; ""</f>
        <v/>
      </c>
      <c r="C155" t="str">
        <f>Master!$J155 &amp; ""</f>
        <v/>
      </c>
    </row>
    <row r="156" spans="1:3" x14ac:dyDescent="0.25">
      <c r="A156" t="str">
        <f>Master!$E156 &amp; ""</f>
        <v>Henry Mochocki</v>
      </c>
      <c r="B156" t="str">
        <f>Master!$F156 &amp; ""</f>
        <v>9767 Blue Spruce Drive</v>
      </c>
      <c r="C156" t="str">
        <f>Master!$J156 &amp; ""</f>
        <v>Springboro, OH 45066</v>
      </c>
    </row>
    <row r="157" spans="1:3" x14ac:dyDescent="0.25">
      <c r="A157" t="str">
        <f>Master!$E157 &amp; ""</f>
        <v>Penelope Mogollon-Faris</v>
      </c>
      <c r="B157" t="str">
        <f>Master!$F157 &amp; ""</f>
        <v>807 St. Nicholas Ave</v>
      </c>
      <c r="C157" t="str">
        <f>Master!$J157 &amp; ""</f>
        <v>Dayton, OH 45410</v>
      </c>
    </row>
    <row r="158" spans="1:3" x14ac:dyDescent="0.25">
      <c r="A158" t="str">
        <f>Master!$E158 &amp; ""</f>
        <v>Owen Moore</v>
      </c>
      <c r="B158" t="str">
        <f>Master!$F158 &amp; ""</f>
        <v>600 Grand Wood Court</v>
      </c>
      <c r="C158" t="str">
        <f>Master!$J158 &amp; ""</f>
        <v>Springboro, OH 45066</v>
      </c>
    </row>
    <row r="159" spans="1:3" x14ac:dyDescent="0.25">
      <c r="A159" t="str">
        <f>Master!$E159 &amp; ""</f>
        <v>Serenity Morton</v>
      </c>
      <c r="B159" t="str">
        <f>Master!$F159 &amp; ""</f>
        <v>2160 Pompano Circle</v>
      </c>
      <c r="C159" t="str">
        <f>Master!$J159 &amp; ""</f>
        <v>Dayton, OH 45404</v>
      </c>
    </row>
    <row r="160" spans="1:3" x14ac:dyDescent="0.25">
      <c r="A160" t="str">
        <f>Master!$E160 &amp; ""</f>
        <v>Jay LaNell Myer</v>
      </c>
      <c r="B160" t="str">
        <f>Master!$F160 &amp; ""</f>
        <v/>
      </c>
      <c r="C160" t="str">
        <f>Master!$J160 &amp; ""</f>
        <v/>
      </c>
    </row>
    <row r="161" spans="1:3" x14ac:dyDescent="0.25">
      <c r="A161" t="str">
        <f>Master!$E161 &amp; ""</f>
        <v>Joe Nartker</v>
      </c>
      <c r="B161" t="str">
        <f>Master!$F161 &amp; ""</f>
        <v>1180 Club Cir</v>
      </c>
      <c r="C161" t="str">
        <f>Master!$J161 &amp; ""</f>
        <v>Centerville, OH 45459</v>
      </c>
    </row>
    <row r="162" spans="1:3" x14ac:dyDescent="0.25">
      <c r="A162" t="str">
        <f>Master!$E162 &amp; ""</f>
        <v>Sofia Neff</v>
      </c>
      <c r="B162" t="str">
        <f>Master!$F162 &amp; ""</f>
        <v>8831 Windbluff Point</v>
      </c>
      <c r="C162" t="str">
        <f>Master!$J162 &amp; ""</f>
        <v>Dayton, OH 45408</v>
      </c>
    </row>
    <row r="163" spans="1:3" x14ac:dyDescent="0.25">
      <c r="A163" t="str">
        <f>Master!$E163 &amp; ""</f>
        <v>Joey Neiman</v>
      </c>
      <c r="B163" t="str">
        <f>Master!$F163 &amp; ""</f>
        <v>2909 Vale Dr</v>
      </c>
      <c r="C163" t="str">
        <f>Master!$J163 &amp; ""</f>
        <v>Kettering, OH 45420</v>
      </c>
    </row>
    <row r="164" spans="1:3" x14ac:dyDescent="0.25">
      <c r="A164" t="str">
        <f>Master!$E164 &amp; ""</f>
        <v>Gemma Nessler</v>
      </c>
      <c r="B164" t="str">
        <f>Master!$F164 &amp; ""</f>
        <v>2968 Station House Way</v>
      </c>
      <c r="C164" t="str">
        <f>Master!$J164 &amp; ""</f>
        <v>Waynesville, OH 45068</v>
      </c>
    </row>
    <row r="165" spans="1:3" x14ac:dyDescent="0.25">
      <c r="A165" t="str">
        <f>Master!$E165 &amp; ""</f>
        <v>Shanae Nicholes</v>
      </c>
      <c r="B165" t="str">
        <f>Master!$F165 &amp; ""</f>
        <v>2011 La Grange Rd</v>
      </c>
      <c r="C165" t="str">
        <f>Master!$J165 &amp; ""</f>
        <v>Dayton, OH 45431</v>
      </c>
    </row>
    <row r="166" spans="1:3" x14ac:dyDescent="0.25">
      <c r="A166" t="str">
        <f>Master!$E166 &amp; ""</f>
        <v>Patrick O'Brien</v>
      </c>
      <c r="B166" t="str">
        <f>Master!$F166 &amp; ""</f>
        <v>192 Laurel Oak Ct</v>
      </c>
      <c r="C166" t="str">
        <f>Master!$J166 &amp; ""</f>
        <v>Centerville, OH 45459</v>
      </c>
    </row>
    <row r="167" spans="1:3" x14ac:dyDescent="0.25">
      <c r="A167" t="str">
        <f>Master!$E167 &amp; ""</f>
        <v>Raphael Ojezua</v>
      </c>
      <c r="B167" t="str">
        <f>Master!$F167 &amp; ""</f>
        <v/>
      </c>
      <c r="C167" t="str">
        <f>Master!$J167 &amp; ""</f>
        <v/>
      </c>
    </row>
    <row r="168" spans="1:3" x14ac:dyDescent="0.25">
      <c r="A168" t="str">
        <f>Master!$E168 &amp; ""</f>
        <v>Everett O'Meara</v>
      </c>
      <c r="B168" t="str">
        <f>Master!$F168 &amp; ""</f>
        <v>2132 Marcia Drive</v>
      </c>
      <c r="C168" t="str">
        <f>Master!$J168 &amp; ""</f>
        <v>Bellbrook, OH 45305</v>
      </c>
    </row>
    <row r="169" spans="1:3" x14ac:dyDescent="0.25">
      <c r="A169" t="str">
        <f>Master!$E169 &amp; ""</f>
        <v>Lindsay O'Neill</v>
      </c>
      <c r="B169" t="str">
        <f>Master!$F169 &amp; ""</f>
        <v>31 Libby Ct</v>
      </c>
      <c r="C169" t="str">
        <f>Master!$J169 &amp; ""</f>
        <v>Franklin, OH 45005</v>
      </c>
    </row>
    <row r="170" spans="1:3" x14ac:dyDescent="0.25">
      <c r="A170" t="str">
        <f>Master!$E170 &amp; ""</f>
        <v>Mallory O'Neill</v>
      </c>
      <c r="B170" t="str">
        <f>Master!$F170 &amp; ""</f>
        <v>10223 Morgan Grey Ct.</v>
      </c>
      <c r="C170" t="str">
        <f>Master!$J170 &amp; ""</f>
        <v>Washington Twp, OH 45458</v>
      </c>
    </row>
    <row r="171" spans="1:3" x14ac:dyDescent="0.25">
      <c r="A171" t="str">
        <f>Master!$E171 &amp; ""</f>
        <v>Sean O'Reilly</v>
      </c>
      <c r="B171" t="str">
        <f>Master!$F171 &amp; ""</f>
        <v>1687 Old Haley Dr</v>
      </c>
      <c r="C171" t="str">
        <f>Master!$J171 &amp; ""</f>
        <v>Centerville, OH 45458</v>
      </c>
    </row>
    <row r="172" spans="1:3" x14ac:dyDescent="0.25">
      <c r="A172" t="str">
        <f>Master!$E172 &amp; ""</f>
        <v>Benny Pate</v>
      </c>
      <c r="B172" t="str">
        <f>Master!$F172 &amp; ""</f>
        <v/>
      </c>
      <c r="C172" t="str">
        <f>Master!$J172 &amp; ""</f>
        <v/>
      </c>
    </row>
    <row r="173" spans="1:3" x14ac:dyDescent="0.25">
      <c r="A173" t="str">
        <f>Master!$E173 &amp; ""</f>
        <v>Giuliana Patterson</v>
      </c>
      <c r="B173" t="str">
        <f>Master!$F173 &amp; ""</f>
        <v>129 Freesia Dr</v>
      </c>
      <c r="C173" t="str">
        <f>Master!$J173 &amp; ""</f>
        <v>Dayton, OH 45431</v>
      </c>
    </row>
    <row r="174" spans="1:3" x14ac:dyDescent="0.25">
      <c r="A174" t="str">
        <f>Master!$E174 &amp; ""</f>
        <v>Jaiven Pattson</v>
      </c>
      <c r="B174" t="str">
        <f>Master!$F174 &amp; ""</f>
        <v/>
      </c>
      <c r="C174" t="str">
        <f>Master!$J174 &amp; ""</f>
        <v/>
      </c>
    </row>
    <row r="175" spans="1:3" x14ac:dyDescent="0.25">
      <c r="A175" t="str">
        <f>Master!$E175 &amp; ""</f>
        <v>Christian Peffley</v>
      </c>
      <c r="B175" t="str">
        <f>Master!$F175 &amp; ""</f>
        <v>2221 Shroyer Road</v>
      </c>
      <c r="C175" t="str">
        <f>Master!$J175 &amp; ""</f>
        <v>Dayton, OH 45419</v>
      </c>
    </row>
    <row r="176" spans="1:3" x14ac:dyDescent="0.25">
      <c r="A176" t="str">
        <f>Master!$E176 &amp; ""</f>
        <v>Kylie Peters</v>
      </c>
      <c r="B176" t="str">
        <f>Master!$F176 &amp; ""</f>
        <v>8847 Washington Colony Dr</v>
      </c>
      <c r="C176" t="str">
        <f>Master!$J176 &amp; ""</f>
        <v>Centerville, OH 45458</v>
      </c>
    </row>
    <row r="177" spans="1:3" x14ac:dyDescent="0.25">
      <c r="A177" t="str">
        <f>Master!$E177 &amp; ""</f>
        <v>Callie Phillips</v>
      </c>
      <c r="B177" t="str">
        <f>Master!$F177 &amp; ""</f>
        <v>375 W Pugh Dr</v>
      </c>
      <c r="C177" t="str">
        <f>Master!$J177 &amp; ""</f>
        <v>Springboro, OH 45066</v>
      </c>
    </row>
    <row r="178" spans="1:3" x14ac:dyDescent="0.25">
      <c r="A178" t="str">
        <f>Master!$E178 &amp; ""</f>
        <v>Lukas Pickett</v>
      </c>
      <c r="B178" t="str">
        <f>Master!$F178 &amp; ""</f>
        <v>108 N. 9th Street</v>
      </c>
      <c r="C178" t="str">
        <f>Master!$J178 &amp; ""</f>
        <v>Miamisburg, OH 45342</v>
      </c>
    </row>
    <row r="179" spans="1:3" x14ac:dyDescent="0.25">
      <c r="A179" t="str">
        <f>Master!$E179 &amp; ""</f>
        <v>Priya Pinkerton</v>
      </c>
      <c r="B179" t="str">
        <f>Master!$F179 &amp; ""</f>
        <v>2886 Dayton Xenia Road</v>
      </c>
      <c r="C179" t="str">
        <f>Master!$J179 &amp; ""</f>
        <v>Beavercreek, OH 45434</v>
      </c>
    </row>
    <row r="180" spans="1:3" x14ac:dyDescent="0.25">
      <c r="A180" t="str">
        <f>Master!$E180 &amp; ""</f>
        <v>Priya Pinkerton</v>
      </c>
      <c r="B180" t="str">
        <f>Master!$F180 &amp; ""</f>
        <v/>
      </c>
      <c r="C180" t="str">
        <f>Master!$J180 &amp; ""</f>
        <v/>
      </c>
    </row>
    <row r="181" spans="1:3" x14ac:dyDescent="0.25">
      <c r="A181" t="str">
        <f>Master!$E181 &amp; ""</f>
        <v>Fallon Poellnitz</v>
      </c>
      <c r="B181" t="str">
        <f>Master!$F181 &amp; ""</f>
        <v/>
      </c>
      <c r="C181" t="str">
        <f>Master!$J181 &amp; ""</f>
        <v/>
      </c>
    </row>
    <row r="182" spans="1:3" x14ac:dyDescent="0.25">
      <c r="A182" t="str">
        <f>Master!$E182 &amp; ""</f>
        <v>Brayden Poulsen</v>
      </c>
      <c r="B182" t="str">
        <f>Master!$F182 &amp; ""</f>
        <v>918 Gawain Circle</v>
      </c>
      <c r="C182" t="str">
        <f>Master!$J182 &amp; ""</f>
        <v>West Carrollton, OH 45449</v>
      </c>
    </row>
    <row r="183" spans="1:3" x14ac:dyDescent="0.25">
      <c r="A183" t="str">
        <f>Master!$E183 &amp; ""</f>
        <v>Evangeline Poulsen</v>
      </c>
      <c r="B183" t="str">
        <f>Master!$F183 &amp; ""</f>
        <v>918 Gawain Circle</v>
      </c>
      <c r="C183" t="str">
        <f>Master!$J183 &amp; ""</f>
        <v>West Carrollton, OH 45449</v>
      </c>
    </row>
    <row r="184" spans="1:3" x14ac:dyDescent="0.25">
      <c r="A184" t="str">
        <f>Master!$E184 &amp; ""</f>
        <v>Patrick Powell</v>
      </c>
      <c r="B184" t="str">
        <f>Master!$F184 &amp; ""</f>
        <v/>
      </c>
      <c r="C184" t="str">
        <f>Master!$J184 &amp; ""</f>
        <v/>
      </c>
    </row>
    <row r="185" spans="1:3" x14ac:dyDescent="0.25">
      <c r="A185" t="str">
        <f>Master!$E186 &amp; ""</f>
        <v>Levi Pullins</v>
      </c>
      <c r="B185" t="str">
        <f>Master!$F186 &amp; ""</f>
        <v/>
      </c>
      <c r="C185" t="str">
        <f>Master!$J186 &amp; ""</f>
        <v/>
      </c>
    </row>
    <row r="186" spans="1:3" x14ac:dyDescent="0.25">
      <c r="A186" t="str">
        <f>Master!$E187 &amp; ""</f>
        <v>Isa Rasheed</v>
      </c>
      <c r="B186" t="str">
        <f>Master!$F187 &amp; ""</f>
        <v/>
      </c>
      <c r="C186" t="str">
        <f>Master!$J187 &amp; ""</f>
        <v/>
      </c>
    </row>
    <row r="187" spans="1:3" x14ac:dyDescent="0.25">
      <c r="A187" t="str">
        <f>Master!$E188 &amp; ""</f>
        <v>Mason Reed</v>
      </c>
      <c r="B187" t="str">
        <f>Master!$F188 &amp; ""</f>
        <v/>
      </c>
      <c r="C187" t="str">
        <f>Master!$J188 &amp; ""</f>
        <v/>
      </c>
    </row>
    <row r="188" spans="1:3" x14ac:dyDescent="0.25">
      <c r="A188" t="str">
        <f>Master!$E189 &amp; ""</f>
        <v>Grabriel Renk</v>
      </c>
      <c r="B188" t="str">
        <f>Master!$F189 &amp; ""</f>
        <v/>
      </c>
      <c r="C188" t="str">
        <f>Master!$J189 &amp; ""</f>
        <v/>
      </c>
    </row>
    <row r="189" spans="1:3" x14ac:dyDescent="0.25">
      <c r="A189" t="str">
        <f>Master!$E190 &amp; ""</f>
        <v>Nathan Richardson</v>
      </c>
      <c r="B189" t="str">
        <f>Master!$F190 &amp; ""</f>
        <v/>
      </c>
      <c r="C189" t="str">
        <f>Master!$J190 &amp; ""</f>
        <v/>
      </c>
    </row>
    <row r="190" spans="1:3" x14ac:dyDescent="0.25">
      <c r="A190" t="str">
        <f>Master!$E191 &amp; ""</f>
        <v>Keira Richison</v>
      </c>
      <c r="B190" t="str">
        <f>Master!$F191 &amp; ""</f>
        <v>4631 ozark ave</v>
      </c>
      <c r="C190" t="str">
        <f>Master!$J191 &amp; ""</f>
        <v>Dayton, OH 45432</v>
      </c>
    </row>
    <row r="191" spans="1:3" x14ac:dyDescent="0.25">
      <c r="A191" t="str">
        <f>Master!$E192 &amp; ""</f>
        <v>Daniel Richmond</v>
      </c>
      <c r="B191" t="str">
        <f>Master!$F192 &amp; ""</f>
        <v>3360 Suburban Dr</v>
      </c>
      <c r="C191" t="str">
        <f>Master!$J192 &amp; ""</f>
        <v>Beavercreek, OH 45432</v>
      </c>
    </row>
    <row r="192" spans="1:3" x14ac:dyDescent="0.25">
      <c r="A192" t="str">
        <f>Master!$E193 &amp; ""</f>
        <v>Kingston Ringold</v>
      </c>
      <c r="B192" t="str">
        <f>Master!$F193 &amp; ""</f>
        <v>2745 Brookshire Lane</v>
      </c>
      <c r="C192" t="str">
        <f>Master!$J193 &amp; ""</f>
        <v>Miamisburg, OH 45342</v>
      </c>
    </row>
    <row r="193" spans="1:3" x14ac:dyDescent="0.25">
      <c r="A193" t="str">
        <f>Master!$E194 &amp; ""</f>
        <v>Isaac Robertson</v>
      </c>
      <c r="B193" t="str">
        <f>Master!$F194 &amp; ""</f>
        <v/>
      </c>
      <c r="C193" t="str">
        <f>Master!$J194 &amp; ""</f>
        <v/>
      </c>
    </row>
    <row r="194" spans="1:3" x14ac:dyDescent="0.25">
      <c r="A194" t="str">
        <f>Master!$E195 &amp; ""</f>
        <v>Kemper Robinson</v>
      </c>
      <c r="B194" t="str">
        <f>Master!$F195 &amp; ""</f>
        <v/>
      </c>
      <c r="C194" t="str">
        <f>Master!$J195 &amp; ""</f>
        <v/>
      </c>
    </row>
    <row r="195" spans="1:3" x14ac:dyDescent="0.25">
      <c r="A195" t="str">
        <f>Master!$E196 &amp; ""</f>
        <v>Tessa Roll</v>
      </c>
      <c r="B195" t="str">
        <f>Master!$F196 &amp; ""</f>
        <v>201 Vohusia Ave</v>
      </c>
      <c r="C195" t="str">
        <f>Master!$J196 &amp; ""</f>
        <v>Dayton, OH 45409</v>
      </c>
    </row>
    <row r="196" spans="1:3" x14ac:dyDescent="0.25">
      <c r="A196" t="str">
        <f>Master!$E197 &amp; ""</f>
        <v>Noah Rose</v>
      </c>
      <c r="B196" t="str">
        <f>Master!$F197 &amp; ""</f>
        <v/>
      </c>
      <c r="C196" t="str">
        <f>Master!$J197 &amp; ""</f>
        <v/>
      </c>
    </row>
    <row r="197" spans="1:3" x14ac:dyDescent="0.25">
      <c r="A197" t="str">
        <f>Master!$E198 &amp; ""</f>
        <v>Melissa Roselius</v>
      </c>
      <c r="B197" t="str">
        <f>Master!$F198 &amp; ""</f>
        <v>1454 Roamont Drive</v>
      </c>
      <c r="C197" t="str">
        <f>Master!$J198 &amp; ""</f>
        <v>Dayton, OH 45459</v>
      </c>
    </row>
    <row r="198" spans="1:3" x14ac:dyDescent="0.25">
      <c r="A198" t="str">
        <f>Master!$E199 &amp; ""</f>
        <v>John Rush</v>
      </c>
      <c r="B198" t="str">
        <f>Master!$F199 &amp; ""</f>
        <v>2011 La Grange Rd</v>
      </c>
      <c r="C198" t="str">
        <f>Master!$J199 &amp; ""</f>
        <v>Dayton, OH 45431</v>
      </c>
    </row>
    <row r="199" spans="1:3" x14ac:dyDescent="0.25">
      <c r="A199" t="str">
        <f>Master!$E200 &amp; ""</f>
        <v>Kacie Ryan</v>
      </c>
      <c r="B199" t="str">
        <f>Master!$F200 &amp; ""</f>
        <v>919 Greengate Dr</v>
      </c>
      <c r="C199" t="str">
        <f>Master!$J200 &amp; ""</f>
        <v>Lebanon, OH 45036</v>
      </c>
    </row>
    <row r="200" spans="1:3" x14ac:dyDescent="0.25">
      <c r="A200" t="str">
        <f>Master!$E201 &amp; ""</f>
        <v>Aaryan Sagvekar</v>
      </c>
      <c r="B200" t="str">
        <f>Master!$F201 &amp; ""</f>
        <v/>
      </c>
      <c r="C200" t="str">
        <f>Master!$J201 &amp; ""</f>
        <v/>
      </c>
    </row>
    <row r="201" spans="1:3" x14ac:dyDescent="0.25">
      <c r="A201" t="str">
        <f>Master!$E202 &amp; ""</f>
        <v>Vedansh Sahay</v>
      </c>
      <c r="B201" t="str">
        <f>Master!$F202 &amp; ""</f>
        <v/>
      </c>
      <c r="C201" t="str">
        <f>Master!$J202 &amp; ""</f>
        <v/>
      </c>
    </row>
    <row r="202" spans="1:3" x14ac:dyDescent="0.25">
      <c r="A202" t="str">
        <f>Master!$E203 &amp; ""</f>
        <v>Evan Santiago</v>
      </c>
      <c r="B202" t="str">
        <f>Master!$F203 &amp; ""</f>
        <v/>
      </c>
      <c r="C202" t="str">
        <f>Master!$J203 &amp; ""</f>
        <v/>
      </c>
    </row>
    <row r="203" spans="1:3" x14ac:dyDescent="0.25">
      <c r="A203" t="str">
        <f>Master!$E205 &amp; ""</f>
        <v>David Sauer</v>
      </c>
      <c r="B203" t="str">
        <f>Master!$F205 &amp; ""</f>
        <v>820 Lovetta Dr</v>
      </c>
      <c r="C203" t="str">
        <f>Master!$J205 &amp; ""</f>
        <v>Kettering, OH 45429</v>
      </c>
    </row>
    <row r="204" spans="1:3" x14ac:dyDescent="0.25">
      <c r="A204" t="str">
        <f>Master!$E206 &amp; ""</f>
        <v>Jessica Savage</v>
      </c>
      <c r="B204" t="str">
        <f>Master!$F206 &amp; ""</f>
        <v/>
      </c>
      <c r="C204" t="str">
        <f>Master!$J206 &amp; ""</f>
        <v/>
      </c>
    </row>
    <row r="205" spans="1:3" x14ac:dyDescent="0.25">
      <c r="A205" t="str">
        <f>Master!$E207 &amp; ""</f>
        <v>Crislyn Sayger</v>
      </c>
      <c r="B205" t="str">
        <f>Master!$F207 &amp; ""</f>
        <v>1695 N Belleview Dr</v>
      </c>
      <c r="C205" t="str">
        <f>Master!$J207 &amp; ""</f>
        <v>Bellbrook, OH 45305</v>
      </c>
    </row>
    <row r="206" spans="1:3" x14ac:dyDescent="0.25">
      <c r="A206" t="str">
        <f>Master!$E208 &amp; ""</f>
        <v>Hoyt Schaaf</v>
      </c>
      <c r="B206" t="str">
        <f>Master!$F208 &amp; ""</f>
        <v/>
      </c>
      <c r="C206" t="str">
        <f>Master!$J208 &amp; ""</f>
        <v/>
      </c>
    </row>
    <row r="207" spans="1:3" x14ac:dyDescent="0.25">
      <c r="A207" t="str">
        <f>Master!$E209 &amp; ""</f>
        <v>Calvin Schneider</v>
      </c>
      <c r="B207" t="str">
        <f>Master!$F209 &amp; ""</f>
        <v>6524 Staverton Dr</v>
      </c>
      <c r="C207" t="str">
        <f>Master!$J209 &amp; ""</f>
        <v>Centerville, OH 45459</v>
      </c>
    </row>
    <row r="208" spans="1:3" x14ac:dyDescent="0.25">
      <c r="A208" t="str">
        <f>Master!$E210 &amp; ""</f>
        <v>Nate Schreck</v>
      </c>
      <c r="B208" t="str">
        <f>Master!$F210 &amp; ""</f>
        <v/>
      </c>
      <c r="C208" t="str">
        <f>Master!$J210 &amp; ""</f>
        <v/>
      </c>
    </row>
    <row r="209" spans="1:3" x14ac:dyDescent="0.25">
      <c r="A209" t="str">
        <f>Master!$E211 &amp; ""</f>
        <v>Michael Schutt</v>
      </c>
      <c r="B209" t="str">
        <f>Master!$F211 &amp; ""</f>
        <v>9759 Crooked Creek Dr</v>
      </c>
      <c r="C209" t="str">
        <f>Master!$J211 &amp; ""</f>
        <v>Centerville, OH 45458</v>
      </c>
    </row>
    <row r="210" spans="1:3" x14ac:dyDescent="0.25">
      <c r="A210" t="str">
        <f>Master!$E212 &amp; ""</f>
        <v>Elijah Seguin</v>
      </c>
      <c r="B210" t="str">
        <f>Master!$F212 &amp; ""</f>
        <v>86 N West St</v>
      </c>
      <c r="C210" t="str">
        <f>Master!$J212 &amp; ""</f>
        <v>Bellbrook, OH 45305</v>
      </c>
    </row>
    <row r="211" spans="1:3" x14ac:dyDescent="0.25">
      <c r="A211" t="str">
        <f>Master!$E213 &amp; ""</f>
        <v>Yusuf Shah</v>
      </c>
      <c r="B211" t="str">
        <f>Master!$F213 &amp; ""</f>
        <v>930 Aaron Nut Dr</v>
      </c>
      <c r="C211" t="str">
        <f>Master!$J213 &amp; ""</f>
        <v>Centerville, OH 45458</v>
      </c>
    </row>
    <row r="212" spans="1:3" x14ac:dyDescent="0.25">
      <c r="A212" t="str">
        <f>Master!$E214 &amp; ""</f>
        <v>Jin Sherman</v>
      </c>
      <c r="B212" t="str">
        <f>Master!$F214 &amp; ""</f>
        <v>1910 Lord Fittwalter Dr</v>
      </c>
      <c r="C212" t="str">
        <f>Master!$J214 &amp; ""</f>
        <v>Miamisburg, OH 45342</v>
      </c>
    </row>
    <row r="213" spans="1:3" x14ac:dyDescent="0.25">
      <c r="A213" t="str">
        <f>Master!$E215 &amp; ""</f>
        <v>Ryan  Shockley</v>
      </c>
      <c r="B213" t="str">
        <f>Master!$F215 &amp; ""</f>
        <v>1320 Glen Jean Ct</v>
      </c>
      <c r="C213" t="str">
        <f>Master!$J215 &amp; ""</f>
        <v>Dayton, OH 45459</v>
      </c>
    </row>
    <row r="214" spans="1:3" x14ac:dyDescent="0.25">
      <c r="A214" t="str">
        <f>Master!$E216 &amp; ""</f>
        <v>Anna Shonle</v>
      </c>
      <c r="B214" t="str">
        <f>Master!$F216 &amp; ""</f>
        <v/>
      </c>
      <c r="C214" t="str">
        <f>Master!$J216 &amp; ""</f>
        <v/>
      </c>
    </row>
    <row r="215" spans="1:3" x14ac:dyDescent="0.25">
      <c r="A215" t="str">
        <f>Master!$E217 &amp; ""</f>
        <v>Jonathan Sibole</v>
      </c>
      <c r="B215" t="str">
        <f>Master!$F217 &amp; ""</f>
        <v/>
      </c>
      <c r="C215" t="str">
        <f>Master!$J217 &amp; ""</f>
        <v/>
      </c>
    </row>
    <row r="216" spans="1:3" x14ac:dyDescent="0.25">
      <c r="A216" t="str">
        <f>Master!$E218 &amp; ""</f>
        <v>Erik Sink</v>
      </c>
      <c r="B216" t="str">
        <f>Master!$F218 &amp; ""</f>
        <v>3218 Sunny Crest Ln</v>
      </c>
      <c r="C216" t="str">
        <f>Master!$J218 &amp; ""</f>
        <v>Kettering, OH 45419</v>
      </c>
    </row>
    <row r="217" spans="1:3" x14ac:dyDescent="0.25">
      <c r="A217" t="str">
        <f>Master!$E219 &amp; ""</f>
        <v>Marley Slone</v>
      </c>
      <c r="B217" t="str">
        <f>Master!$F219 &amp; ""</f>
        <v>450 Clareridge Ln</v>
      </c>
      <c r="C217" t="str">
        <f>Master!$J219 &amp; ""</f>
        <v>Centerville, OH 45458</v>
      </c>
    </row>
    <row r="218" spans="1:3" x14ac:dyDescent="0.25">
      <c r="A218" t="str">
        <f>Master!$E220 &amp; ""</f>
        <v>Brianne Slusher</v>
      </c>
      <c r="B218" t="str">
        <f>Master!$F220 &amp; ""</f>
        <v/>
      </c>
      <c r="C218" t="str">
        <f>Master!$J220 &amp; ""</f>
        <v/>
      </c>
    </row>
    <row r="219" spans="1:3" x14ac:dyDescent="0.25">
      <c r="A219" t="str">
        <f>Master!$E221 &amp; ""</f>
        <v>Ava Smith</v>
      </c>
      <c r="B219" t="str">
        <f>Master!$F221 &amp; ""</f>
        <v>4404 Grayson Street</v>
      </c>
      <c r="C219" t="str">
        <f>Master!$J221 &amp; ""</f>
        <v>Dayton, OH 45429</v>
      </c>
    </row>
    <row r="220" spans="1:3" x14ac:dyDescent="0.25">
      <c r="A220" t="str">
        <f>Master!$E222 &amp; ""</f>
        <v>Aylissa Smith</v>
      </c>
      <c r="B220" t="str">
        <f>Master!$F222 &amp; ""</f>
        <v>1231 Simonton Ave.</v>
      </c>
      <c r="C220" t="str">
        <f>Master!$J222 &amp; ""</f>
        <v>Miamisburg, OH 45342</v>
      </c>
    </row>
    <row r="221" spans="1:3" x14ac:dyDescent="0.25">
      <c r="A221" t="str">
        <f>Master!$E223 &amp; ""</f>
        <v>John Smith</v>
      </c>
      <c r="B221" t="str">
        <f>Master!$F223 &amp; ""</f>
        <v>10236 Washington Church Rd</v>
      </c>
      <c r="C221" t="str">
        <f>Master!$J223 &amp; ""</f>
        <v>Miamisburg, OH 45342</v>
      </c>
    </row>
    <row r="222" spans="1:3" x14ac:dyDescent="0.25">
      <c r="A222" t="str">
        <f>Master!$E224 &amp; ""</f>
        <v>Stormie Smith</v>
      </c>
      <c r="B222" t="str">
        <f>Master!$F224 &amp; ""</f>
        <v/>
      </c>
      <c r="C222" t="str">
        <f>Master!$J224 &amp; ""</f>
        <v/>
      </c>
    </row>
    <row r="223" spans="1:3" x14ac:dyDescent="0.25">
      <c r="A223" t="str">
        <f>Master!$E225 &amp; ""</f>
        <v>Zac Sparks</v>
      </c>
      <c r="B223" t="str">
        <f>Master!$F225 &amp; ""</f>
        <v>7625 Cloverbrook Park Dr</v>
      </c>
      <c r="C223" t="str">
        <f>Master!$J225 &amp; ""</f>
        <v>Centerville, OH 45459</v>
      </c>
    </row>
    <row r="224" spans="1:3" x14ac:dyDescent="0.25">
      <c r="A224" t="str">
        <f>Master!$E226 &amp; ""</f>
        <v>Leondo Stanziano</v>
      </c>
      <c r="B224" t="str">
        <f>Master!$F226 &amp; ""</f>
        <v>607 Uplands Camp Rd</v>
      </c>
      <c r="C224" t="str">
        <f>Master!$J226 &amp; ""</f>
        <v>Kettering, OH 45419</v>
      </c>
    </row>
    <row r="225" spans="1:3" x14ac:dyDescent="0.25">
      <c r="A225" t="str">
        <f>Master!$E227 &amp; ""</f>
        <v>Jacob Steffee</v>
      </c>
      <c r="B225" t="str">
        <f>Master!$F227 &amp; ""</f>
        <v>60 Southfield Ct</v>
      </c>
      <c r="C225" t="str">
        <f>Master!$J227 &amp; ""</f>
        <v>Springboro, OH 45066</v>
      </c>
    </row>
    <row r="226" spans="1:3" x14ac:dyDescent="0.25">
      <c r="A226" t="str">
        <f>Master!$E228 &amp; ""</f>
        <v>Otto Stieger</v>
      </c>
      <c r="B226" t="str">
        <f>Master!$F228 &amp; ""</f>
        <v/>
      </c>
      <c r="C226" t="str">
        <f>Master!$J228 &amp; ""</f>
        <v/>
      </c>
    </row>
    <row r="227" spans="1:3" x14ac:dyDescent="0.25">
      <c r="A227" t="str">
        <f>Master!$E229 &amp; ""</f>
        <v>Luke Stingley</v>
      </c>
      <c r="B227" t="str">
        <f>Master!$F229 &amp; ""</f>
        <v>3590 Haines Rd</v>
      </c>
      <c r="C227" t="str">
        <f>Master!$J229 &amp; ""</f>
        <v>Waynesville, OH 45068</v>
      </c>
    </row>
    <row r="228" spans="1:3" x14ac:dyDescent="0.25">
      <c r="A228" t="str">
        <f>Master!$E230 &amp; ""</f>
        <v>Luke Struble</v>
      </c>
      <c r="B228" t="str">
        <f>Master!$F230 &amp; ""</f>
        <v>1270 Patriot Way</v>
      </c>
      <c r="C228" t="str">
        <f>Master!$J230 &amp; ""</f>
        <v>Beavercreek, OH 45434</v>
      </c>
    </row>
    <row r="229" spans="1:3" x14ac:dyDescent="0.25">
      <c r="A229" t="str">
        <f>Master!$E231 &amp; ""</f>
        <v>Xavier Telemaque</v>
      </c>
      <c r="B229" t="str">
        <f>Master!$F231 &amp; ""</f>
        <v/>
      </c>
      <c r="C229" t="str">
        <f>Master!$J231 &amp; ""</f>
        <v/>
      </c>
    </row>
    <row r="230" spans="1:3" x14ac:dyDescent="0.25">
      <c r="A230" t="str">
        <f>Master!$E232 &amp; ""</f>
        <v>Payton Thomas</v>
      </c>
      <c r="B230" t="str">
        <f>Master!$F232 &amp; ""</f>
        <v>824 Santa Cruz Ave</v>
      </c>
      <c r="C230" t="str">
        <f>Master!$J232 &amp; ""</f>
        <v>Dayton, OH 45410</v>
      </c>
    </row>
    <row r="231" spans="1:3" x14ac:dyDescent="0.25">
      <c r="A231" t="str">
        <f>Master!$E233 &amp; ""</f>
        <v>Scott Thorner</v>
      </c>
      <c r="B231" t="str">
        <f>Master!$F233 &amp; ""</f>
        <v/>
      </c>
      <c r="C231" t="str">
        <f>Master!$J233 &amp; ""</f>
        <v/>
      </c>
    </row>
    <row r="232" spans="1:3" x14ac:dyDescent="0.25">
      <c r="A232" t="str">
        <f>Master!$E234 &amp; ""</f>
        <v>Jack Tittle</v>
      </c>
      <c r="B232" t="str">
        <f>Master!$F234 &amp; ""</f>
        <v>1040 Berryhill Rd</v>
      </c>
      <c r="C232" t="str">
        <f>Master!$J234 &amp; ""</f>
        <v>Bellbrook, OH 45305</v>
      </c>
    </row>
    <row r="233" spans="1:3" x14ac:dyDescent="0.25">
      <c r="A233" t="str">
        <f>Master!$E235 &amp; ""</f>
        <v>Avery Tompkins</v>
      </c>
      <c r="B233" t="str">
        <f>Master!$F235 &amp; ""</f>
        <v/>
      </c>
      <c r="C233" t="str">
        <f>Master!$J235 &amp; ""</f>
        <v/>
      </c>
    </row>
    <row r="234" spans="1:3" x14ac:dyDescent="0.25">
      <c r="A234" t="str">
        <f>Master!$E236 &amp; ""</f>
        <v>Andy Turner</v>
      </c>
      <c r="B234" t="str">
        <f>Master!$F236 &amp; ""</f>
        <v>6774 Gillen Lane</v>
      </c>
      <c r="C234" t="str">
        <f>Master!$J236 &amp; ""</f>
        <v>Miamisburg, OH 45342</v>
      </c>
    </row>
    <row r="235" spans="1:3" x14ac:dyDescent="0.25">
      <c r="A235" t="str">
        <f>Master!$E237 &amp; ""</f>
        <v>Katie Turner</v>
      </c>
      <c r="B235" t="str">
        <f>Master!$F237 &amp; ""</f>
        <v>2312 Delvue Dr</v>
      </c>
      <c r="C235" t="str">
        <f>Master!$J237 &amp; ""</f>
        <v>Dayton, OH 45459</v>
      </c>
    </row>
    <row r="236" spans="1:3" x14ac:dyDescent="0.25">
      <c r="A236" t="str">
        <f>Master!$E238 &amp; ""</f>
        <v>Joshua Uphouse</v>
      </c>
      <c r="B236" t="str">
        <f>Master!$F238 &amp; ""</f>
        <v>6237 Rivercliff Ln</v>
      </c>
      <c r="C236" t="str">
        <f>Master!$J238 &amp; ""</f>
        <v>West Carrollton, OH 45449</v>
      </c>
    </row>
    <row r="237" spans="1:3" x14ac:dyDescent="0.25">
      <c r="A237" t="str">
        <f>Master!$E239 &amp; ""</f>
        <v>Vikram Vaidyaram</v>
      </c>
      <c r="B237" t="str">
        <f>Master!$F239 &amp; ""</f>
        <v>50 Mill Run Lane</v>
      </c>
      <c r="C237" t="str">
        <f>Master!$J239 &amp; ""</f>
        <v>Springboro, OH 45066</v>
      </c>
    </row>
    <row r="238" spans="1:3" x14ac:dyDescent="0.25">
      <c r="A238" t="str">
        <f>Master!$E240 &amp; ""</f>
        <v>Vincent Van Zant</v>
      </c>
      <c r="B238" t="str">
        <f>Master!$F240 &amp; ""</f>
        <v>1900 Courtland Ave</v>
      </c>
      <c r="C238" t="str">
        <f>Master!$J240 &amp; ""</f>
        <v>Kettering, OH 45420</v>
      </c>
    </row>
    <row r="239" spans="1:3" x14ac:dyDescent="0.25">
      <c r="A239" t="str">
        <f>Master!$E241 &amp; ""</f>
        <v>Gabriel Vaughn</v>
      </c>
      <c r="B239" t="str">
        <f>Master!$F241 &amp; ""</f>
        <v>7494 Dayton Germantown Pike</v>
      </c>
      <c r="C239" t="str">
        <f>Master!$J241 &amp; ""</f>
        <v>Germantown, OH 45327</v>
      </c>
    </row>
    <row r="240" spans="1:3" x14ac:dyDescent="0.25">
      <c r="A240" t="str">
        <f>Master!$E242 &amp; ""</f>
        <v>Lyra Vinande</v>
      </c>
      <c r="B240" t="str">
        <f>Master!$F242 &amp; ""</f>
        <v/>
      </c>
      <c r="C240" t="str">
        <f>Master!$J242 &amp; ""</f>
        <v/>
      </c>
    </row>
    <row r="241" spans="1:3" x14ac:dyDescent="0.25">
      <c r="A241" t="str">
        <f>Master!$E243 &amp; ""</f>
        <v>Dominic Vorrasi</v>
      </c>
      <c r="B241" t="str">
        <f>Master!$F243 &amp; ""</f>
        <v>266 Woodstream Dr</v>
      </c>
      <c r="C241" t="str">
        <f>Master!$J243 &amp; ""</f>
        <v>Springboro, OH 45066</v>
      </c>
    </row>
    <row r="242" spans="1:3" x14ac:dyDescent="0.25">
      <c r="A242" t="str">
        <f>Master!$E244 &amp; ""</f>
        <v>Joseph Vorsteg Jr</v>
      </c>
      <c r="B242" t="str">
        <f>Master!$F244 &amp; ""</f>
        <v>1715 Horlacher Ave</v>
      </c>
      <c r="C242" t="str">
        <f>Master!$J244 &amp; ""</f>
        <v>Kettering, OH 45420</v>
      </c>
    </row>
    <row r="243" spans="1:3" x14ac:dyDescent="0.25">
      <c r="A243" t="str">
        <f>Master!$E245 &amp; ""</f>
        <v>Jacob Wagenbach</v>
      </c>
      <c r="B243" t="str">
        <f>Master!$F245 &amp; ""</f>
        <v>2903 Chalmar Dr</v>
      </c>
      <c r="C243" t="str">
        <f>Master!$J245 &amp; ""</f>
        <v>Beavercreek, OH 45431</v>
      </c>
    </row>
    <row r="244" spans="1:3" x14ac:dyDescent="0.25">
      <c r="A244" t="str">
        <f>Master!$E246 &amp; ""</f>
        <v>Ethan Warburton</v>
      </c>
      <c r="B244" t="str">
        <f>Master!$F246 &amp; ""</f>
        <v>333 Triangle Dr</v>
      </c>
      <c r="C244" t="str">
        <f>Master!$J246 &amp; ""</f>
        <v>Oakwood, OH 45419</v>
      </c>
    </row>
    <row r="245" spans="1:3" x14ac:dyDescent="0.25">
      <c r="A245" t="str">
        <f>Master!$E247 &amp; ""</f>
        <v>Terry Washington</v>
      </c>
      <c r="B245" t="str">
        <f>Master!$F247 &amp; ""</f>
        <v>619 Circle Rd</v>
      </c>
      <c r="C245" t="str">
        <f>Master!$J247 &amp; ""</f>
        <v>Dayton, OH 45417</v>
      </c>
    </row>
    <row r="246" spans="1:3" x14ac:dyDescent="0.25">
      <c r="A246" t="str">
        <f>Master!$E248 &amp; ""</f>
        <v>Howard Webb</v>
      </c>
      <c r="B246" t="str">
        <f>Master!$F248 &amp; ""</f>
        <v>261 Detroit Blvd</v>
      </c>
      <c r="C246" t="str">
        <f>Master!$J248 &amp; ""</f>
        <v>Xenia, OH 45385</v>
      </c>
    </row>
    <row r="247" spans="1:3" x14ac:dyDescent="0.25">
      <c r="A247" t="str">
        <f>Master!$E249 &amp; ""</f>
        <v>Noah Webb</v>
      </c>
      <c r="B247" t="str">
        <f>Master!$F249 &amp; ""</f>
        <v/>
      </c>
      <c r="C247" t="str">
        <f>Master!$J249 &amp; ""</f>
        <v/>
      </c>
    </row>
    <row r="248" spans="1:3" x14ac:dyDescent="0.25">
      <c r="A248" t="str">
        <f>Master!$E250 &amp; ""</f>
        <v xml:space="preserve">Gigi West </v>
      </c>
      <c r="B248" t="str">
        <f>Master!$F250 &amp; ""</f>
        <v>284 West Schantz Ave</v>
      </c>
      <c r="C248" t="str">
        <f>Master!$J250 &amp; ""</f>
        <v>Dayton, OH 45409</v>
      </c>
    </row>
    <row r="249" spans="1:3" x14ac:dyDescent="0.25">
      <c r="A249" t="str">
        <f>Master!$E251 &amp; ""</f>
        <v>Anthony Whitaker</v>
      </c>
      <c r="B249" t="str">
        <f>Master!$F251 &amp; ""</f>
        <v>1510 Grange Hall Road</v>
      </c>
      <c r="C249" t="str">
        <f>Master!$J251 &amp; ""</f>
        <v>Beavercreek, OH 45432</v>
      </c>
    </row>
    <row r="250" spans="1:3" x14ac:dyDescent="0.25">
      <c r="A250" t="str">
        <f>Master!$E252 &amp; ""</f>
        <v>Jerry Williams</v>
      </c>
      <c r="B250" t="str">
        <f>Master!$F252 &amp; ""</f>
        <v>47 Illinois Ave</v>
      </c>
      <c r="C250" t="str">
        <f>Master!$J252 &amp; ""</f>
        <v>Dayton, OH 45410</v>
      </c>
    </row>
    <row r="251" spans="1:3" x14ac:dyDescent="0.25">
      <c r="A251" t="str">
        <f>Master!$E253 &amp; ""</f>
        <v>Grayson Willis</v>
      </c>
      <c r="B251" t="str">
        <f>Master!$F253 &amp; ""</f>
        <v/>
      </c>
      <c r="C251" t="str">
        <f>Master!$J253 &amp; ""</f>
        <v/>
      </c>
    </row>
    <row r="252" spans="1:3" x14ac:dyDescent="0.25">
      <c r="A252" t="str">
        <f>Master!$E254 &amp; ""</f>
        <v>Blaze Wilson</v>
      </c>
      <c r="B252" t="str">
        <f>Master!$F254 &amp; ""</f>
        <v/>
      </c>
      <c r="C252" t="str">
        <f>Master!$J254 &amp; ""</f>
        <v/>
      </c>
    </row>
    <row r="253" spans="1:3" x14ac:dyDescent="0.25">
      <c r="A253" t="str">
        <f>Master!$E255 &amp; ""</f>
        <v>Charlie Wilson</v>
      </c>
      <c r="B253" t="str">
        <f>Master!$F255 &amp; ""</f>
        <v/>
      </c>
      <c r="C253" t="str">
        <f>Master!$J255 &amp; ""</f>
        <v/>
      </c>
    </row>
    <row r="254" spans="1:3" x14ac:dyDescent="0.25">
      <c r="A254" t="str">
        <f>Master!$E256 &amp; ""</f>
        <v>Tommy Winslow</v>
      </c>
      <c r="B254" t="str">
        <f>Master!$F256 &amp; ""</f>
        <v/>
      </c>
      <c r="C254" t="str">
        <f>Master!$J256 &amp; ""</f>
        <v/>
      </c>
    </row>
    <row r="255" spans="1:3" x14ac:dyDescent="0.25">
      <c r="A255" t="str">
        <f>Master!$E257 &amp; ""</f>
        <v>Paul Wittberg</v>
      </c>
      <c r="B255" t="str">
        <f>Master!$F257 &amp; ""</f>
        <v>813 Gainsborough Rd</v>
      </c>
      <c r="C255" t="str">
        <f>Master!$J257 &amp; ""</f>
        <v>Dayton, OH 45419</v>
      </c>
    </row>
    <row r="256" spans="1:3" x14ac:dyDescent="0.25">
      <c r="A256" t="str">
        <f>Master!$E258 &amp; ""</f>
        <v>Ian Witucky</v>
      </c>
      <c r="B256" t="str">
        <f>Master!$F258 &amp; ""</f>
        <v/>
      </c>
      <c r="C256" t="str">
        <f>Master!$J258 &amp; ""</f>
        <v/>
      </c>
    </row>
    <row r="257" spans="1:3" x14ac:dyDescent="0.25">
      <c r="A257" t="str">
        <f>Master!$E259 &amp; ""</f>
        <v>Nick Woeste</v>
      </c>
      <c r="B257" t="str">
        <f>Master!$F259 &amp; ""</f>
        <v>9047 S Normandy Ln</v>
      </c>
      <c r="C257" t="str">
        <f>Master!$J259 &amp; ""</f>
        <v>Centerville , OH 45458</v>
      </c>
    </row>
    <row r="258" spans="1:3" x14ac:dyDescent="0.25">
      <c r="A258" t="str">
        <f>Master!$E260 &amp; ""</f>
        <v>Parker Wright</v>
      </c>
      <c r="B258" t="str">
        <f>Master!$F260 &amp; ""</f>
        <v>1844 Beason Road</v>
      </c>
      <c r="C258" t="str">
        <f>Master!$J260 &amp; ""</f>
        <v>Xenia, OH 45835</v>
      </c>
    </row>
    <row r="259" spans="1:3" x14ac:dyDescent="0.25">
      <c r="A259" t="str">
        <f>Master!$E261 &amp; ""</f>
        <v>Ben Wyers</v>
      </c>
      <c r="B259" t="str">
        <f>Master!$F261 &amp; ""</f>
        <v>645 Settlers Walk Blvd</v>
      </c>
      <c r="C259" t="str">
        <f>Master!$J261 &amp; ""</f>
        <v>Springboro, OH 45066</v>
      </c>
    </row>
    <row r="260" spans="1:3" x14ac:dyDescent="0.25">
      <c r="A260" t="str">
        <f>Master!$E262 &amp; ""</f>
        <v>Jeremy Wysong</v>
      </c>
      <c r="B260" t="str">
        <f>Master!$F262 &amp; ""</f>
        <v>105 McVey Pl</v>
      </c>
      <c r="C260" t="str">
        <f>Master!$J262 &amp; ""</f>
        <v>Springboro, OH 45066</v>
      </c>
    </row>
    <row r="261" spans="1:3" x14ac:dyDescent="0.25">
      <c r="A261" t="str">
        <f>Master!$E263 &amp; ""</f>
        <v>Javon Yoakum</v>
      </c>
      <c r="B261" t="str">
        <f>Master!$F263 &amp; ""</f>
        <v>4347 Willow Run Dr</v>
      </c>
      <c r="C261" t="str">
        <f>Master!$J263 &amp; ""</f>
        <v>Beavercreek, OH 45430</v>
      </c>
    </row>
    <row r="262" spans="1:3" x14ac:dyDescent="0.25">
      <c r="A262" t="str">
        <f>Master!$E264 &amp; ""</f>
        <v>Karron Yoakum</v>
      </c>
      <c r="B262" t="str">
        <f>Master!$F264 &amp; ""</f>
        <v>4347 Willow Run Dr</v>
      </c>
      <c r="C262" t="str">
        <f>Master!$J264 &amp; ""</f>
        <v>Beavercreek, OH 45430</v>
      </c>
    </row>
    <row r="263" spans="1:3" x14ac:dyDescent="0.25">
      <c r="A263" t="str">
        <f>Master!$E265 &amp; ""</f>
        <v>Andrew Zecchini</v>
      </c>
      <c r="B263" t="str">
        <f>Master!$F265 &amp; ""</f>
        <v>9794 Scotchpine Dr</v>
      </c>
      <c r="C263" t="str">
        <f>Master!$J265 &amp; ""</f>
        <v>Springboro, OH 45066</v>
      </c>
    </row>
    <row r="264" spans="1:3" x14ac:dyDescent="0.25">
      <c r="A264" t="str">
        <f>Master!$E266 &amp; ""</f>
        <v>Jessica Zimmerman</v>
      </c>
      <c r="B264" t="str">
        <f>Master!$F266 &amp; ""</f>
        <v>3204 Sudbury Dr</v>
      </c>
      <c r="C264" t="str">
        <f>Master!$J266 &amp; ""</f>
        <v>Kettering, OH 45420</v>
      </c>
    </row>
    <row r="265" spans="1:3" x14ac:dyDescent="0.25">
      <c r="A265" t="str">
        <f>Master!$E267 &amp; ""</f>
        <v>Lucas Zwiers</v>
      </c>
      <c r="B265" t="str">
        <f>Master!$F267 &amp; ""</f>
        <v>3383 W. Alex Bell Rd</v>
      </c>
      <c r="C265" t="str">
        <f>Master!$J267 &amp; ""</f>
        <v>West Carrollton, OH 45449</v>
      </c>
    </row>
    <row r="266" spans="1:3" x14ac:dyDescent="0.25">
      <c r="A266" t="str">
        <f>Master!$E268 &amp; ""</f>
        <v/>
      </c>
      <c r="B266" t="str">
        <f>Master!$F268 &amp; ""</f>
        <v/>
      </c>
      <c r="C266" t="str">
        <f>Master!$J268 &amp; ""</f>
        <v/>
      </c>
    </row>
    <row r="267" spans="1:3" x14ac:dyDescent="0.25">
      <c r="A267" t="str">
        <f>Master!$E269 &amp; ""</f>
        <v/>
      </c>
      <c r="B267" t="str">
        <f>Master!$F269 &amp; ""</f>
        <v/>
      </c>
      <c r="C267" t="str">
        <f>Master!$J269 &amp; ""</f>
        <v/>
      </c>
    </row>
    <row r="268" spans="1:3" x14ac:dyDescent="0.25">
      <c r="A268" t="str">
        <f>Master!$E270 &amp; ""</f>
        <v/>
      </c>
      <c r="B268" t="str">
        <f>Master!$F270 &amp; ""</f>
        <v/>
      </c>
      <c r="C268" t="str">
        <f>Master!$J270 &amp; ""</f>
        <v/>
      </c>
    </row>
    <row r="269" spans="1:3" x14ac:dyDescent="0.25">
      <c r="A269" t="str">
        <f>Master!$E271 &amp; ""</f>
        <v/>
      </c>
      <c r="B269" t="str">
        <f>Master!$F271 &amp; ""</f>
        <v/>
      </c>
      <c r="C269" t="str">
        <f>Master!$J271 &amp; ""</f>
        <v/>
      </c>
    </row>
    <row r="270" spans="1:3" x14ac:dyDescent="0.25">
      <c r="A270" t="str">
        <f>Master!$E272 &amp; ""</f>
        <v/>
      </c>
      <c r="B270" t="str">
        <f>Master!$F272 &amp; ""</f>
        <v/>
      </c>
      <c r="C270" t="str">
        <f>Master!$J272 &amp; ""</f>
        <v/>
      </c>
    </row>
  </sheetData>
  <sheetProtection algorithmName="SHA-512" hashValue="yIq69tN5DnLtzE6V06XAGVMDxQpkE/nyJZna7+K3l8okEuc/tPT65khE+p+kdidwz7OkMM53KvTvoqFiv1TgBw==" saltValue="Bbx6u0eUnrNf0UNIAmeiCg==" spinCount="100000" sheet="1" objects="1" scenarios="1"/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2" filterMode="1"/>
  <dimension ref="A1:C276"/>
  <sheetViews>
    <sheetView workbookViewId="0"/>
  </sheetViews>
  <sheetFormatPr defaultRowHeight="15" customHeight="1" x14ac:dyDescent="0.25"/>
  <cols>
    <col min="1" max="1" width="22.5703125" customWidth="1"/>
    <col min="2" max="2" width="30.140625" customWidth="1"/>
    <col min="3" max="3" width="24.85546875" customWidth="1"/>
  </cols>
  <sheetData>
    <row r="1" spans="1:3" ht="15" customHeight="1" x14ac:dyDescent="0.25">
      <c r="A1" s="30" t="s">
        <v>109</v>
      </c>
      <c r="B1" s="30" t="s">
        <v>110</v>
      </c>
      <c r="C1" s="30" t="s">
        <v>561</v>
      </c>
    </row>
    <row r="2" spans="1:3" ht="15" customHeight="1" x14ac:dyDescent="0.25">
      <c r="A2" t="str">
        <f>IF(Master!$M2&lt;&gt;"",Master!$E2 &amp; "","")</f>
        <v>Avery Abshear</v>
      </c>
      <c r="B2" t="str">
        <f>IF(Master!$M2&lt;&gt;"",Master!$F2 &amp; "","")</f>
        <v>81 East Drive</v>
      </c>
      <c r="C2" t="str">
        <f>IF(Master!$M2&lt;&gt;"",Master!$J2 &amp; "","")</f>
        <v>Centerville, OH 45459</v>
      </c>
    </row>
    <row r="3" spans="1:3" ht="15" customHeight="1" x14ac:dyDescent="0.25">
      <c r="A3" t="str">
        <f>IF(Master!$M3&lt;&gt;"",Master!$E3 &amp; "","")</f>
        <v>Jackson Abshear</v>
      </c>
      <c r="B3" t="str">
        <f>IF(Master!$M3&lt;&gt;"",Master!$F3 &amp; "","")</f>
        <v/>
      </c>
      <c r="C3" t="str">
        <f>IF(Master!$M3&lt;&gt;"",Master!$J3 &amp; "","")</f>
        <v/>
      </c>
    </row>
    <row r="4" spans="1:3" ht="15" customHeight="1" x14ac:dyDescent="0.25">
      <c r="A4" t="str">
        <f>IF(Master!$M4&lt;&gt;"",Master!$E4 &amp; "","")</f>
        <v/>
      </c>
      <c r="B4" t="str">
        <f>IF(Master!$M4&lt;&gt;"",Master!$F4 &amp; "","")</f>
        <v/>
      </c>
      <c r="C4" t="str">
        <f>IF(Master!$M4&lt;&gt;"",Master!$J4 &amp; "","")</f>
        <v/>
      </c>
    </row>
    <row r="5" spans="1:3" ht="15" customHeight="1" x14ac:dyDescent="0.25">
      <c r="A5" t="str">
        <f>IF(Master!$M5&lt;&gt;"",Master!$E5 &amp; "","")</f>
        <v/>
      </c>
      <c r="B5" t="str">
        <f>IF(Master!$M5&lt;&gt;"",Master!$F5 &amp; "","")</f>
        <v/>
      </c>
      <c r="C5" t="str">
        <f>IF(Master!$M5&lt;&gt;"",Master!$J5 &amp; "","")</f>
        <v/>
      </c>
    </row>
    <row r="6" spans="1:3" ht="15" customHeight="1" x14ac:dyDescent="0.25">
      <c r="A6" t="str">
        <f>IF(Master!$M6&lt;&gt;"",Master!$E6 &amp; "","")</f>
        <v>Gordon (JR) Alobwede</v>
      </c>
      <c r="B6" t="str">
        <f>IF(Master!$M6&lt;&gt;"",Master!$F6 &amp; "","")</f>
        <v>4323 Turtle Dove Way</v>
      </c>
      <c r="C6" t="str">
        <f>IF(Master!$M6&lt;&gt;"",Master!$J6 &amp; "","")</f>
        <v>Miamisburg, OH 45342</v>
      </c>
    </row>
    <row r="7" spans="1:3" ht="15" customHeight="1" x14ac:dyDescent="0.25">
      <c r="A7" t="str">
        <f>IF(Master!$M7&lt;&gt;"",Master!$E7 &amp; "","")</f>
        <v>Landrie Amaro</v>
      </c>
      <c r="B7" t="str">
        <f>IF(Master!$M7&lt;&gt;"",Master!$F7 &amp; "","")</f>
        <v>2083 S. Tulane Dr</v>
      </c>
      <c r="C7" t="str">
        <f>IF(Master!$M7&lt;&gt;"",Master!$J7 &amp; "","")</f>
        <v>Beavercreek, OH 45431</v>
      </c>
    </row>
    <row r="8" spans="1:3" ht="15" customHeight="1" x14ac:dyDescent="0.25">
      <c r="A8" t="str">
        <f>IF(Master!$M8&lt;&gt;"",Master!$E8 &amp; "","")</f>
        <v>Gracie Arnold</v>
      </c>
      <c r="B8" t="str">
        <f>IF(Master!$M8&lt;&gt;"",Master!$F8 &amp; "","")</f>
        <v>4400 Vera Place</v>
      </c>
      <c r="C8" t="str">
        <f>IF(Master!$M8&lt;&gt;"",Master!$J8 &amp; "","")</f>
        <v>Kettering, OH 45429</v>
      </c>
    </row>
    <row r="9" spans="1:3" ht="15" customHeight="1" x14ac:dyDescent="0.25">
      <c r="A9" t="str">
        <f>IF(Master!$M9&lt;&gt;"",Master!$E9 &amp; "","")</f>
        <v>Elena Back</v>
      </c>
      <c r="B9" t="str">
        <f>IF(Master!$M9&lt;&gt;"",Master!$F9 &amp; "","")</f>
        <v/>
      </c>
      <c r="C9" t="str">
        <f>IF(Master!$M9&lt;&gt;"",Master!$J9 &amp; "","")</f>
        <v/>
      </c>
    </row>
    <row r="10" spans="1:3" ht="15" customHeight="1" x14ac:dyDescent="0.25">
      <c r="A10" t="str">
        <f>IF(Master!$M10&lt;&gt;"",Master!$E10 &amp; "","")</f>
        <v/>
      </c>
      <c r="B10" t="str">
        <f>IF(Master!$M10&lt;&gt;"",Master!$F10 &amp; "","")</f>
        <v/>
      </c>
      <c r="C10" t="str">
        <f>IF(Master!$M10&lt;&gt;"",Master!$J10 &amp; "","")</f>
        <v/>
      </c>
    </row>
    <row r="11" spans="1:3" ht="15" customHeight="1" x14ac:dyDescent="0.25">
      <c r="A11" t="str">
        <f>IF(Master!$M11&lt;&gt;"",Master!$E11 &amp; "","")</f>
        <v/>
      </c>
      <c r="B11" t="str">
        <f>IF(Master!$M11&lt;&gt;"",Master!$F11 &amp; "","")</f>
        <v/>
      </c>
      <c r="C11" t="str">
        <f>IF(Master!$M11&lt;&gt;"",Master!$J11 &amp; "","")</f>
        <v/>
      </c>
    </row>
    <row r="12" spans="1:3" ht="15" customHeight="1" x14ac:dyDescent="0.25">
      <c r="A12" t="str">
        <f>IF(Master!$M12&lt;&gt;"",Master!$E12 &amp; "","")</f>
        <v>Leila Binkley</v>
      </c>
      <c r="B12" t="str">
        <f>IF(Master!$M12&lt;&gt;"",Master!$F12 &amp; "","")</f>
        <v>4232 Weber Dr</v>
      </c>
      <c r="C12" t="str">
        <f>IF(Master!$M12&lt;&gt;"",Master!$J12 &amp; "","")</f>
        <v>Beavercreek, OH 45430</v>
      </c>
    </row>
    <row r="13" spans="1:3" ht="15" customHeight="1" x14ac:dyDescent="0.25">
      <c r="A13" t="str">
        <f>IF(Master!$M13&lt;&gt;"",Master!$E13 &amp; "","")</f>
        <v>Naomi Black</v>
      </c>
      <c r="B13" t="str">
        <f>IF(Master!$M13&lt;&gt;"",Master!$F13 &amp; "","")</f>
        <v>113 Goldengate Dr</v>
      </c>
      <c r="C13" t="str">
        <f>IF(Master!$M13&lt;&gt;"",Master!$J13 &amp; "","")</f>
        <v>Centerville, OH 45459</v>
      </c>
    </row>
    <row r="14" spans="1:3" ht="15" customHeight="1" x14ac:dyDescent="0.25">
      <c r="A14" t="str">
        <f>IF(Master!$M14&lt;&gt;"",Master!$E14 &amp; "","")</f>
        <v/>
      </c>
      <c r="B14" t="str">
        <f>IF(Master!$M14&lt;&gt;"",Master!$F14 &amp; "","")</f>
        <v/>
      </c>
      <c r="C14" t="str">
        <f>IF(Master!$M14&lt;&gt;"",Master!$J14 &amp; "","")</f>
        <v/>
      </c>
    </row>
    <row r="15" spans="1:3" ht="15" customHeight="1" x14ac:dyDescent="0.25">
      <c r="A15" t="str">
        <f>IF(Master!$M15&lt;&gt;"",Master!$E15 &amp; "","")</f>
        <v/>
      </c>
      <c r="B15" t="str">
        <f>IF(Master!$M15&lt;&gt;"",Master!$F15 &amp; "","")</f>
        <v/>
      </c>
      <c r="C15" t="str">
        <f>IF(Master!$M15&lt;&gt;"",Master!$J15 &amp; "","")</f>
        <v/>
      </c>
    </row>
    <row r="16" spans="1:3" ht="15" customHeight="1" x14ac:dyDescent="0.25">
      <c r="A16" t="str">
        <f>IF(Master!$M16&lt;&gt;"",Master!$E16 &amp; "","")</f>
        <v/>
      </c>
      <c r="B16" t="str">
        <f>IF(Master!$M16&lt;&gt;"",Master!$F16 &amp; "","")</f>
        <v/>
      </c>
      <c r="C16" t="str">
        <f>IF(Master!$M16&lt;&gt;"",Master!$J16 &amp; "","")</f>
        <v/>
      </c>
    </row>
    <row r="17" spans="1:3" ht="15" customHeight="1" x14ac:dyDescent="0.25">
      <c r="A17" t="str">
        <f>IF(Master!$M17&lt;&gt;"",Master!$E17 &amp; "","")</f>
        <v/>
      </c>
      <c r="B17" t="str">
        <f>IF(Master!$M17&lt;&gt;"",Master!$F17 &amp; "","")</f>
        <v/>
      </c>
      <c r="C17" t="str">
        <f>IF(Master!$M17&lt;&gt;"",Master!$J17 &amp; "","")</f>
        <v/>
      </c>
    </row>
    <row r="18" spans="1:3" ht="15" customHeight="1" x14ac:dyDescent="0.25">
      <c r="A18" t="str">
        <f>IF(Master!$M18&lt;&gt;"",Master!$E18 &amp; "","")</f>
        <v>Hannah Borton</v>
      </c>
      <c r="B18" t="str">
        <f>IF(Master!$M18&lt;&gt;"",Master!$F18 &amp; "","")</f>
        <v/>
      </c>
      <c r="C18" t="str">
        <f>IF(Master!$M18&lt;&gt;"",Master!$J18 &amp; "","")</f>
        <v/>
      </c>
    </row>
    <row r="19" spans="1:3" ht="15" customHeight="1" x14ac:dyDescent="0.25">
      <c r="A19" t="str">
        <f>IF(Master!$M19&lt;&gt;"",Master!$E19 &amp; "","")</f>
        <v/>
      </c>
      <c r="B19" t="str">
        <f>IF(Master!$M19&lt;&gt;"",Master!$F19 &amp; "","")</f>
        <v/>
      </c>
      <c r="C19" t="str">
        <f>IF(Master!$M19&lt;&gt;"",Master!$J19 &amp; "","")</f>
        <v/>
      </c>
    </row>
    <row r="20" spans="1:3" ht="15" customHeight="1" x14ac:dyDescent="0.25">
      <c r="A20" t="str">
        <f>IF(Master!$M20&lt;&gt;"",Master!$E20 &amp; "","")</f>
        <v/>
      </c>
      <c r="B20" t="str">
        <f>IF(Master!$M20&lt;&gt;"",Master!$F20 &amp; "","")</f>
        <v/>
      </c>
      <c r="C20" t="str">
        <f>IF(Master!$M20&lt;&gt;"",Master!$J20 &amp; "","")</f>
        <v/>
      </c>
    </row>
    <row r="21" spans="1:3" ht="15" customHeight="1" x14ac:dyDescent="0.25">
      <c r="A21" t="str">
        <f>IF(Master!$M21&lt;&gt;"",Master!$E21 &amp; "","")</f>
        <v>Dylan Bowling</v>
      </c>
      <c r="B21" t="str">
        <f>IF(Master!$M21&lt;&gt;"",Master!$F21 &amp; "","")</f>
        <v/>
      </c>
      <c r="C21" t="str">
        <f>IF(Master!$M21&lt;&gt;"",Master!$J21 &amp; "","")</f>
        <v/>
      </c>
    </row>
    <row r="22" spans="1:3" ht="15" customHeight="1" x14ac:dyDescent="0.25">
      <c r="A22" t="str">
        <f>IF(Master!$M22&lt;&gt;"",Master!$E22 &amp; "","")</f>
        <v>Aaron Bowman</v>
      </c>
      <c r="B22" t="str">
        <f>IF(Master!$M22&lt;&gt;"",Master!$F22 &amp; "","")</f>
        <v>4095 Lytle Rd</v>
      </c>
      <c r="C22" t="str">
        <f>IF(Master!$M22&lt;&gt;"",Master!$J22 &amp; "","")</f>
        <v>Waynesville, OH 45068</v>
      </c>
    </row>
    <row r="23" spans="1:3" ht="15" customHeight="1" x14ac:dyDescent="0.25">
      <c r="A23" t="str">
        <f>IF(Master!$M23&lt;&gt;"",Master!$E23 &amp; "","")</f>
        <v>Everette Bowman</v>
      </c>
      <c r="B23" t="str">
        <f>IF(Master!$M23&lt;&gt;"",Master!$F23 &amp; "","")</f>
        <v/>
      </c>
      <c r="C23" t="str">
        <f>IF(Master!$M23&lt;&gt;"",Master!$J23 &amp; "","")</f>
        <v/>
      </c>
    </row>
    <row r="24" spans="1:3" ht="15" customHeight="1" x14ac:dyDescent="0.25">
      <c r="A24" t="str">
        <f>IF(Master!$M24&lt;&gt;"",Master!$E24 &amp; "","")</f>
        <v>Gretchen Braun</v>
      </c>
      <c r="B24" t="str">
        <f>IF(Master!$M24&lt;&gt;"",Master!$F24 &amp; "","")</f>
        <v>2154 Hedge Gate Blvd</v>
      </c>
      <c r="C24" t="str">
        <f>IF(Master!$M24&lt;&gt;"",Master!$J24 &amp; "","")</f>
        <v>Beavercreek, OH 45431</v>
      </c>
    </row>
    <row r="25" spans="1:3" ht="15" customHeight="1" x14ac:dyDescent="0.25">
      <c r="A25" t="str">
        <f>IF(Master!$M25&lt;&gt;"",Master!$E25 &amp; "","")</f>
        <v>Charles Brewer</v>
      </c>
      <c r="B25" t="str">
        <f>IF(Master!$M25&lt;&gt;"",Master!$F25 &amp; "","")</f>
        <v>141 Chestnut Ave</v>
      </c>
      <c r="C25" t="str">
        <f>IF(Master!$M25&lt;&gt;"",Master!$J25 &amp; "","")</f>
        <v>Carlisle, OH 45005</v>
      </c>
    </row>
    <row r="26" spans="1:3" ht="15" customHeight="1" x14ac:dyDescent="0.25">
      <c r="A26" t="str">
        <f>IF(Master!$M26&lt;&gt;"",Master!$E26 &amp; "","")</f>
        <v/>
      </c>
      <c r="B26" t="str">
        <f>IF(Master!$M26&lt;&gt;"",Master!$F26 &amp; "","")</f>
        <v/>
      </c>
      <c r="C26" t="str">
        <f>IF(Master!$M26&lt;&gt;"",Master!$J26 &amp; "","")</f>
        <v/>
      </c>
    </row>
    <row r="27" spans="1:3" ht="15" customHeight="1" x14ac:dyDescent="0.25">
      <c r="A27" t="str">
        <f>IF(Master!$M27&lt;&gt;"",Master!$E27 &amp; "","")</f>
        <v>Janice Brun</v>
      </c>
      <c r="B27" t="str">
        <f>IF(Master!$M27&lt;&gt;"",Master!$F27 &amp; "","")</f>
        <v>562 W Alex Bell Rd</v>
      </c>
      <c r="C27" t="str">
        <f>IF(Master!$M27&lt;&gt;"",Master!$J27 &amp; "","")</f>
        <v>Centerville, OH 45459</v>
      </c>
    </row>
    <row r="28" spans="1:3" ht="15" customHeight="1" x14ac:dyDescent="0.25">
      <c r="A28" t="str">
        <f>IF(Master!$M28&lt;&gt;"",Master!$E28 &amp; "","")</f>
        <v>Niklaus Burtnett</v>
      </c>
      <c r="B28" t="str">
        <f>IF(Master!$M28&lt;&gt;"",Master!$F28 &amp; "","")</f>
        <v/>
      </c>
      <c r="C28" t="str">
        <f>IF(Master!$M28&lt;&gt;"",Master!$J28 &amp; "","")</f>
        <v/>
      </c>
    </row>
    <row r="29" spans="1:3" ht="15" customHeight="1" x14ac:dyDescent="0.25">
      <c r="A29" t="str">
        <f>IF(Master!$M29&lt;&gt;"",Master!$E29 &amp; "","")</f>
        <v>Noah Bush</v>
      </c>
      <c r="B29" t="str">
        <f>IF(Master!$M29&lt;&gt;"",Master!$F29 &amp; "","")</f>
        <v/>
      </c>
      <c r="C29" t="str">
        <f>IF(Master!$M29&lt;&gt;"",Master!$J29 &amp; "","")</f>
        <v/>
      </c>
    </row>
    <row r="30" spans="1:3" ht="15" customHeight="1" x14ac:dyDescent="0.25">
      <c r="A30" t="str">
        <f>IF(Master!$M30&lt;&gt;"",Master!$E30 &amp; "","")</f>
        <v>Fred Cairo</v>
      </c>
      <c r="B30" t="str">
        <f>IF(Master!$M30&lt;&gt;"",Master!$F30 &amp; "","")</f>
        <v>37 W Wren Cir</v>
      </c>
      <c r="C30" t="str">
        <f>IF(Master!$M30&lt;&gt;"",Master!$J30 &amp; "","")</f>
        <v>Kettering, OH 45420</v>
      </c>
    </row>
    <row r="31" spans="1:3" ht="15" customHeight="1" x14ac:dyDescent="0.25">
      <c r="A31" t="str">
        <f>IF(Master!$M31&lt;&gt;"",Master!$E31 &amp; "","")</f>
        <v>Benny Calcutta</v>
      </c>
      <c r="B31" t="str">
        <f>IF(Master!$M31&lt;&gt;"",Master!$F31 &amp; "","")</f>
        <v>1858 Beaverton Dr</v>
      </c>
      <c r="C31" t="str">
        <f>IF(Master!$M31&lt;&gt;"",Master!$J31 &amp; "","")</f>
        <v>Kettering, OH 45429</v>
      </c>
    </row>
    <row r="32" spans="1:3" ht="15" customHeight="1" x14ac:dyDescent="0.25">
      <c r="A32" t="str">
        <f>IF(Master!$M32&lt;&gt;"",Master!$E32 &amp; "","")</f>
        <v/>
      </c>
      <c r="B32" t="str">
        <f>IF(Master!$M32&lt;&gt;"",Master!$F32 &amp; "","")</f>
        <v/>
      </c>
      <c r="C32" t="str">
        <f>IF(Master!$M32&lt;&gt;"",Master!$J32 &amp; "","")</f>
        <v/>
      </c>
    </row>
    <row r="33" spans="1:3" ht="15" customHeight="1" x14ac:dyDescent="0.25">
      <c r="A33" t="str">
        <f>IF(Master!$M33&lt;&gt;"",Master!$E33 &amp; "","")</f>
        <v/>
      </c>
      <c r="B33" t="str">
        <f>IF(Master!$M33&lt;&gt;"",Master!$F33 &amp; "","")</f>
        <v/>
      </c>
      <c r="C33" t="str">
        <f>IF(Master!$M33&lt;&gt;"",Master!$J33 &amp; "","")</f>
        <v/>
      </c>
    </row>
    <row r="34" spans="1:3" ht="15" customHeight="1" x14ac:dyDescent="0.25">
      <c r="A34" t="str">
        <f>IF(Master!$M34&lt;&gt;"",Master!$E34 &amp; "","")</f>
        <v/>
      </c>
      <c r="B34" t="str">
        <f>IF(Master!$M34&lt;&gt;"",Master!$F34 &amp; "","")</f>
        <v/>
      </c>
      <c r="C34" t="str">
        <f>IF(Master!$M34&lt;&gt;"",Master!$J34 &amp; "","")</f>
        <v/>
      </c>
    </row>
    <row r="35" spans="1:3" ht="15" customHeight="1" x14ac:dyDescent="0.25">
      <c r="A35" t="str">
        <f>IF(Master!$M35&lt;&gt;"",Master!$E35 &amp; "","")</f>
        <v>Jackson Chockey</v>
      </c>
      <c r="B35" t="str">
        <f>IF(Master!$M35&lt;&gt;"",Master!$F35 &amp; "","")</f>
        <v>4348 Chippewa Trail</v>
      </c>
      <c r="C35" t="str">
        <f>IF(Master!$M35&lt;&gt;"",Master!$J35 &amp; "","")</f>
        <v>Jamestown, OH 45335</v>
      </c>
    </row>
    <row r="36" spans="1:3" ht="15" customHeight="1" x14ac:dyDescent="0.25">
      <c r="A36" t="str">
        <f>IF(Master!$M36&lt;&gt;"",Master!$E36 &amp; "","")</f>
        <v/>
      </c>
      <c r="B36" t="str">
        <f>IF(Master!$M36&lt;&gt;"",Master!$F36 &amp; "","")</f>
        <v/>
      </c>
      <c r="C36" t="str">
        <f>IF(Master!$M36&lt;&gt;"",Master!$J36 &amp; "","")</f>
        <v/>
      </c>
    </row>
    <row r="37" spans="1:3" ht="15" customHeight="1" x14ac:dyDescent="0.25">
      <c r="A37" t="str">
        <f>IF(Master!$M37&lt;&gt;"",Master!$E37 &amp; "","")</f>
        <v>Emma Cloyes</v>
      </c>
      <c r="B37" t="str">
        <f>IF(Master!$M37&lt;&gt;"",Master!$F37 &amp; "","")</f>
        <v/>
      </c>
      <c r="C37" t="str">
        <f>IF(Master!$M37&lt;&gt;"",Master!$J37 &amp; "","")</f>
        <v/>
      </c>
    </row>
    <row r="38" spans="1:3" ht="15" customHeight="1" x14ac:dyDescent="0.25">
      <c r="A38" t="str">
        <f>IF(Master!$M38&lt;&gt;"",Master!$E38 &amp; "","")</f>
        <v/>
      </c>
      <c r="B38" t="str">
        <f>IF(Master!$M38&lt;&gt;"",Master!$F38 &amp; "","")</f>
        <v/>
      </c>
      <c r="C38" t="str">
        <f>IF(Master!$M38&lt;&gt;"",Master!$J38 &amp; "","")</f>
        <v/>
      </c>
    </row>
    <row r="39" spans="1:3" ht="15" customHeight="1" x14ac:dyDescent="0.25">
      <c r="A39" t="str">
        <f>IF(Master!$M39&lt;&gt;"",Master!$E39 &amp; "","")</f>
        <v/>
      </c>
      <c r="B39" t="str">
        <f>IF(Master!$M39&lt;&gt;"",Master!$F39 &amp; "","")</f>
        <v/>
      </c>
      <c r="C39" t="str">
        <f>IF(Master!$M39&lt;&gt;"",Master!$J39 &amp; "","")</f>
        <v/>
      </c>
    </row>
    <row r="40" spans="1:3" ht="15" customHeight="1" x14ac:dyDescent="0.25">
      <c r="A40" t="str">
        <f>IF(Master!$M40&lt;&gt;"",Master!$E40 &amp; "","")</f>
        <v>Steven Conlee</v>
      </c>
      <c r="B40" t="str">
        <f>IF(Master!$M40&lt;&gt;"",Master!$F40 &amp; "","")</f>
        <v>2299 Adrian Ct</v>
      </c>
      <c r="C40" t="str">
        <f>IF(Master!$M40&lt;&gt;"",Master!$J40 &amp; "","")</f>
        <v>Dayton, OH 45439</v>
      </c>
    </row>
    <row r="41" spans="1:3" ht="15" customHeight="1" x14ac:dyDescent="0.25">
      <c r="A41" t="str">
        <f>IF(Master!$M41&lt;&gt;"",Master!$E41 &amp; "","")</f>
        <v/>
      </c>
      <c r="B41" t="str">
        <f>IF(Master!$M41&lt;&gt;"",Master!$F41 &amp; "","")</f>
        <v/>
      </c>
      <c r="C41" t="str">
        <f>IF(Master!$M41&lt;&gt;"",Master!$J41 &amp; "","")</f>
        <v/>
      </c>
    </row>
    <row r="42" spans="1:3" ht="15" customHeight="1" x14ac:dyDescent="0.25">
      <c r="A42" t="str">
        <f>IF(Master!$M42&lt;&gt;"",Master!$E42 &amp; "","")</f>
        <v>Aiyanna Cornell</v>
      </c>
      <c r="B42" t="str">
        <f>IF(Master!$M42&lt;&gt;"",Master!$F42 &amp; "","")</f>
        <v/>
      </c>
      <c r="C42" t="str">
        <f>IF(Master!$M42&lt;&gt;"",Master!$J42 &amp; "","")</f>
        <v/>
      </c>
    </row>
    <row r="43" spans="1:3" ht="15" customHeight="1" x14ac:dyDescent="0.25">
      <c r="A43" t="str">
        <f>IF(Master!$M43&lt;&gt;"",Master!$E43 &amp; "","")</f>
        <v>Carter Cornell</v>
      </c>
      <c r="B43" t="str">
        <f>IF(Master!$M43&lt;&gt;"",Master!$F43 &amp; "","")</f>
        <v>1934 Nutt Rd</v>
      </c>
      <c r="C43" t="str">
        <f>IF(Master!$M43&lt;&gt;"",Master!$J43 &amp; "","")</f>
        <v>Centerville, OH 45458</v>
      </c>
    </row>
    <row r="44" spans="1:3" ht="15" customHeight="1" x14ac:dyDescent="0.25">
      <c r="A44" t="str">
        <f>IF(Master!$M44&lt;&gt;"",Master!$E44 &amp; "","")</f>
        <v>Andrew Crosby</v>
      </c>
      <c r="B44" t="str">
        <f>IF(Master!$M44&lt;&gt;"",Master!$F44 &amp; "","")</f>
        <v>9217 N. Creek Ln</v>
      </c>
      <c r="C44" t="str">
        <f>IF(Master!$M44&lt;&gt;"",Master!$J44 &amp; "","")</f>
        <v>Centerville, OH 45458</v>
      </c>
    </row>
    <row r="45" spans="1:3" ht="15" customHeight="1" x14ac:dyDescent="0.25">
      <c r="A45" t="str">
        <f>IF(Master!$M45&lt;&gt;"",Master!$E45 &amp; "","")</f>
        <v>Noah Curtis</v>
      </c>
      <c r="B45" t="str">
        <f>IF(Master!$M45&lt;&gt;"",Master!$F45 &amp; "","")</f>
        <v>116 St. Rt 350</v>
      </c>
      <c r="C45" t="str">
        <f>IF(Master!$M45&lt;&gt;"",Master!$J45 &amp; "","")</f>
        <v>Cuba, OH 45177</v>
      </c>
    </row>
    <row r="46" spans="1:3" ht="15" customHeight="1" x14ac:dyDescent="0.25">
      <c r="A46" t="str">
        <f>IF(Master!$M46&lt;&gt;"",Master!$E46 &amp; "","")</f>
        <v>Vada Daniels</v>
      </c>
      <c r="B46" t="str">
        <f>IF(Master!$M46&lt;&gt;"",Master!$F46 &amp; "","")</f>
        <v>2008 Pacer Trail</v>
      </c>
      <c r="C46" t="str">
        <f>IF(Master!$M46&lt;&gt;"",Master!$J46 &amp; "","")</f>
        <v>Beavercreek Twn, OH 45434</v>
      </c>
    </row>
    <row r="47" spans="1:3" ht="15" customHeight="1" x14ac:dyDescent="0.25">
      <c r="A47" t="str">
        <f>IF(Master!$M47&lt;&gt;"",Master!$E47 &amp; "","")</f>
        <v/>
      </c>
      <c r="B47" t="str">
        <f>IF(Master!$M47&lt;&gt;"",Master!$F47 &amp; "","")</f>
        <v/>
      </c>
      <c r="C47" t="str">
        <f>IF(Master!$M47&lt;&gt;"",Master!$J47 &amp; "","")</f>
        <v/>
      </c>
    </row>
    <row r="48" spans="1:3" ht="15" customHeight="1" x14ac:dyDescent="0.25">
      <c r="A48" t="str">
        <f>IF(Master!$M48&lt;&gt;"",Master!$E48 &amp; "","")</f>
        <v>Ian Davis</v>
      </c>
      <c r="B48" t="str">
        <f>IF(Master!$M48&lt;&gt;"",Master!$F48 &amp; "","")</f>
        <v>5260 Vermadale Drive</v>
      </c>
      <c r="C48" t="str">
        <f>IF(Master!$M48&lt;&gt;"",Master!$J48 &amp; "","")</f>
        <v>Dayton, OH 45429</v>
      </c>
    </row>
    <row r="49" spans="1:3" ht="15" customHeight="1" x14ac:dyDescent="0.25">
      <c r="A49" t="str">
        <f>IF(Master!$M49&lt;&gt;"",Master!$E49 &amp; "","")</f>
        <v>Payson Davis</v>
      </c>
      <c r="B49" t="str">
        <f>IF(Master!$M49&lt;&gt;"",Master!$F49 &amp; "","")</f>
        <v>743 Woodspring Ct</v>
      </c>
      <c r="C49" t="str">
        <f>IF(Master!$M49&lt;&gt;"",Master!$J49 &amp; "","")</f>
        <v>Beavercreek, OH 45430</v>
      </c>
    </row>
    <row r="50" spans="1:3" ht="15" customHeight="1" x14ac:dyDescent="0.25">
      <c r="A50" t="str">
        <f>IF(Master!$M50&lt;&gt;"",Master!$E50 &amp; "","")</f>
        <v>Nolan DeGrazia</v>
      </c>
      <c r="B50" t="str">
        <f>IF(Master!$M50&lt;&gt;"",Master!$F50 &amp; "","")</f>
        <v/>
      </c>
      <c r="C50" t="str">
        <f>IF(Master!$M50&lt;&gt;"",Master!$J50 &amp; "","")</f>
        <v/>
      </c>
    </row>
    <row r="51" spans="1:3" ht="15" customHeight="1" x14ac:dyDescent="0.25">
      <c r="A51" t="str">
        <f>IF(Master!$M51&lt;&gt;"",Master!$E51 &amp; "","")</f>
        <v>Kendra Denlinger</v>
      </c>
      <c r="B51" t="str">
        <f>IF(Master!$M51&lt;&gt;"",Master!$F51 &amp; "","")</f>
        <v>2799 Emerald Way</v>
      </c>
      <c r="C51" t="str">
        <f>IF(Master!$M51&lt;&gt;"",Master!$J51 &amp; "","")</f>
        <v>Waynesville, OH 45068</v>
      </c>
    </row>
    <row r="52" spans="1:3" ht="15" customHeight="1" x14ac:dyDescent="0.25">
      <c r="A52" t="str">
        <f>IF(Master!$M52&lt;&gt;"",Master!$E52 &amp; "","")</f>
        <v>Ryan DeWine</v>
      </c>
      <c r="B52" t="str">
        <f>IF(Master!$M52&lt;&gt;"",Master!$F52 &amp; "","")</f>
        <v>6605-2 Brigham Sq</v>
      </c>
      <c r="C52" t="str">
        <f>IF(Master!$M52&lt;&gt;"",Master!$J52 &amp; "","")</f>
        <v>Centerville, OH 45459</v>
      </c>
    </row>
    <row r="53" spans="1:3" ht="15" customHeight="1" x14ac:dyDescent="0.25">
      <c r="A53" t="str">
        <f>IF(Master!$M53&lt;&gt;"",Master!$E53 &amp; "","")</f>
        <v>Brandon Dietsch</v>
      </c>
      <c r="B53" t="str">
        <f>IF(Master!$M53&lt;&gt;"",Master!$F53 &amp; "","")</f>
        <v>1452 Vanderlyn Ct.</v>
      </c>
      <c r="C53" t="str">
        <f>IF(Master!$M53&lt;&gt;"",Master!$J53 &amp; "","")</f>
        <v>Fairborn, OH 45324</v>
      </c>
    </row>
    <row r="54" spans="1:3" ht="15" customHeight="1" x14ac:dyDescent="0.25">
      <c r="A54" t="str">
        <f>IF(Master!$M54&lt;&gt;"",Master!$E54 &amp; "","")</f>
        <v/>
      </c>
      <c r="B54" t="str">
        <f>IF(Master!$M54&lt;&gt;"",Master!$F54 &amp; "","")</f>
        <v/>
      </c>
      <c r="C54" t="str">
        <f>IF(Master!$M54&lt;&gt;"",Master!$J54 &amp; "","")</f>
        <v/>
      </c>
    </row>
    <row r="55" spans="1:3" ht="15" customHeight="1" x14ac:dyDescent="0.25">
      <c r="A55" t="str">
        <f>IF(Master!$M55&lt;&gt;"",Master!$E55 &amp; "","")</f>
        <v>Matt Dorn</v>
      </c>
      <c r="B55" t="str">
        <f>IF(Master!$M55&lt;&gt;"",Master!$F55 &amp; "","")</f>
        <v>1483 Townhall</v>
      </c>
      <c r="C55" t="str">
        <f>IF(Master!$M55&lt;&gt;"",Master!$J55 &amp; "","")</f>
        <v>Beavercreek, OH 45434</v>
      </c>
    </row>
    <row r="56" spans="1:3" ht="15" customHeight="1" x14ac:dyDescent="0.25">
      <c r="A56" t="str">
        <f>IF(Master!$M56&lt;&gt;"",Master!$E56 &amp; "","")</f>
        <v>Laura Doroh</v>
      </c>
      <c r="B56" t="str">
        <f>IF(Master!$M56&lt;&gt;"",Master!$F56 &amp; "","")</f>
        <v>1564 Silverlake Dr</v>
      </c>
      <c r="C56" t="str">
        <f>IF(Master!$M56&lt;&gt;"",Master!$J56 &amp; "","")</f>
        <v>Dayton, OH 45458</v>
      </c>
    </row>
    <row r="57" spans="1:3" ht="15" customHeight="1" x14ac:dyDescent="0.25">
      <c r="A57" t="str">
        <f>IF(Master!$M57&lt;&gt;"",Master!$E57 &amp; "","")</f>
        <v>Will Drerup</v>
      </c>
      <c r="B57" t="str">
        <f>IF(Master!$M57&lt;&gt;"",Master!$F57 &amp; "","")</f>
        <v>2005 Indigo Trail</v>
      </c>
      <c r="C57" t="str">
        <f>IF(Master!$M57&lt;&gt;"",Master!$J57 &amp; "","")</f>
        <v>Centerville, OH 45459</v>
      </c>
    </row>
    <row r="58" spans="1:3" ht="15" customHeight="1" x14ac:dyDescent="0.25">
      <c r="A58" t="str">
        <f>IF(Master!$M58&lt;&gt;"",Master!$E58 &amp; "","")</f>
        <v>Nick Drewry</v>
      </c>
      <c r="B58" t="str">
        <f>IF(Master!$M58&lt;&gt;"",Master!$F58 &amp; "","")</f>
        <v>485 Evergreen Dr</v>
      </c>
      <c r="C58" t="str">
        <f>IF(Master!$M58&lt;&gt;"",Master!$J58 &amp; "","")</f>
        <v>Springboro, OH 45066</v>
      </c>
    </row>
    <row r="59" spans="1:3" ht="15" customHeight="1" x14ac:dyDescent="0.25">
      <c r="A59" t="str">
        <f>IF(Master!$M59&lt;&gt;"",Master!$E59 &amp; "","")</f>
        <v>Jack Duckro</v>
      </c>
      <c r="B59" t="str">
        <f>IF(Master!$M59&lt;&gt;"",Master!$F59 &amp; "","")</f>
        <v>3915 Elliot Ave</v>
      </c>
      <c r="C59" t="str">
        <f>IF(Master!$M59&lt;&gt;"",Master!$J59 &amp; "","")</f>
        <v>Dayton, OH 45420</v>
      </c>
    </row>
    <row r="60" spans="1:3" ht="15" customHeight="1" x14ac:dyDescent="0.25">
      <c r="A60" t="e">
        <f>IF(Master!#REF!&lt;&gt;"",Master!#REF! &amp; "","")</f>
        <v>#REF!</v>
      </c>
      <c r="B60" t="e">
        <f>IF(Master!#REF!&lt;&gt;"",Master!#REF! &amp; "","")</f>
        <v>#REF!</v>
      </c>
      <c r="C60" t="e">
        <f>IF(Master!#REF!&lt;&gt;"",Master!#REF! &amp; "","")</f>
        <v>#REF!</v>
      </c>
    </row>
    <row r="61" spans="1:3" ht="15" customHeight="1" x14ac:dyDescent="0.25">
      <c r="A61" t="e">
        <f>IF(Master!#REF!&lt;&gt;"",Master!#REF! &amp; "","")</f>
        <v>#REF!</v>
      </c>
      <c r="B61" t="e">
        <f>IF(Master!#REF!&lt;&gt;"",Master!#REF! &amp; "","")</f>
        <v>#REF!</v>
      </c>
      <c r="C61" t="e">
        <f>IF(Master!#REF!&lt;&gt;"",Master!#REF! &amp; "","")</f>
        <v>#REF!</v>
      </c>
    </row>
    <row r="62" spans="1:3" ht="15" customHeight="1" x14ac:dyDescent="0.25">
      <c r="A62" t="e">
        <f>IF(Master!#REF!&lt;&gt;"",Master!#REF! &amp; "","")</f>
        <v>#REF!</v>
      </c>
      <c r="B62" t="e">
        <f>IF(Master!#REF!&lt;&gt;"",Master!#REF! &amp; "","")</f>
        <v>#REF!</v>
      </c>
      <c r="C62" t="e">
        <f>IF(Master!#REF!&lt;&gt;"",Master!#REF! &amp; "","")</f>
        <v>#REF!</v>
      </c>
    </row>
    <row r="63" spans="1:3" ht="15" customHeight="1" x14ac:dyDescent="0.25">
      <c r="A63" t="str">
        <f>IF(Master!$M60&lt;&gt;"",Master!$E60 &amp; "","")</f>
        <v>Leighton Ellinger</v>
      </c>
      <c r="B63" t="str">
        <f>IF(Master!$M60&lt;&gt;"",Master!$F60 &amp; "","")</f>
        <v/>
      </c>
      <c r="C63" t="str">
        <f>IF(Master!$M60&lt;&gt;"",Master!$J60 &amp; "","")</f>
        <v/>
      </c>
    </row>
    <row r="64" spans="1:3" ht="15" customHeight="1" x14ac:dyDescent="0.25">
      <c r="A64" t="str">
        <f>IF(Master!$M61&lt;&gt;"",Master!$E61 &amp; "","")</f>
        <v/>
      </c>
      <c r="B64" t="str">
        <f>IF(Master!$M61&lt;&gt;"",Master!$F61 &amp; "","")</f>
        <v/>
      </c>
      <c r="C64" t="str">
        <f>IF(Master!$M61&lt;&gt;"",Master!$J61 &amp; "","")</f>
        <v/>
      </c>
    </row>
    <row r="65" spans="1:3" ht="15" customHeight="1" x14ac:dyDescent="0.25">
      <c r="A65" t="str">
        <f>IF(Master!$M62&lt;&gt;"",Master!$E62 &amp; "","")</f>
        <v/>
      </c>
      <c r="B65" t="str">
        <f>IF(Master!$M62&lt;&gt;"",Master!$F62 &amp; "","")</f>
        <v/>
      </c>
      <c r="C65" t="str">
        <f>IF(Master!$M62&lt;&gt;"",Master!$J62 &amp; "","")</f>
        <v/>
      </c>
    </row>
    <row r="66" spans="1:3" ht="15" customHeight="1" x14ac:dyDescent="0.25">
      <c r="A66" t="str">
        <f>IF(Master!$M63&lt;&gt;"",Master!$E63 &amp; "","")</f>
        <v>Jake Everson</v>
      </c>
      <c r="B66" t="str">
        <f>IF(Master!$M63&lt;&gt;"",Master!$F63 &amp; "","")</f>
        <v>2509 Emerald Way</v>
      </c>
      <c r="C66" t="str">
        <f>IF(Master!$M63&lt;&gt;"",Master!$J63 &amp; "","")</f>
        <v>Waynesville, OH 45068</v>
      </c>
    </row>
    <row r="67" spans="1:3" ht="15" customHeight="1" x14ac:dyDescent="0.25">
      <c r="A67" t="str">
        <f>IF(Master!$M64&lt;&gt;"",Master!$E64 &amp; "","")</f>
        <v/>
      </c>
      <c r="B67" t="str">
        <f>IF(Master!$M64&lt;&gt;"",Master!$F64 &amp; "","")</f>
        <v/>
      </c>
      <c r="C67" t="str">
        <f>IF(Master!$M64&lt;&gt;"",Master!$J64 &amp; "","")</f>
        <v/>
      </c>
    </row>
    <row r="68" spans="1:3" ht="15" customHeight="1" x14ac:dyDescent="0.25">
      <c r="A68" t="str">
        <f>IF(Master!$M65&lt;&gt;"",Master!$E65 &amp; "","")</f>
        <v/>
      </c>
      <c r="B68" t="str">
        <f>IF(Master!$M65&lt;&gt;"",Master!$F65 &amp; "","")</f>
        <v/>
      </c>
      <c r="C68" t="str">
        <f>IF(Master!$M65&lt;&gt;"",Master!$J65 &amp; "","")</f>
        <v/>
      </c>
    </row>
    <row r="69" spans="1:3" ht="15" customHeight="1" x14ac:dyDescent="0.25">
      <c r="A69" t="str">
        <f>IF(Master!$M66&lt;&gt;"",Master!$E66 &amp; "","")</f>
        <v/>
      </c>
      <c r="B69" t="str">
        <f>IF(Master!$M66&lt;&gt;"",Master!$F66 &amp; "","")</f>
        <v/>
      </c>
      <c r="C69" t="str">
        <f>IF(Master!$M66&lt;&gt;"",Master!$J66 &amp; "","")</f>
        <v/>
      </c>
    </row>
    <row r="70" spans="1:3" ht="15" customHeight="1" x14ac:dyDescent="0.25">
      <c r="A70" t="str">
        <f>IF(Master!$M67&lt;&gt;"",Master!$E67 &amp; "","")</f>
        <v>Tracie Ferrara</v>
      </c>
      <c r="B70" t="str">
        <f>IF(Master!$M67&lt;&gt;"",Master!$F67 &amp; "","")</f>
        <v>1120 Belvo Estates Ct</v>
      </c>
      <c r="C70" t="str">
        <f>IF(Master!$M67&lt;&gt;"",Master!$J67 &amp; "","")</f>
        <v>Miamisburg, OH 45342</v>
      </c>
    </row>
    <row r="71" spans="1:3" ht="15" customHeight="1" x14ac:dyDescent="0.25">
      <c r="A71" t="str">
        <f>IF(Master!$M68&lt;&gt;"",Master!$E68 &amp; "","")</f>
        <v/>
      </c>
      <c r="B71" t="str">
        <f>IF(Master!$M68&lt;&gt;"",Master!$F68 &amp; "","")</f>
        <v/>
      </c>
      <c r="C71" t="str">
        <f>IF(Master!$M68&lt;&gt;"",Master!$J68 &amp; "","")</f>
        <v/>
      </c>
    </row>
    <row r="72" spans="1:3" ht="15" customHeight="1" x14ac:dyDescent="0.25">
      <c r="A72" t="str">
        <f>IF(Master!$M69&lt;&gt;"",Master!$E69 &amp; "","")</f>
        <v/>
      </c>
      <c r="B72" t="str">
        <f>IF(Master!$M69&lt;&gt;"",Master!$F69 &amp; "","")</f>
        <v/>
      </c>
      <c r="C72" t="str">
        <f>IF(Master!$M69&lt;&gt;"",Master!$J69 &amp; "","")</f>
        <v/>
      </c>
    </row>
    <row r="73" spans="1:3" ht="15" customHeight="1" x14ac:dyDescent="0.25">
      <c r="A73" t="str">
        <f>IF(Master!$M70&lt;&gt;"",Master!$E70 &amp; "","")</f>
        <v/>
      </c>
      <c r="B73" t="str">
        <f>IF(Master!$M70&lt;&gt;"",Master!$F70 &amp; "","")</f>
        <v/>
      </c>
      <c r="C73" t="str">
        <f>IF(Master!$M70&lt;&gt;"",Master!$J70 &amp; "","")</f>
        <v/>
      </c>
    </row>
    <row r="74" spans="1:3" ht="15" customHeight="1" x14ac:dyDescent="0.25">
      <c r="A74" t="str">
        <f>IF(Master!$M71&lt;&gt;"",Master!$E71 &amp; "","")</f>
        <v/>
      </c>
      <c r="B74" t="str">
        <f>IF(Master!$M71&lt;&gt;"",Master!$F71 &amp; "","")</f>
        <v/>
      </c>
      <c r="C74" t="str">
        <f>IF(Master!$M71&lt;&gt;"",Master!$J71 &amp; "","")</f>
        <v/>
      </c>
    </row>
    <row r="75" spans="1:3" ht="15" customHeight="1" x14ac:dyDescent="0.25">
      <c r="A75" t="str">
        <f>IF(Master!$M72&lt;&gt;"",Master!$E72 &amp; "","")</f>
        <v/>
      </c>
      <c r="B75" t="str">
        <f>IF(Master!$M72&lt;&gt;"",Master!$F72 &amp; "","")</f>
        <v/>
      </c>
      <c r="C75" t="str">
        <f>IF(Master!$M72&lt;&gt;"",Master!$J72 &amp; "","")</f>
        <v/>
      </c>
    </row>
    <row r="76" spans="1:3" ht="15" customHeight="1" x14ac:dyDescent="0.25">
      <c r="A76" t="str">
        <f>IF(Master!$M73&lt;&gt;"",Master!$E73 &amp; "","")</f>
        <v/>
      </c>
      <c r="B76" t="str">
        <f>IF(Master!$M73&lt;&gt;"",Master!$F73 &amp; "","")</f>
        <v/>
      </c>
      <c r="C76" t="str">
        <f>IF(Master!$M73&lt;&gt;"",Master!$J73 &amp; "","")</f>
        <v/>
      </c>
    </row>
    <row r="77" spans="1:3" ht="15" customHeight="1" x14ac:dyDescent="0.25">
      <c r="A77" t="str">
        <f>IF(Master!$M74&lt;&gt;"",Master!$E74 &amp; "","")</f>
        <v>Blane Gallagher</v>
      </c>
      <c r="B77" t="str">
        <f>IF(Master!$M74&lt;&gt;"",Master!$F74 &amp; "","")</f>
        <v/>
      </c>
      <c r="C77" t="str">
        <f>IF(Master!$M74&lt;&gt;"",Master!$J74 &amp; "","")</f>
        <v/>
      </c>
    </row>
    <row r="78" spans="1:3" ht="15" customHeight="1" x14ac:dyDescent="0.25">
      <c r="A78" t="str">
        <f>IF(Master!$M75&lt;&gt;"",Master!$E75 &amp; "","")</f>
        <v>Julianne Gillespie</v>
      </c>
      <c r="B78" t="str">
        <f>IF(Master!$M75&lt;&gt;"",Master!$F75 &amp; "","")</f>
        <v>929 Malone Ave</v>
      </c>
      <c r="C78" t="str">
        <f>IF(Master!$M75&lt;&gt;"",Master!$J75 &amp; "","")</f>
        <v>Kettering, OH 45429</v>
      </c>
    </row>
    <row r="79" spans="1:3" ht="15" customHeight="1" x14ac:dyDescent="0.25">
      <c r="A79" t="str">
        <f>IF(Master!$M76&lt;&gt;"",Master!$E76 &amp; "","")</f>
        <v>Avery Gillette</v>
      </c>
      <c r="B79" t="str">
        <f>IF(Master!$M76&lt;&gt;"",Master!$F76 &amp; "","")</f>
        <v>625 Saddlewood Ave</v>
      </c>
      <c r="C79" t="str">
        <f>IF(Master!$M76&lt;&gt;"",Master!$J76 &amp; "","")</f>
        <v>Centerville, OH 45459</v>
      </c>
    </row>
    <row r="80" spans="1:3" ht="15" customHeight="1" x14ac:dyDescent="0.25">
      <c r="A80" t="str">
        <f>IF(Master!$M77&lt;&gt;"",Master!$E77 &amp; "","")</f>
        <v>Ella Gillette</v>
      </c>
      <c r="B80" t="str">
        <f>IF(Master!$M77&lt;&gt;"",Master!$F77 &amp; "","")</f>
        <v>625 Saddlewood Ave</v>
      </c>
      <c r="C80" t="str">
        <f>IF(Master!$M77&lt;&gt;"",Master!$J77 &amp; "","")</f>
        <v>Centerville, OH 45459</v>
      </c>
    </row>
    <row r="81" spans="1:3" ht="15" customHeight="1" x14ac:dyDescent="0.25">
      <c r="A81" t="str">
        <f>IF(Master!$M78&lt;&gt;"",Master!$E78 &amp; "","")</f>
        <v>Killian Gillette</v>
      </c>
      <c r="B81" t="str">
        <f>IF(Master!$M78&lt;&gt;"",Master!$F78 &amp; "","")</f>
        <v>625 Saddlewood Ave</v>
      </c>
      <c r="C81" t="str">
        <f>IF(Master!$M78&lt;&gt;"",Master!$J78 &amp; "","")</f>
        <v>Centerville, OH 45459</v>
      </c>
    </row>
    <row r="82" spans="1:3" ht="15" customHeight="1" x14ac:dyDescent="0.25">
      <c r="A82" t="str">
        <f>IF(Master!$M79&lt;&gt;"",Master!$E79 &amp; "","")</f>
        <v/>
      </c>
      <c r="B82" t="str">
        <f>IF(Master!$M79&lt;&gt;"",Master!$F79 &amp; "","")</f>
        <v/>
      </c>
      <c r="C82" t="str">
        <f>IF(Master!$M79&lt;&gt;"",Master!$J79 &amp; "","")</f>
        <v/>
      </c>
    </row>
    <row r="83" spans="1:3" ht="15" customHeight="1" x14ac:dyDescent="0.25">
      <c r="A83" t="str">
        <f>IF(Master!$M80&lt;&gt;"",Master!$E80 &amp; "","")</f>
        <v/>
      </c>
      <c r="B83" t="str">
        <f>IF(Master!$M80&lt;&gt;"",Master!$F80 &amp; "","")</f>
        <v/>
      </c>
      <c r="C83" t="str">
        <f>IF(Master!$M80&lt;&gt;"",Master!$J80 &amp; "","")</f>
        <v/>
      </c>
    </row>
    <row r="84" spans="1:3" ht="15" customHeight="1" x14ac:dyDescent="0.25">
      <c r="A84" t="str">
        <f>IF(Master!$M81&lt;&gt;"",Master!$E81 &amp; "","")</f>
        <v>Matthew Greely</v>
      </c>
      <c r="B84" t="str">
        <f>IF(Master!$M81&lt;&gt;"",Master!$F81 &amp; "","")</f>
        <v>10119 Washington Church Rd</v>
      </c>
      <c r="C84" t="str">
        <f>IF(Master!$M81&lt;&gt;"",Master!$J81 &amp; "","")</f>
        <v>Miamisburg, OH 45342</v>
      </c>
    </row>
    <row r="85" spans="1:3" ht="15" customHeight="1" x14ac:dyDescent="0.25">
      <c r="A85" t="str">
        <f>IF(Master!$M82&lt;&gt;"",Master!$E82 &amp; "","")</f>
        <v/>
      </c>
      <c r="B85" t="str">
        <f>IF(Master!$M82&lt;&gt;"",Master!$F82 &amp; "","")</f>
        <v/>
      </c>
      <c r="C85" t="str">
        <f>IF(Master!$M82&lt;&gt;"",Master!$J82 &amp; "","")</f>
        <v/>
      </c>
    </row>
    <row r="86" spans="1:3" ht="15" customHeight="1" x14ac:dyDescent="0.25">
      <c r="A86" t="str">
        <f>IF(Master!$M83&lt;&gt;"",Master!$E83 &amp; "","")</f>
        <v>Nora Grimsley</v>
      </c>
      <c r="B86" t="str">
        <f>IF(Master!$M83&lt;&gt;"",Master!$F83 &amp; "","")</f>
        <v/>
      </c>
      <c r="C86" t="str">
        <f>IF(Master!$M83&lt;&gt;"",Master!$J83 &amp; "","")</f>
        <v/>
      </c>
    </row>
    <row r="87" spans="1:3" ht="15" customHeight="1" x14ac:dyDescent="0.25">
      <c r="A87" t="str">
        <f>IF(Master!$M84&lt;&gt;"",Master!$E84 &amp; "","")</f>
        <v/>
      </c>
      <c r="B87" t="str">
        <f>IF(Master!$M84&lt;&gt;"",Master!$F84 &amp; "","")</f>
        <v/>
      </c>
      <c r="C87" t="str">
        <f>IF(Master!$M84&lt;&gt;"",Master!$J84 &amp; "","")</f>
        <v/>
      </c>
    </row>
    <row r="88" spans="1:3" ht="15" customHeight="1" x14ac:dyDescent="0.25">
      <c r="A88" t="str">
        <f>IF(Master!$M85&lt;&gt;"",Master!$E85 &amp; "","")</f>
        <v>Zayn Hahn</v>
      </c>
      <c r="B88" t="str">
        <f>IF(Master!$M85&lt;&gt;"",Master!$F85 &amp; "","")</f>
        <v>5950 Chambersburg Rd</v>
      </c>
      <c r="C88" t="str">
        <f>IF(Master!$M85&lt;&gt;"",Master!$J85 &amp; "","")</f>
        <v>Dayton, OH 45424</v>
      </c>
    </row>
    <row r="89" spans="1:3" ht="15" customHeight="1" x14ac:dyDescent="0.25">
      <c r="A89" t="str">
        <f>IF(Master!$M87&lt;&gt;"",Master!$E87 &amp; "","")</f>
        <v/>
      </c>
      <c r="B89" t="str">
        <f>IF(Master!$M87&lt;&gt;"",Master!$F87 &amp; "","")</f>
        <v/>
      </c>
      <c r="C89" t="str">
        <f>IF(Master!$M87&lt;&gt;"",Master!$J87 &amp; "","")</f>
        <v/>
      </c>
    </row>
    <row r="90" spans="1:3" ht="15" customHeight="1" x14ac:dyDescent="0.25">
      <c r="A90" t="str">
        <f>IF(Master!$M88&lt;&gt;"",Master!$E88 &amp; "","")</f>
        <v/>
      </c>
      <c r="B90" t="str">
        <f>IF(Master!$M88&lt;&gt;"",Master!$F88 &amp; "","")</f>
        <v/>
      </c>
      <c r="C90" t="str">
        <f>IF(Master!$M88&lt;&gt;"",Master!$J88 &amp; "","")</f>
        <v/>
      </c>
    </row>
    <row r="91" spans="1:3" ht="15" customHeight="1" x14ac:dyDescent="0.25">
      <c r="A91" t="str">
        <f>IF(Master!$M89&lt;&gt;"",Master!$E89 &amp; "","")</f>
        <v/>
      </c>
      <c r="B91" t="str">
        <f>IF(Master!$M89&lt;&gt;"",Master!$F89 &amp; "","")</f>
        <v/>
      </c>
      <c r="C91" t="str">
        <f>IF(Master!$M89&lt;&gt;"",Master!$J89 &amp; "","")</f>
        <v/>
      </c>
    </row>
    <row r="92" spans="1:3" ht="15" customHeight="1" x14ac:dyDescent="0.25">
      <c r="A92" t="str">
        <f>IF(Master!$M90&lt;&gt;"",Master!$E90 &amp; "","")</f>
        <v>Neil Heller</v>
      </c>
      <c r="B92" t="str">
        <f>IF(Master!$M90&lt;&gt;"",Master!$F90 &amp; "","")</f>
        <v>1148 Cloverfield Ave</v>
      </c>
      <c r="C92" t="str">
        <f>IF(Master!$M90&lt;&gt;"",Master!$J90 &amp; "","")</f>
        <v>Kettering, OH 45429</v>
      </c>
    </row>
    <row r="93" spans="1:3" ht="15" customHeight="1" x14ac:dyDescent="0.25">
      <c r="A93" t="str">
        <f>IF(Master!$M91&lt;&gt;"",Master!$E91 &amp; "","")</f>
        <v>Cody Heyne</v>
      </c>
      <c r="B93" t="str">
        <f>IF(Master!$M91&lt;&gt;"",Master!$F91 &amp; "","")</f>
        <v>8282 Rhine Way</v>
      </c>
      <c r="C93" t="str">
        <f>IF(Master!$M91&lt;&gt;"",Master!$J91 &amp; "","")</f>
        <v>Centerville, OH 45458</v>
      </c>
    </row>
    <row r="94" spans="1:3" ht="15" customHeight="1" x14ac:dyDescent="0.25">
      <c r="A94" t="str">
        <f>IF(Master!$M93&lt;&gt;"",Master!$E93 &amp; "","")</f>
        <v>Nicolas Heyne</v>
      </c>
      <c r="B94" t="str">
        <f>IF(Master!$M93&lt;&gt;"",Master!$F93 &amp; "","")</f>
        <v>8282 Rhine Way</v>
      </c>
      <c r="C94" t="str">
        <f>IF(Master!$M93&lt;&gt;"",Master!$J93 &amp; "","")</f>
        <v>Centerville, OH 45458</v>
      </c>
    </row>
    <row r="95" spans="1:3" ht="15" customHeight="1" x14ac:dyDescent="0.25">
      <c r="A95" t="str">
        <f>IF(Master!$M94&lt;&gt;"",Master!$E94 &amp; "","")</f>
        <v>Alexander Holecek</v>
      </c>
      <c r="B95" t="str">
        <f>IF(Master!$M94&lt;&gt;"",Master!$F94 &amp; "","")</f>
        <v/>
      </c>
      <c r="C95" t="str">
        <f>IF(Master!$M94&lt;&gt;"",Master!$J94 &amp; "","")</f>
        <v/>
      </c>
    </row>
    <row r="96" spans="1:3" ht="15" customHeight="1" x14ac:dyDescent="0.25">
      <c r="A96" t="str">
        <f>IF(Master!$M95&lt;&gt;"",Master!$E95 &amp; "","")</f>
        <v>Kenley Holtz</v>
      </c>
      <c r="B96" t="str">
        <f>IF(Master!$M95&lt;&gt;"",Master!$F95 &amp; "","")</f>
        <v>197 Poinciana Dr</v>
      </c>
      <c r="C96" t="str">
        <f>IF(Master!$M95&lt;&gt;"",Master!$J95 &amp; "","")</f>
        <v>Centerville, OH 45459</v>
      </c>
    </row>
    <row r="97" spans="1:3" ht="15" customHeight="1" x14ac:dyDescent="0.25">
      <c r="A97" t="str">
        <f>IF(Master!$M96&lt;&gt;"",Master!$E96 &amp; "","")</f>
        <v/>
      </c>
      <c r="B97" t="str">
        <f>IF(Master!$M96&lt;&gt;"",Master!$F96 &amp; "","")</f>
        <v/>
      </c>
      <c r="C97" t="str">
        <f>IF(Master!$M96&lt;&gt;"",Master!$J96 &amp; "","")</f>
        <v/>
      </c>
    </row>
    <row r="98" spans="1:3" ht="15" customHeight="1" x14ac:dyDescent="0.25">
      <c r="A98" t="str">
        <f>IF(Master!$M97&lt;&gt;"",Master!$E97 &amp; "","")</f>
        <v>Mikey Hoptry</v>
      </c>
      <c r="B98" t="str">
        <f>IF(Master!$M97&lt;&gt;"",Master!$F97 &amp; "","")</f>
        <v/>
      </c>
      <c r="C98" t="str">
        <f>IF(Master!$M97&lt;&gt;"",Master!$J97 &amp; "","")</f>
        <v/>
      </c>
    </row>
    <row r="99" spans="1:3" ht="15" customHeight="1" x14ac:dyDescent="0.25">
      <c r="A99" t="str">
        <f>IF(Master!$M98&lt;&gt;"",Master!$E98 &amp; "","")</f>
        <v/>
      </c>
      <c r="B99" t="str">
        <f>IF(Master!$M98&lt;&gt;"",Master!$F98 &amp; "","")</f>
        <v/>
      </c>
      <c r="C99" t="str">
        <f>IF(Master!$M98&lt;&gt;"",Master!$J98 &amp; "","")</f>
        <v/>
      </c>
    </row>
    <row r="100" spans="1:3" ht="15" customHeight="1" x14ac:dyDescent="0.25">
      <c r="A100" t="str">
        <f>IF(Master!$M99&lt;&gt;"",Master!$E99 &amp; "","")</f>
        <v>Alexander Horton</v>
      </c>
      <c r="B100" t="str">
        <f>IF(Master!$M99&lt;&gt;"",Master!$F99 &amp; "","")</f>
        <v>1362 Hickoryview</v>
      </c>
      <c r="C100" t="str">
        <f>IF(Master!$M99&lt;&gt;"",Master!$J99 &amp; "","")</f>
        <v>Dayton, OH 45458</v>
      </c>
    </row>
    <row r="101" spans="1:3" ht="15" customHeight="1" x14ac:dyDescent="0.25">
      <c r="A101" t="str">
        <f>IF(Master!$M100&lt;&gt;"",Master!$E100 &amp; "","")</f>
        <v/>
      </c>
      <c r="B101" t="str">
        <f>IF(Master!$M100&lt;&gt;"",Master!$F100 &amp; "","")</f>
        <v/>
      </c>
      <c r="C101" t="str">
        <f>IF(Master!$M100&lt;&gt;"",Master!$J100 &amp; "","")</f>
        <v/>
      </c>
    </row>
    <row r="102" spans="1:3" ht="15" customHeight="1" x14ac:dyDescent="0.25">
      <c r="A102" t="str">
        <f>IF(Master!$M101&lt;&gt;"",Master!$E101 &amp; "","")</f>
        <v/>
      </c>
      <c r="B102" t="str">
        <f>IF(Master!$M101&lt;&gt;"",Master!$F101 &amp; "","")</f>
        <v/>
      </c>
      <c r="C102" t="str">
        <f>IF(Master!$M101&lt;&gt;"",Master!$J101 &amp; "","")</f>
        <v/>
      </c>
    </row>
    <row r="103" spans="1:3" ht="15" customHeight="1" x14ac:dyDescent="0.25">
      <c r="A103" t="str">
        <f>IF(Master!$M102&lt;&gt;"",Master!$E102 &amp; "","")</f>
        <v>Corey Hume</v>
      </c>
      <c r="B103" t="str">
        <f>IF(Master!$M102&lt;&gt;"",Master!$F102 &amp; "","")</f>
        <v>2161 Hedge Gate Blvd</v>
      </c>
      <c r="C103" t="str">
        <f>IF(Master!$M102&lt;&gt;"",Master!$J102 &amp; "","")</f>
        <v>Beavercreek, OH 45431</v>
      </c>
    </row>
    <row r="104" spans="1:3" ht="15" customHeight="1" x14ac:dyDescent="0.25">
      <c r="A104" t="str">
        <f>IF(Master!$M103&lt;&gt;"",Master!$E103 &amp; "","")</f>
        <v>Skylar Hurley</v>
      </c>
      <c r="B104" t="str">
        <f>IF(Master!$M103&lt;&gt;"",Master!$F103 &amp; "","")</f>
        <v>110 Aspen Woods Sdrive</v>
      </c>
      <c r="C104" t="str">
        <f>IF(Master!$M103&lt;&gt;"",Master!$J103 &amp; "","")</f>
        <v>Springboro, OH 45066</v>
      </c>
    </row>
    <row r="105" spans="1:3" ht="15" customHeight="1" x14ac:dyDescent="0.25">
      <c r="A105" t="str">
        <f>IF(Master!$M104&lt;&gt;"",Master!$E104 &amp; "","")</f>
        <v>Jeffery Isbell</v>
      </c>
      <c r="B105" t="str">
        <f>IF(Master!$M104&lt;&gt;"",Master!$F104 &amp; "","")</f>
        <v/>
      </c>
      <c r="C105" t="str">
        <f>IF(Master!$M104&lt;&gt;"",Master!$J104 &amp; "","")</f>
        <v/>
      </c>
    </row>
    <row r="106" spans="1:3" ht="15" customHeight="1" x14ac:dyDescent="0.25">
      <c r="A106" t="str">
        <f>IF(Master!$M105&lt;&gt;"",Master!$E105 &amp; "","")</f>
        <v>Sophie Jackson</v>
      </c>
      <c r="B106" t="str">
        <f>IF(Master!$M105&lt;&gt;"",Master!$F105 &amp; "","")</f>
        <v>1303 Adams Way</v>
      </c>
      <c r="C106" t="str">
        <f>IF(Master!$M105&lt;&gt;"",Master!$J105 &amp; "","")</f>
        <v>Beavercreek, OH 45434</v>
      </c>
    </row>
    <row r="107" spans="1:3" ht="15" customHeight="1" x14ac:dyDescent="0.25">
      <c r="A107" t="str">
        <f>IF(Master!$M106&lt;&gt;"",Master!$E106 &amp; "","")</f>
        <v/>
      </c>
      <c r="B107" t="str">
        <f>IF(Master!$M106&lt;&gt;"",Master!$F106 &amp; "","")</f>
        <v/>
      </c>
      <c r="C107" t="str">
        <f>IF(Master!$M106&lt;&gt;"",Master!$J106 &amp; "","")</f>
        <v/>
      </c>
    </row>
    <row r="108" spans="1:3" ht="15" customHeight="1" x14ac:dyDescent="0.25">
      <c r="A108" t="str">
        <f>IF(Master!$M107&lt;&gt;"",Master!$E107 &amp; "","")</f>
        <v>Annie Jansen</v>
      </c>
      <c r="B108" t="str">
        <f>IF(Master!$M107&lt;&gt;"",Master!$F107 &amp; "","")</f>
        <v>606 Loxwood Dr</v>
      </c>
      <c r="C108" t="str">
        <f>IF(Master!$M107&lt;&gt;"",Master!$J107 &amp; "","")</f>
        <v>Centerville, OH 45458</v>
      </c>
    </row>
    <row r="109" spans="1:3" ht="15" customHeight="1" x14ac:dyDescent="0.25">
      <c r="A109" t="str">
        <f>IF(Master!$M108&lt;&gt;"",Master!$E108 &amp; "","")</f>
        <v>Micah Jegede</v>
      </c>
      <c r="B109" t="str">
        <f>IF(Master!$M108&lt;&gt;"",Master!$F108 &amp; "","")</f>
        <v/>
      </c>
      <c r="C109" t="str">
        <f>IF(Master!$M108&lt;&gt;"",Master!$J108 &amp; "","")</f>
        <v/>
      </c>
    </row>
    <row r="110" spans="1:3" ht="15" customHeight="1" x14ac:dyDescent="0.25">
      <c r="A110" t="str">
        <f>IF(Master!$M109&lt;&gt;"",Master!$E109 &amp; "","")</f>
        <v/>
      </c>
      <c r="B110" t="str">
        <f>IF(Master!$M109&lt;&gt;"",Master!$F109 &amp; "","")</f>
        <v/>
      </c>
      <c r="C110" t="str">
        <f>IF(Master!$M109&lt;&gt;"",Master!$J109 &amp; "","")</f>
        <v/>
      </c>
    </row>
    <row r="111" spans="1:3" ht="15" customHeight="1" x14ac:dyDescent="0.25">
      <c r="A111" t="str">
        <f>IF(Master!$M110&lt;&gt;"",Master!$E110 &amp; "","")</f>
        <v/>
      </c>
      <c r="B111" t="str">
        <f>IF(Master!$M110&lt;&gt;"",Master!$F110 &amp; "","")</f>
        <v/>
      </c>
      <c r="C111" t="str">
        <f>IF(Master!$M110&lt;&gt;"",Master!$J110 &amp; "","")</f>
        <v/>
      </c>
    </row>
    <row r="112" spans="1:3" ht="15" customHeight="1" x14ac:dyDescent="0.25">
      <c r="A112" t="str">
        <f>IF(Master!$M111&lt;&gt;"",Master!$E111 &amp; "","")</f>
        <v>Everett Jones</v>
      </c>
      <c r="B112" t="str">
        <f>IF(Master!$M111&lt;&gt;"",Master!$F111 &amp; "","")</f>
        <v/>
      </c>
      <c r="C112" t="str">
        <f>IF(Master!$M111&lt;&gt;"",Master!$J111 &amp; "","")</f>
        <v/>
      </c>
    </row>
    <row r="113" spans="1:3" ht="15" customHeight="1" x14ac:dyDescent="0.25">
      <c r="A113" t="str">
        <f>IF(Master!$M112&lt;&gt;"",Master!$E112 &amp; "","")</f>
        <v xml:space="preserve">Korey Joseph </v>
      </c>
      <c r="B113" t="str">
        <f>IF(Master!$M112&lt;&gt;"",Master!$F112 &amp; "","")</f>
        <v>1116 Oxford State Rd</v>
      </c>
      <c r="C113" t="str">
        <f>IF(Master!$M112&lt;&gt;"",Master!$J112 &amp; "","")</f>
        <v>Middletown, OH 45044</v>
      </c>
    </row>
    <row r="114" spans="1:3" ht="15" customHeight="1" x14ac:dyDescent="0.25">
      <c r="A114" t="str">
        <f>IF(Master!$M113&lt;&gt;"",Master!$E113 &amp; "","")</f>
        <v/>
      </c>
      <c r="B114" t="str">
        <f>IF(Master!$M113&lt;&gt;"",Master!$F113 &amp; "","")</f>
        <v/>
      </c>
      <c r="C114" t="str">
        <f>IF(Master!$M113&lt;&gt;"",Master!$J113 &amp; "","")</f>
        <v/>
      </c>
    </row>
    <row r="115" spans="1:3" ht="15" customHeight="1" x14ac:dyDescent="0.25">
      <c r="A115" t="str">
        <f>IF(Master!$M114&lt;&gt;"",Master!$E114 &amp; "","")</f>
        <v>Trent Kapfhammer</v>
      </c>
      <c r="B115" t="str">
        <f>IF(Master!$M114&lt;&gt;"",Master!$F114 &amp; "","")</f>
        <v/>
      </c>
      <c r="C115" t="str">
        <f>IF(Master!$M114&lt;&gt;"",Master!$J114 &amp; "","")</f>
        <v/>
      </c>
    </row>
    <row r="116" spans="1:3" ht="15" customHeight="1" x14ac:dyDescent="0.25">
      <c r="A116" t="str">
        <f>IF(Master!$M115&lt;&gt;"",Master!$E115 &amp; "","")</f>
        <v>Diane Georgia Kesner</v>
      </c>
      <c r="B116" t="str">
        <f>IF(Master!$M115&lt;&gt;"",Master!$F115 &amp; "","")</f>
        <v/>
      </c>
      <c r="C116" t="str">
        <f>IF(Master!$M115&lt;&gt;"",Master!$J115 &amp; "","")</f>
        <v/>
      </c>
    </row>
    <row r="117" spans="1:3" ht="15" customHeight="1" x14ac:dyDescent="0.25">
      <c r="A117" t="str">
        <f>IF(Master!$M116&lt;&gt;"",Master!$E116 &amp; "","")</f>
        <v/>
      </c>
      <c r="B117" t="str">
        <f>IF(Master!$M116&lt;&gt;"",Master!$F116 &amp; "","")</f>
        <v/>
      </c>
      <c r="C117" t="str">
        <f>IF(Master!$M116&lt;&gt;"",Master!$J116 &amp; "","")</f>
        <v/>
      </c>
    </row>
    <row r="118" spans="1:3" ht="15" customHeight="1" x14ac:dyDescent="0.25">
      <c r="A118" t="str">
        <f>IF(Master!$M117&lt;&gt;"",Master!$E117 &amp; "","")</f>
        <v/>
      </c>
      <c r="B118" t="str">
        <f>IF(Master!$M117&lt;&gt;"",Master!$F117 &amp; "","")</f>
        <v/>
      </c>
      <c r="C118" t="str">
        <f>IF(Master!$M117&lt;&gt;"",Master!$J117 &amp; "","")</f>
        <v/>
      </c>
    </row>
    <row r="119" spans="1:3" ht="15" customHeight="1" x14ac:dyDescent="0.25">
      <c r="A119" t="str">
        <f>IF(Master!$M118&lt;&gt;"",Master!$E118 &amp; "","")</f>
        <v>Keaton Kinney</v>
      </c>
      <c r="B119" t="str">
        <f>IF(Master!$M118&lt;&gt;"",Master!$F118 &amp; "","")</f>
        <v/>
      </c>
      <c r="C119" t="str">
        <f>IF(Master!$M118&lt;&gt;"",Master!$J118 &amp; "","")</f>
        <v/>
      </c>
    </row>
    <row r="120" spans="1:3" ht="15" customHeight="1" x14ac:dyDescent="0.25">
      <c r="A120" t="str">
        <f>IF(Master!$M119&lt;&gt;"",Master!$E119 &amp; "","")</f>
        <v/>
      </c>
      <c r="B120" t="str">
        <f>IF(Master!$M119&lt;&gt;"",Master!$F119 &amp; "","")</f>
        <v/>
      </c>
      <c r="C120" t="str">
        <f>IF(Master!$M119&lt;&gt;"",Master!$J119 &amp; "","")</f>
        <v/>
      </c>
    </row>
    <row r="121" spans="1:3" ht="15" customHeight="1" x14ac:dyDescent="0.25">
      <c r="A121" t="str">
        <f>IF(Master!$M120&lt;&gt;"",Master!$E120 &amp; "","")</f>
        <v/>
      </c>
      <c r="B121" t="str">
        <f>IF(Master!$M120&lt;&gt;"",Master!$F120 &amp; "","")</f>
        <v/>
      </c>
      <c r="C121" t="str">
        <f>IF(Master!$M120&lt;&gt;"",Master!$J120 &amp; "","")</f>
        <v/>
      </c>
    </row>
    <row r="122" spans="1:3" ht="15" customHeight="1" x14ac:dyDescent="0.25">
      <c r="A122" t="str">
        <f>IF(Master!$M121&lt;&gt;"",Master!$E121 &amp; "","")</f>
        <v/>
      </c>
      <c r="B122" t="str">
        <f>IF(Master!$M121&lt;&gt;"",Master!$F121 &amp; "","")</f>
        <v/>
      </c>
      <c r="C122" t="str">
        <f>IF(Master!$M121&lt;&gt;"",Master!$J121 &amp; "","")</f>
        <v/>
      </c>
    </row>
    <row r="123" spans="1:3" ht="15" customHeight="1" x14ac:dyDescent="0.25">
      <c r="A123" t="str">
        <f>IF(Master!$M122&lt;&gt;"",Master!$E122 &amp; "","")</f>
        <v/>
      </c>
      <c r="B123" t="str">
        <f>IF(Master!$M122&lt;&gt;"",Master!$F122 &amp; "","")</f>
        <v/>
      </c>
      <c r="C123" t="str">
        <f>IF(Master!$M122&lt;&gt;"",Master!$J122 &amp; "","")</f>
        <v/>
      </c>
    </row>
    <row r="124" spans="1:3" ht="15" customHeight="1" x14ac:dyDescent="0.25">
      <c r="A124" t="str">
        <f>IF(Master!$M123&lt;&gt;"",Master!$E123 &amp; "","")</f>
        <v/>
      </c>
      <c r="B124" t="str">
        <f>IF(Master!$M123&lt;&gt;"",Master!$F123 &amp; "","")</f>
        <v/>
      </c>
      <c r="C124" t="str">
        <f>IF(Master!$M123&lt;&gt;"",Master!$J123 &amp; "","")</f>
        <v/>
      </c>
    </row>
    <row r="125" spans="1:3" ht="15" customHeight="1" x14ac:dyDescent="0.25">
      <c r="A125" t="str">
        <f>IF(Master!$M124&lt;&gt;"",Master!$E124 &amp; "","")</f>
        <v>Elliot Ladd</v>
      </c>
      <c r="B125" t="str">
        <f>IF(Master!$M124&lt;&gt;"",Master!$F124 &amp; "","")</f>
        <v>290 Pinecone Dr</v>
      </c>
      <c r="C125" t="str">
        <f>IF(Master!$M124&lt;&gt;"",Master!$J124 &amp; "","")</f>
        <v>Springboro, OH 45066</v>
      </c>
    </row>
    <row r="126" spans="1:3" ht="15" customHeight="1" x14ac:dyDescent="0.25">
      <c r="A126" t="str">
        <f>IF(Master!$M125&lt;&gt;"",Master!$E125 &amp; "","")</f>
        <v>Cade LaFontsee</v>
      </c>
      <c r="B126" t="str">
        <f>IF(Master!$M125&lt;&gt;"",Master!$F125 &amp; "","")</f>
        <v/>
      </c>
      <c r="C126" t="str">
        <f>IF(Master!$M125&lt;&gt;"",Master!$J125 &amp; "","")</f>
        <v/>
      </c>
    </row>
    <row r="127" spans="1:3" ht="15" customHeight="1" x14ac:dyDescent="0.25">
      <c r="A127" t="str">
        <f>IF(Master!$M127&lt;&gt;"",Master!$E127 &amp; "","")</f>
        <v>Madison Landers</v>
      </c>
      <c r="B127" t="str">
        <f>IF(Master!$M127&lt;&gt;"",Master!$F127 &amp; "","")</f>
        <v>115 Gulfwood Ct</v>
      </c>
      <c r="C127" t="str">
        <f>IF(Master!$M127&lt;&gt;"",Master!$J127 &amp; "","")</f>
        <v>Dayton, OH 45458</v>
      </c>
    </row>
    <row r="128" spans="1:3" ht="15" customHeight="1" x14ac:dyDescent="0.25">
      <c r="A128" t="str">
        <f>IF(Master!$M128&lt;&gt;"",Master!$E128 &amp; "","")</f>
        <v/>
      </c>
      <c r="B128" t="str">
        <f>IF(Master!$M128&lt;&gt;"",Master!$F128 &amp; "","")</f>
        <v/>
      </c>
      <c r="C128" t="str">
        <f>IF(Master!$M128&lt;&gt;"",Master!$J128 &amp; "","")</f>
        <v/>
      </c>
    </row>
    <row r="129" spans="1:3" ht="15" customHeight="1" x14ac:dyDescent="0.25">
      <c r="A129" t="str">
        <f>IF(Master!$M129&lt;&gt;"",Master!$E129 &amp; "","")</f>
        <v/>
      </c>
      <c r="B129" t="str">
        <f>IF(Master!$M129&lt;&gt;"",Master!$F129 &amp; "","")</f>
        <v/>
      </c>
      <c r="C129" t="str">
        <f>IF(Master!$M129&lt;&gt;"",Master!$J129 &amp; "","")</f>
        <v/>
      </c>
    </row>
    <row r="130" spans="1:3" ht="15" customHeight="1" x14ac:dyDescent="0.25">
      <c r="A130" t="str">
        <f>IF(Master!$M130&lt;&gt;"",Master!$E130 &amp; "","")</f>
        <v/>
      </c>
      <c r="B130" t="str">
        <f>IF(Master!$M130&lt;&gt;"",Master!$F130 &amp; "","")</f>
        <v/>
      </c>
      <c r="C130" t="str">
        <f>IF(Master!$M130&lt;&gt;"",Master!$J130 &amp; "","")</f>
        <v/>
      </c>
    </row>
    <row r="131" spans="1:3" ht="15" customHeight="1" x14ac:dyDescent="0.25">
      <c r="A131" t="str">
        <f>IF(Master!$M131&lt;&gt;"",Master!$E131 &amp; "","")</f>
        <v/>
      </c>
      <c r="B131" t="str">
        <f>IF(Master!$M131&lt;&gt;"",Master!$F131 &amp; "","")</f>
        <v/>
      </c>
      <c r="C131" t="str">
        <f>IF(Master!$M131&lt;&gt;"",Master!$J131 &amp; "","")</f>
        <v/>
      </c>
    </row>
    <row r="132" spans="1:3" ht="15" customHeight="1" x14ac:dyDescent="0.25">
      <c r="A132" t="str">
        <f>IF(Master!$M132&lt;&gt;"",Master!$E132 &amp; "","")</f>
        <v/>
      </c>
      <c r="B132" t="str">
        <f>IF(Master!$M132&lt;&gt;"",Master!$F132 &amp; "","")</f>
        <v/>
      </c>
      <c r="C132" t="str">
        <f>IF(Master!$M132&lt;&gt;"",Master!$J132 &amp; "","")</f>
        <v/>
      </c>
    </row>
    <row r="133" spans="1:3" ht="15" customHeight="1" x14ac:dyDescent="0.25">
      <c r="A133" t="str">
        <f>IF(Master!$M133&lt;&gt;"",Master!$E133 &amp; "","")</f>
        <v/>
      </c>
      <c r="B133" t="str">
        <f>IF(Master!$M133&lt;&gt;"",Master!$F133 &amp; "","")</f>
        <v/>
      </c>
      <c r="C133" t="str">
        <f>IF(Master!$M133&lt;&gt;"",Master!$J133 &amp; "","")</f>
        <v/>
      </c>
    </row>
    <row r="134" spans="1:3" ht="15" customHeight="1" x14ac:dyDescent="0.25">
      <c r="A134" t="str">
        <f>IF(Master!$M134&lt;&gt;"",Master!$E134 &amp; "","")</f>
        <v/>
      </c>
      <c r="B134" t="str">
        <f>IF(Master!$M134&lt;&gt;"",Master!$F134 &amp; "","")</f>
        <v/>
      </c>
      <c r="C134" t="str">
        <f>IF(Master!$M134&lt;&gt;"",Master!$J134 &amp; "","")</f>
        <v/>
      </c>
    </row>
    <row r="135" spans="1:3" ht="15" customHeight="1" x14ac:dyDescent="0.25">
      <c r="A135" t="str">
        <f>IF(Master!$M135&lt;&gt;"",Master!$E135 &amp; "","")</f>
        <v/>
      </c>
      <c r="B135" t="str">
        <f>IF(Master!$M135&lt;&gt;"",Master!$F135 &amp; "","")</f>
        <v/>
      </c>
      <c r="C135" t="str">
        <f>IF(Master!$M135&lt;&gt;"",Master!$J135 &amp; "","")</f>
        <v/>
      </c>
    </row>
    <row r="136" spans="1:3" ht="15" customHeight="1" x14ac:dyDescent="0.25">
      <c r="A136" t="str">
        <f>IF(Master!$M136&lt;&gt;"",Master!$E136 &amp; "","")</f>
        <v>Bodey Maher</v>
      </c>
      <c r="B136" t="str">
        <f>IF(Master!$M136&lt;&gt;"",Master!$F136 &amp; "","")</f>
        <v/>
      </c>
      <c r="C136" t="str">
        <f>IF(Master!$M136&lt;&gt;"",Master!$J136 &amp; "","")</f>
        <v/>
      </c>
    </row>
    <row r="137" spans="1:3" ht="15" customHeight="1" x14ac:dyDescent="0.25">
      <c r="A137" t="str">
        <f>IF(Master!$M137&lt;&gt;"",Master!$E137 &amp; "","")</f>
        <v/>
      </c>
      <c r="B137" t="str">
        <f>IF(Master!$M137&lt;&gt;"",Master!$F137 &amp; "","")</f>
        <v/>
      </c>
      <c r="C137" t="str">
        <f>IF(Master!$M137&lt;&gt;"",Master!$J137 &amp; "","")</f>
        <v/>
      </c>
    </row>
    <row r="138" spans="1:3" ht="15" customHeight="1" x14ac:dyDescent="0.25">
      <c r="A138" t="str">
        <f>IF(Master!$M138&lt;&gt;"",Master!$E138 &amp; "","")</f>
        <v/>
      </c>
      <c r="B138" t="str">
        <f>IF(Master!$M138&lt;&gt;"",Master!$F138 &amp; "","")</f>
        <v/>
      </c>
      <c r="C138" t="str">
        <f>IF(Master!$M138&lt;&gt;"",Master!$J138 &amp; "","")</f>
        <v/>
      </c>
    </row>
    <row r="139" spans="1:3" ht="15" customHeight="1" x14ac:dyDescent="0.25">
      <c r="A139" t="str">
        <f>IF(Master!$M139&lt;&gt;"",Master!$E139 &amp; "","")</f>
        <v/>
      </c>
      <c r="B139" t="str">
        <f>IF(Master!$M139&lt;&gt;"",Master!$F139 &amp; "","")</f>
        <v/>
      </c>
      <c r="C139" t="str">
        <f>IF(Master!$M139&lt;&gt;"",Master!$J139 &amp; "","")</f>
        <v/>
      </c>
    </row>
    <row r="140" spans="1:3" ht="15" customHeight="1" x14ac:dyDescent="0.25">
      <c r="A140" t="str">
        <f>IF(Master!$M140&lt;&gt;"",Master!$E140 &amp; "","")</f>
        <v/>
      </c>
      <c r="B140" t="str">
        <f>IF(Master!$M140&lt;&gt;"",Master!$F140 &amp; "","")</f>
        <v/>
      </c>
      <c r="C140" t="str">
        <f>IF(Master!$M140&lt;&gt;"",Master!$J140 &amp; "","")</f>
        <v/>
      </c>
    </row>
    <row r="141" spans="1:3" ht="15" customHeight="1" x14ac:dyDescent="0.25">
      <c r="A141" t="str">
        <f>IF(Master!$M141&lt;&gt;"",Master!$E141 &amp; "","")</f>
        <v/>
      </c>
      <c r="B141" t="str">
        <f>IF(Master!$M141&lt;&gt;"",Master!$F141 &amp; "","")</f>
        <v/>
      </c>
      <c r="C141" t="str">
        <f>IF(Master!$M141&lt;&gt;"",Master!$J141 &amp; "","")</f>
        <v/>
      </c>
    </row>
    <row r="142" spans="1:3" ht="15" customHeight="1" x14ac:dyDescent="0.25">
      <c r="A142" t="str">
        <f>IF(Master!$M142&lt;&gt;"",Master!$E142 &amp; "","")</f>
        <v>Aaron Marshall</v>
      </c>
      <c r="B142" t="str">
        <f>IF(Master!$M142&lt;&gt;"",Master!$F142 &amp; "","")</f>
        <v>1161 Yankee Woods Dr</v>
      </c>
      <c r="C142" t="str">
        <f>IF(Master!$M142&lt;&gt;"",Master!$J142 &amp; "","")</f>
        <v>Centerville, OH 45458</v>
      </c>
    </row>
    <row r="143" spans="1:3" ht="15" customHeight="1" x14ac:dyDescent="0.25">
      <c r="A143" t="str">
        <f>IF(Master!$M143&lt;&gt;"",Master!$E143 &amp; "","")</f>
        <v>Ian Mauersberg</v>
      </c>
      <c r="B143" t="str">
        <f>IF(Master!$M143&lt;&gt;"",Master!$F143 &amp; "","")</f>
        <v>1200 Oakwood Ave</v>
      </c>
      <c r="C143" t="str">
        <f>IF(Master!$M143&lt;&gt;"",Master!$J143 &amp; "","")</f>
        <v>Oakwood, OH 45419</v>
      </c>
    </row>
    <row r="144" spans="1:3" ht="15" customHeight="1" x14ac:dyDescent="0.25">
      <c r="A144" t="str">
        <f>IF(Master!$M144&lt;&gt;"",Master!$E144 &amp; "","")</f>
        <v>Carly McCall</v>
      </c>
      <c r="B144" t="str">
        <f>IF(Master!$M144&lt;&gt;"",Master!$F144 &amp; "","")</f>
        <v>4740 Eagleview Dr</v>
      </c>
      <c r="C144" t="str">
        <f>IF(Master!$M144&lt;&gt;"",Master!$J144 &amp; "","")</f>
        <v>Kettering, OH 45429</v>
      </c>
    </row>
    <row r="145" spans="1:3" ht="15" customHeight="1" x14ac:dyDescent="0.25">
      <c r="A145" t="str">
        <f>IF(Master!$M145&lt;&gt;"",Master!$E145 &amp; "","")</f>
        <v/>
      </c>
      <c r="B145" t="str">
        <f>IF(Master!$M145&lt;&gt;"",Master!$F145 &amp; "","")</f>
        <v/>
      </c>
      <c r="C145" t="str">
        <f>IF(Master!$M145&lt;&gt;"",Master!$J145 &amp; "","")</f>
        <v/>
      </c>
    </row>
    <row r="146" spans="1:3" ht="15" customHeight="1" x14ac:dyDescent="0.25">
      <c r="A146" t="str">
        <f>IF(Master!$M146&lt;&gt;"",Master!$E146 &amp; "","")</f>
        <v/>
      </c>
      <c r="B146" t="str">
        <f>IF(Master!$M146&lt;&gt;"",Master!$F146 &amp; "","")</f>
        <v/>
      </c>
      <c r="C146" t="str">
        <f>IF(Master!$M146&lt;&gt;"",Master!$J146 &amp; "","")</f>
        <v/>
      </c>
    </row>
    <row r="147" spans="1:3" ht="15" customHeight="1" x14ac:dyDescent="0.25">
      <c r="A147" t="str">
        <f>IF(Master!$M147&lt;&gt;"",Master!$E147 &amp; "","")</f>
        <v/>
      </c>
      <c r="B147" t="str">
        <f>IF(Master!$M147&lt;&gt;"",Master!$F147 &amp; "","")</f>
        <v/>
      </c>
      <c r="C147" t="str">
        <f>IF(Master!$M147&lt;&gt;"",Master!$J147 &amp; "","")</f>
        <v/>
      </c>
    </row>
    <row r="148" spans="1:3" ht="15" customHeight="1" x14ac:dyDescent="0.25">
      <c r="A148" t="str">
        <f>IF(Master!$M148&lt;&gt;"",Master!$E148 &amp; "","")</f>
        <v>Charlotte McKinnson</v>
      </c>
      <c r="B148" t="str">
        <f>IF(Master!$M148&lt;&gt;"",Master!$F148 &amp; "","")</f>
        <v/>
      </c>
      <c r="C148" t="str">
        <f>IF(Master!$M148&lt;&gt;"",Master!$J148 &amp; "","")</f>
        <v/>
      </c>
    </row>
    <row r="149" spans="1:3" ht="15" customHeight="1" x14ac:dyDescent="0.25">
      <c r="A149" t="str">
        <f>IF(Master!$M149&lt;&gt;"",Master!$E149 &amp; "","")</f>
        <v/>
      </c>
      <c r="B149" t="str">
        <f>IF(Master!$M149&lt;&gt;"",Master!$F149 &amp; "","")</f>
        <v/>
      </c>
      <c r="C149" t="str">
        <f>IF(Master!$M149&lt;&gt;"",Master!$J149 &amp; "","")</f>
        <v/>
      </c>
    </row>
    <row r="150" spans="1:3" ht="15" customHeight="1" x14ac:dyDescent="0.25">
      <c r="A150" t="str">
        <f>IF(Master!$M150&lt;&gt;"",Master!$E150 &amp; "","")</f>
        <v>Benji Mezera</v>
      </c>
      <c r="B150" t="str">
        <f>IF(Master!$M150&lt;&gt;"",Master!$F150 &amp; "","")</f>
        <v/>
      </c>
      <c r="C150" t="str">
        <f>IF(Master!$M150&lt;&gt;"",Master!$J150 &amp; "","")</f>
        <v/>
      </c>
    </row>
    <row r="151" spans="1:3" ht="15" customHeight="1" x14ac:dyDescent="0.25">
      <c r="A151" t="str">
        <f>IF(Master!$M151&lt;&gt;"",Master!$E151 &amp; "","")</f>
        <v>Hudsen Millen</v>
      </c>
      <c r="B151" t="str">
        <f>IF(Master!$M151&lt;&gt;"",Master!$F151 &amp; "","")</f>
        <v/>
      </c>
      <c r="C151" t="str">
        <f>IF(Master!$M151&lt;&gt;"",Master!$J151 &amp; "","")</f>
        <v/>
      </c>
    </row>
    <row r="152" spans="1:3" ht="15" customHeight="1" x14ac:dyDescent="0.25">
      <c r="A152" t="str">
        <f>IF(Master!$M152&lt;&gt;"",Master!$E152 &amp; "","")</f>
        <v>Jayla Miller</v>
      </c>
      <c r="B152" t="str">
        <f>IF(Master!$M152&lt;&gt;"",Master!$F152 &amp; "","")</f>
        <v/>
      </c>
      <c r="C152" t="str">
        <f>IF(Master!$M152&lt;&gt;"",Master!$J152 &amp; "","")</f>
        <v/>
      </c>
    </row>
    <row r="153" spans="1:3" ht="15" customHeight="1" x14ac:dyDescent="0.25">
      <c r="A153" t="str">
        <f>IF(Master!$M153&lt;&gt;"",Master!$E153 &amp; "","")</f>
        <v>Alan Millhouse</v>
      </c>
      <c r="B153" t="str">
        <f>IF(Master!$M153&lt;&gt;"",Master!$F153 &amp; "","")</f>
        <v>921 Ashcreek Dr</v>
      </c>
      <c r="C153" t="str">
        <f>IF(Master!$M153&lt;&gt;"",Master!$J153 &amp; "","")</f>
        <v>Centerville, OH 45458</v>
      </c>
    </row>
    <row r="154" spans="1:3" ht="15" customHeight="1" x14ac:dyDescent="0.25">
      <c r="A154" t="str">
        <f>IF(Master!$M154&lt;&gt;"",Master!$E154 &amp; "","")</f>
        <v/>
      </c>
      <c r="B154" t="str">
        <f>IF(Master!$M154&lt;&gt;"",Master!$F154 &amp; "","")</f>
        <v/>
      </c>
      <c r="C154" t="str">
        <f>IF(Master!$M154&lt;&gt;"",Master!$J154 &amp; "","")</f>
        <v/>
      </c>
    </row>
    <row r="155" spans="1:3" ht="15" customHeight="1" x14ac:dyDescent="0.25">
      <c r="A155" t="str">
        <f>IF(Master!$M155&lt;&gt;"",Master!$E155 &amp; "","")</f>
        <v>Dalton Mitchell</v>
      </c>
      <c r="B155" t="str">
        <f>IF(Master!$M155&lt;&gt;"",Master!$F155 &amp; "","")</f>
        <v/>
      </c>
      <c r="C155" t="str">
        <f>IF(Master!$M155&lt;&gt;"",Master!$J155 &amp; "","")</f>
        <v/>
      </c>
    </row>
    <row r="156" spans="1:3" ht="15" customHeight="1" x14ac:dyDescent="0.25">
      <c r="A156" t="str">
        <f>IF(Master!$M156&lt;&gt;"",Master!$E156 &amp; "","")</f>
        <v/>
      </c>
      <c r="B156" t="str">
        <f>IF(Master!$M156&lt;&gt;"",Master!$F156 &amp; "","")</f>
        <v/>
      </c>
      <c r="C156" t="str">
        <f>IF(Master!$M156&lt;&gt;"",Master!$J156 &amp; "","")</f>
        <v/>
      </c>
    </row>
    <row r="157" spans="1:3" ht="15" customHeight="1" x14ac:dyDescent="0.25">
      <c r="A157" t="str">
        <f>IF(Master!$M157&lt;&gt;"",Master!$E157 &amp; "","")</f>
        <v>Penelope Mogollon-Faris</v>
      </c>
      <c r="B157" t="str">
        <f>IF(Master!$M157&lt;&gt;"",Master!$F157 &amp; "","")</f>
        <v>807 St. Nicholas Ave</v>
      </c>
      <c r="C157" t="str">
        <f>IF(Master!$M157&lt;&gt;"",Master!$J157 &amp; "","")</f>
        <v>Dayton, OH 45410</v>
      </c>
    </row>
    <row r="158" spans="1:3" ht="15" customHeight="1" x14ac:dyDescent="0.25">
      <c r="A158" t="str">
        <f>IF(Master!$M158&lt;&gt;"",Master!$E158 &amp; "","")</f>
        <v>Owen Moore</v>
      </c>
      <c r="B158" t="str">
        <f>IF(Master!$M158&lt;&gt;"",Master!$F158 &amp; "","")</f>
        <v>600 Grand Wood Court</v>
      </c>
      <c r="C158" t="str">
        <f>IF(Master!$M158&lt;&gt;"",Master!$J158 &amp; "","")</f>
        <v>Springboro, OH 45066</v>
      </c>
    </row>
    <row r="159" spans="1:3" ht="15" customHeight="1" x14ac:dyDescent="0.25">
      <c r="A159" t="str">
        <f>IF(Master!$M159&lt;&gt;"",Master!$E159 &amp; "","")</f>
        <v/>
      </c>
      <c r="B159" t="str">
        <f>IF(Master!$M159&lt;&gt;"",Master!$F159 &amp; "","")</f>
        <v/>
      </c>
      <c r="C159" t="str">
        <f>IF(Master!$M159&lt;&gt;"",Master!$J159 &amp; "","")</f>
        <v/>
      </c>
    </row>
    <row r="160" spans="1:3" ht="15" customHeight="1" x14ac:dyDescent="0.25">
      <c r="A160" t="str">
        <f>IF(Master!$M160&lt;&gt;"",Master!$E160 &amp; "","")</f>
        <v/>
      </c>
      <c r="B160" t="str">
        <f>IF(Master!$M160&lt;&gt;"",Master!$F160 &amp; "","")</f>
        <v/>
      </c>
      <c r="C160" t="str">
        <f>IF(Master!$M160&lt;&gt;"",Master!$J160 &amp; "","")</f>
        <v/>
      </c>
    </row>
    <row r="161" spans="1:3" ht="15" customHeight="1" x14ac:dyDescent="0.25">
      <c r="A161" t="str">
        <f>IF(Master!$M161&lt;&gt;"",Master!$E161 &amp; "","")</f>
        <v>Joe Nartker</v>
      </c>
      <c r="B161" t="str">
        <f>IF(Master!$M161&lt;&gt;"",Master!$F161 &amp; "","")</f>
        <v>1180 Club Cir</v>
      </c>
      <c r="C161" t="str">
        <f>IF(Master!$M161&lt;&gt;"",Master!$J161 &amp; "","")</f>
        <v>Centerville, OH 45459</v>
      </c>
    </row>
    <row r="162" spans="1:3" ht="15" customHeight="1" x14ac:dyDescent="0.25">
      <c r="A162" t="str">
        <f>IF(Master!$M162&lt;&gt;"",Master!$E162 &amp; "","")</f>
        <v/>
      </c>
      <c r="B162" t="str">
        <f>IF(Master!$M162&lt;&gt;"",Master!$F162 &amp; "","")</f>
        <v/>
      </c>
      <c r="C162" t="str">
        <f>IF(Master!$M162&lt;&gt;"",Master!$J162 &amp; "","")</f>
        <v/>
      </c>
    </row>
    <row r="163" spans="1:3" ht="15" customHeight="1" x14ac:dyDescent="0.25">
      <c r="A163" t="str">
        <f>IF(Master!$M163&lt;&gt;"",Master!$E163 &amp; "","")</f>
        <v/>
      </c>
      <c r="B163" t="str">
        <f>IF(Master!$M163&lt;&gt;"",Master!$F163 &amp; "","")</f>
        <v/>
      </c>
      <c r="C163" t="str">
        <f>IF(Master!$M163&lt;&gt;"",Master!$J163 &amp; "","")</f>
        <v/>
      </c>
    </row>
    <row r="164" spans="1:3" ht="15" customHeight="1" x14ac:dyDescent="0.25">
      <c r="A164" t="str">
        <f>IF(Master!$M164&lt;&gt;"",Master!$E164 &amp; "","")</f>
        <v>Gemma Nessler</v>
      </c>
      <c r="B164" t="str">
        <f>IF(Master!$M164&lt;&gt;"",Master!$F164 &amp; "","")</f>
        <v>2968 Station House Way</v>
      </c>
      <c r="C164" t="str">
        <f>IF(Master!$M164&lt;&gt;"",Master!$J164 &amp; "","")</f>
        <v>Waynesville, OH 45068</v>
      </c>
    </row>
    <row r="165" spans="1:3" ht="15" customHeight="1" x14ac:dyDescent="0.25">
      <c r="A165" t="str">
        <f>IF(Master!$M165&lt;&gt;"",Master!$E165 &amp; "","")</f>
        <v>Shanae Nicholes</v>
      </c>
      <c r="B165" t="str">
        <f>IF(Master!$M165&lt;&gt;"",Master!$F165 &amp; "","")</f>
        <v>2011 La Grange Rd</v>
      </c>
      <c r="C165" t="str">
        <f>IF(Master!$M165&lt;&gt;"",Master!$J165 &amp; "","")</f>
        <v>Dayton, OH 45431</v>
      </c>
    </row>
    <row r="166" spans="1:3" ht="15" customHeight="1" x14ac:dyDescent="0.25">
      <c r="A166" t="str">
        <f>IF(Master!$M166&lt;&gt;"",Master!$E166 &amp; "","")</f>
        <v>Patrick O'Brien</v>
      </c>
      <c r="B166" t="str">
        <f>IF(Master!$M166&lt;&gt;"",Master!$F166 &amp; "","")</f>
        <v>192 Laurel Oak Ct</v>
      </c>
      <c r="C166" t="str">
        <f>IF(Master!$M166&lt;&gt;"",Master!$J166 &amp; "","")</f>
        <v>Centerville, OH 45459</v>
      </c>
    </row>
    <row r="167" spans="1:3" ht="15" customHeight="1" x14ac:dyDescent="0.25">
      <c r="A167" t="str">
        <f>IF(Master!$M167&lt;&gt;"",Master!$E167 &amp; "","")</f>
        <v/>
      </c>
      <c r="B167" t="str">
        <f>IF(Master!$M167&lt;&gt;"",Master!$F167 &amp; "","")</f>
        <v/>
      </c>
      <c r="C167" t="str">
        <f>IF(Master!$M167&lt;&gt;"",Master!$J167 &amp; "","")</f>
        <v/>
      </c>
    </row>
    <row r="168" spans="1:3" ht="15" customHeight="1" x14ac:dyDescent="0.25">
      <c r="A168" t="str">
        <f>IF(Master!$M168&lt;&gt;"",Master!$E168 &amp; "","")</f>
        <v/>
      </c>
      <c r="B168" t="str">
        <f>IF(Master!$M168&lt;&gt;"",Master!$F168 &amp; "","")</f>
        <v/>
      </c>
      <c r="C168" t="str">
        <f>IF(Master!$M168&lt;&gt;"",Master!$J168 &amp; "","")</f>
        <v/>
      </c>
    </row>
    <row r="169" spans="1:3" ht="15" customHeight="1" x14ac:dyDescent="0.25">
      <c r="A169" t="str">
        <f>IF(Master!$M169&lt;&gt;"",Master!$E169 &amp; "","")</f>
        <v/>
      </c>
      <c r="B169" t="str">
        <f>IF(Master!$M169&lt;&gt;"",Master!$F169 &amp; "","")</f>
        <v/>
      </c>
      <c r="C169" t="str">
        <f>IF(Master!$M169&lt;&gt;"",Master!$J169 &amp; "","")</f>
        <v/>
      </c>
    </row>
    <row r="170" spans="1:3" ht="15" customHeight="1" x14ac:dyDescent="0.25">
      <c r="A170" t="str">
        <f>IF(Master!$M170&lt;&gt;"",Master!$E170 &amp; "","")</f>
        <v>Mallory O'Neill</v>
      </c>
      <c r="B170" t="str">
        <f>IF(Master!$M170&lt;&gt;"",Master!$F170 &amp; "","")</f>
        <v>10223 Morgan Grey Ct.</v>
      </c>
      <c r="C170" t="str">
        <f>IF(Master!$M170&lt;&gt;"",Master!$J170 &amp; "","")</f>
        <v>Washington Twp, OH 45458</v>
      </c>
    </row>
    <row r="171" spans="1:3" ht="15" customHeight="1" x14ac:dyDescent="0.25">
      <c r="A171" t="str">
        <f>IF(Master!$M171&lt;&gt;"",Master!$E171 &amp; "","")</f>
        <v/>
      </c>
      <c r="B171" t="str">
        <f>IF(Master!$M171&lt;&gt;"",Master!$F171 &amp; "","")</f>
        <v/>
      </c>
      <c r="C171" t="str">
        <f>IF(Master!$M171&lt;&gt;"",Master!$J171 &amp; "","")</f>
        <v/>
      </c>
    </row>
    <row r="172" spans="1:3" ht="15" customHeight="1" x14ac:dyDescent="0.25">
      <c r="A172" t="str">
        <f>IF(Master!$M172&lt;&gt;"",Master!$E172 &amp; "","")</f>
        <v>Benny Pate</v>
      </c>
      <c r="B172" t="str">
        <f>IF(Master!$M172&lt;&gt;"",Master!$F172 &amp; "","")</f>
        <v/>
      </c>
      <c r="C172" t="str">
        <f>IF(Master!$M172&lt;&gt;"",Master!$J172 &amp; "","")</f>
        <v/>
      </c>
    </row>
    <row r="173" spans="1:3" ht="15" customHeight="1" x14ac:dyDescent="0.25">
      <c r="A173" t="str">
        <f>IF(Master!$M173&lt;&gt;"",Master!$E173 &amp; "","")</f>
        <v/>
      </c>
      <c r="B173" t="str">
        <f>IF(Master!$M173&lt;&gt;"",Master!$F173 &amp; "","")</f>
        <v/>
      </c>
      <c r="C173" t="str">
        <f>IF(Master!$M173&lt;&gt;"",Master!$J173 &amp; "","")</f>
        <v/>
      </c>
    </row>
    <row r="174" spans="1:3" ht="15" customHeight="1" x14ac:dyDescent="0.25">
      <c r="A174" t="str">
        <f>IF(Master!$M174&lt;&gt;"",Master!$E174 &amp; "","")</f>
        <v>Jaiven Pattson</v>
      </c>
      <c r="B174" t="str">
        <f>IF(Master!$M174&lt;&gt;"",Master!$F174 &amp; "","")</f>
        <v/>
      </c>
      <c r="C174" t="str">
        <f>IF(Master!$M174&lt;&gt;"",Master!$J174 &amp; "","")</f>
        <v/>
      </c>
    </row>
    <row r="175" spans="1:3" ht="15" customHeight="1" x14ac:dyDescent="0.25">
      <c r="A175" t="str">
        <f>IF(Master!$M175&lt;&gt;"",Master!$E175 &amp; "","")</f>
        <v/>
      </c>
      <c r="B175" t="str">
        <f>IF(Master!$M175&lt;&gt;"",Master!$F175 &amp; "","")</f>
        <v/>
      </c>
      <c r="C175" t="str">
        <f>IF(Master!$M175&lt;&gt;"",Master!$J175 &amp; "","")</f>
        <v/>
      </c>
    </row>
    <row r="176" spans="1:3" ht="15" customHeight="1" x14ac:dyDescent="0.25">
      <c r="A176" t="str">
        <f>IF(Master!$M176&lt;&gt;"",Master!$E176 &amp; "","")</f>
        <v>Kylie Peters</v>
      </c>
      <c r="B176" t="str">
        <f>IF(Master!$M176&lt;&gt;"",Master!$F176 &amp; "","")</f>
        <v>8847 Washington Colony Dr</v>
      </c>
      <c r="C176" t="str">
        <f>IF(Master!$M176&lt;&gt;"",Master!$J176 &amp; "","")</f>
        <v>Centerville, OH 45458</v>
      </c>
    </row>
    <row r="177" spans="1:3" ht="15" customHeight="1" x14ac:dyDescent="0.25">
      <c r="A177" t="str">
        <f>IF(Master!$M177&lt;&gt;"",Master!$E177 &amp; "","")</f>
        <v/>
      </c>
      <c r="B177" t="str">
        <f>IF(Master!$M177&lt;&gt;"",Master!$F177 &amp; "","")</f>
        <v/>
      </c>
      <c r="C177" t="str">
        <f>IF(Master!$M177&lt;&gt;"",Master!$J177 &amp; "","")</f>
        <v/>
      </c>
    </row>
    <row r="178" spans="1:3" ht="15" customHeight="1" x14ac:dyDescent="0.25">
      <c r="A178" t="str">
        <f>IF(Master!$M178&lt;&gt;"",Master!$E178 &amp; "","")</f>
        <v>Lukas Pickett</v>
      </c>
      <c r="B178" t="str">
        <f>IF(Master!$M178&lt;&gt;"",Master!$F178 &amp; "","")</f>
        <v>108 N. 9th Street</v>
      </c>
      <c r="C178" t="str">
        <f>IF(Master!$M178&lt;&gt;"",Master!$J178 &amp; "","")</f>
        <v>Miamisburg, OH 45342</v>
      </c>
    </row>
    <row r="179" spans="1:3" ht="15" customHeight="1" x14ac:dyDescent="0.25">
      <c r="A179" t="str">
        <f>IF(Master!$M179&lt;&gt;"",Master!$E179 &amp; "","")</f>
        <v/>
      </c>
      <c r="B179" t="str">
        <f>IF(Master!$M179&lt;&gt;"",Master!$F179 &amp; "","")</f>
        <v/>
      </c>
      <c r="C179" t="str">
        <f>IF(Master!$M179&lt;&gt;"",Master!$J179 &amp; "","")</f>
        <v/>
      </c>
    </row>
    <row r="180" spans="1:3" ht="15" customHeight="1" x14ac:dyDescent="0.25">
      <c r="A180" t="str">
        <f>IF(Master!$M180&lt;&gt;"",Master!$E180 &amp; "","")</f>
        <v/>
      </c>
      <c r="B180" t="str">
        <f>IF(Master!$M180&lt;&gt;"",Master!$F180 &amp; "","")</f>
        <v/>
      </c>
      <c r="C180" t="str">
        <f>IF(Master!$M180&lt;&gt;"",Master!$J180 &amp; "","")</f>
        <v/>
      </c>
    </row>
    <row r="181" spans="1:3" ht="15" customHeight="1" x14ac:dyDescent="0.25">
      <c r="A181" t="str">
        <f>IF(Master!$M181&lt;&gt;"",Master!$E181 &amp; "","")</f>
        <v/>
      </c>
      <c r="B181" t="str">
        <f>IF(Master!$M181&lt;&gt;"",Master!$F181 &amp; "","")</f>
        <v/>
      </c>
      <c r="C181" t="str">
        <f>IF(Master!$M181&lt;&gt;"",Master!$J181 &amp; "","")</f>
        <v/>
      </c>
    </row>
    <row r="182" spans="1:3" ht="15" customHeight="1" x14ac:dyDescent="0.25">
      <c r="A182" t="str">
        <f>IF(Master!$M182&lt;&gt;"",Master!$E182 &amp; "","")</f>
        <v/>
      </c>
      <c r="B182" t="str">
        <f>IF(Master!$M182&lt;&gt;"",Master!$F182 &amp; "","")</f>
        <v/>
      </c>
      <c r="C182" t="str">
        <f>IF(Master!$M182&lt;&gt;"",Master!$J182 &amp; "","")</f>
        <v/>
      </c>
    </row>
    <row r="183" spans="1:3" ht="15" customHeight="1" x14ac:dyDescent="0.25">
      <c r="A183" t="str">
        <f>IF(Master!$M183&lt;&gt;"",Master!$E183 &amp; "","")</f>
        <v/>
      </c>
      <c r="B183" t="str">
        <f>IF(Master!$M183&lt;&gt;"",Master!$F183 &amp; "","")</f>
        <v/>
      </c>
      <c r="C183" t="str">
        <f>IF(Master!$M183&lt;&gt;"",Master!$J183 &amp; "","")</f>
        <v/>
      </c>
    </row>
    <row r="184" spans="1:3" ht="15" customHeight="1" x14ac:dyDescent="0.25">
      <c r="A184" t="str">
        <f>IF(Master!$M184&lt;&gt;"",Master!$E184 &amp; "","")</f>
        <v/>
      </c>
      <c r="B184" t="str">
        <f>IF(Master!$M184&lt;&gt;"",Master!$F184 &amp; "","")</f>
        <v/>
      </c>
      <c r="C184" t="str">
        <f>IF(Master!$M184&lt;&gt;"",Master!$J184 &amp; "","")</f>
        <v/>
      </c>
    </row>
    <row r="185" spans="1:3" ht="15" customHeight="1" x14ac:dyDescent="0.25">
      <c r="A185" t="str">
        <f>IF(Master!$M186&lt;&gt;"",Master!$E186 &amp; "","")</f>
        <v>Levi Pullins</v>
      </c>
      <c r="B185" t="str">
        <f>IF(Master!$M186&lt;&gt;"",Master!$F186 &amp; "","")</f>
        <v/>
      </c>
      <c r="C185" t="str">
        <f>IF(Master!$M186&lt;&gt;"",Master!$J186 &amp; "","")</f>
        <v/>
      </c>
    </row>
    <row r="186" spans="1:3" ht="15" customHeight="1" x14ac:dyDescent="0.25">
      <c r="A186" t="str">
        <f>IF(Master!$M187&lt;&gt;"",Master!$E187 &amp; "","")</f>
        <v>Isa Rasheed</v>
      </c>
      <c r="B186" t="str">
        <f>IF(Master!$M187&lt;&gt;"",Master!$F187 &amp; "","")</f>
        <v/>
      </c>
      <c r="C186" t="str">
        <f>IF(Master!$M187&lt;&gt;"",Master!$J187 &amp; "","")</f>
        <v/>
      </c>
    </row>
    <row r="187" spans="1:3" ht="15" customHeight="1" x14ac:dyDescent="0.25">
      <c r="A187" t="str">
        <f>IF(Master!$M188&lt;&gt;"",Master!$E188 &amp; "","")</f>
        <v>Mason Reed</v>
      </c>
      <c r="B187" t="str">
        <f>IF(Master!$M188&lt;&gt;"",Master!$F188 &amp; "","")</f>
        <v/>
      </c>
      <c r="C187" t="str">
        <f>IF(Master!$M188&lt;&gt;"",Master!$J188 &amp; "","")</f>
        <v/>
      </c>
    </row>
    <row r="188" spans="1:3" ht="15" customHeight="1" x14ac:dyDescent="0.25">
      <c r="A188" t="str">
        <f>IF(Master!$M189&lt;&gt;"",Master!$E189 &amp; "","")</f>
        <v/>
      </c>
      <c r="B188" t="str">
        <f>IF(Master!$M189&lt;&gt;"",Master!$F189 &amp; "","")</f>
        <v/>
      </c>
      <c r="C188" t="str">
        <f>IF(Master!$M189&lt;&gt;"",Master!$J189 &amp; "","")</f>
        <v/>
      </c>
    </row>
    <row r="189" spans="1:3" ht="15" customHeight="1" x14ac:dyDescent="0.25">
      <c r="A189" t="str">
        <f>IF(Master!$M190&lt;&gt;"",Master!$E190 &amp; "","")</f>
        <v>Nathan Richardson</v>
      </c>
      <c r="B189" t="str">
        <f>IF(Master!$M190&lt;&gt;"",Master!$F190 &amp; "","")</f>
        <v/>
      </c>
      <c r="C189" t="str">
        <f>IF(Master!$M190&lt;&gt;"",Master!$J190 &amp; "","")</f>
        <v/>
      </c>
    </row>
    <row r="190" spans="1:3" ht="15" customHeight="1" x14ac:dyDescent="0.25">
      <c r="A190" t="str">
        <f>IF(Master!$M191&lt;&gt;"",Master!$E191 &amp; "","")</f>
        <v>Keira Richison</v>
      </c>
      <c r="B190" t="str">
        <f>IF(Master!$M191&lt;&gt;"",Master!$F191 &amp; "","")</f>
        <v>4631 ozark ave</v>
      </c>
      <c r="C190" t="str">
        <f>IF(Master!$M191&lt;&gt;"",Master!$J191 &amp; "","")</f>
        <v>Dayton, OH 45432</v>
      </c>
    </row>
    <row r="191" spans="1:3" ht="15" customHeight="1" x14ac:dyDescent="0.25">
      <c r="A191" t="str">
        <f>IF(Master!$M192&lt;&gt;"",Master!$E192 &amp; "","")</f>
        <v/>
      </c>
      <c r="B191" t="str">
        <f>IF(Master!$M192&lt;&gt;"",Master!$F192 &amp; "","")</f>
        <v/>
      </c>
      <c r="C191" t="str">
        <f>IF(Master!$M192&lt;&gt;"",Master!$J192 &amp; "","")</f>
        <v/>
      </c>
    </row>
    <row r="192" spans="1:3" ht="15" customHeight="1" x14ac:dyDescent="0.25">
      <c r="A192" t="str">
        <f>IF(Master!$M193&lt;&gt;"",Master!$E193 &amp; "","")</f>
        <v/>
      </c>
      <c r="B192" t="str">
        <f>IF(Master!$M193&lt;&gt;"",Master!$F193 &amp; "","")</f>
        <v/>
      </c>
      <c r="C192" t="str">
        <f>IF(Master!$M193&lt;&gt;"",Master!$J193 &amp; "","")</f>
        <v/>
      </c>
    </row>
    <row r="193" spans="1:3" ht="15" customHeight="1" x14ac:dyDescent="0.25">
      <c r="A193" t="str">
        <f>IF(Master!$M194&lt;&gt;"",Master!$E194 &amp; "","")</f>
        <v>Isaac Robertson</v>
      </c>
      <c r="B193" t="str">
        <f>IF(Master!$M194&lt;&gt;"",Master!$F194 &amp; "","")</f>
        <v/>
      </c>
      <c r="C193" t="str">
        <f>IF(Master!$M194&lt;&gt;"",Master!$J194 &amp; "","")</f>
        <v/>
      </c>
    </row>
    <row r="194" spans="1:3" ht="15" customHeight="1" x14ac:dyDescent="0.25">
      <c r="A194" t="str">
        <f>IF(Master!$M195&lt;&gt;"",Master!$E195 &amp; "","")</f>
        <v/>
      </c>
      <c r="B194" t="str">
        <f>IF(Master!$M195&lt;&gt;"",Master!$F195 &amp; "","")</f>
        <v/>
      </c>
      <c r="C194" t="str">
        <f>IF(Master!$M195&lt;&gt;"",Master!$J195 &amp; "","")</f>
        <v/>
      </c>
    </row>
    <row r="195" spans="1:3" ht="15" customHeight="1" x14ac:dyDescent="0.25">
      <c r="A195" t="str">
        <f>IF(Master!$M196&lt;&gt;"",Master!$E196 &amp; "","")</f>
        <v/>
      </c>
      <c r="B195" t="str">
        <f>IF(Master!$M196&lt;&gt;"",Master!$F196 &amp; "","")</f>
        <v/>
      </c>
      <c r="C195" t="str">
        <f>IF(Master!$M196&lt;&gt;"",Master!$J196 &amp; "","")</f>
        <v/>
      </c>
    </row>
    <row r="196" spans="1:3" ht="15" customHeight="1" x14ac:dyDescent="0.25">
      <c r="A196" t="str">
        <f>IF(Master!$M197&lt;&gt;"",Master!$E197 &amp; "","")</f>
        <v>Noah Rose</v>
      </c>
      <c r="B196" t="str">
        <f>IF(Master!$M197&lt;&gt;"",Master!$F197 &amp; "","")</f>
        <v/>
      </c>
      <c r="C196" t="str">
        <f>IF(Master!$M197&lt;&gt;"",Master!$J197 &amp; "","")</f>
        <v/>
      </c>
    </row>
    <row r="197" spans="1:3" ht="15" customHeight="1" x14ac:dyDescent="0.25">
      <c r="A197" t="str">
        <f>IF(Master!$M198&lt;&gt;"",Master!$E198 &amp; "","")</f>
        <v/>
      </c>
      <c r="B197" t="str">
        <f>IF(Master!$M198&lt;&gt;"",Master!$F198 &amp; "","")</f>
        <v/>
      </c>
      <c r="C197" t="str">
        <f>IF(Master!$M198&lt;&gt;"",Master!$J198 &amp; "","")</f>
        <v/>
      </c>
    </row>
    <row r="198" spans="1:3" ht="15" customHeight="1" x14ac:dyDescent="0.25">
      <c r="A198" t="str">
        <f>IF(Master!$M199&lt;&gt;"",Master!$E199 &amp; "","")</f>
        <v/>
      </c>
      <c r="B198" t="str">
        <f>IF(Master!$M199&lt;&gt;"",Master!$F199 &amp; "","")</f>
        <v/>
      </c>
      <c r="C198" t="str">
        <f>IF(Master!$M199&lt;&gt;"",Master!$J199 &amp; "","")</f>
        <v/>
      </c>
    </row>
    <row r="199" spans="1:3" ht="15" customHeight="1" x14ac:dyDescent="0.25">
      <c r="A199" t="str">
        <f>IF(Master!$M200&lt;&gt;"",Master!$E200 &amp; "","")</f>
        <v/>
      </c>
      <c r="B199" t="str">
        <f>IF(Master!$M200&lt;&gt;"",Master!$F200 &amp; "","")</f>
        <v/>
      </c>
      <c r="C199" t="str">
        <f>IF(Master!$M200&lt;&gt;"",Master!$J200 &amp; "","")</f>
        <v/>
      </c>
    </row>
    <row r="200" spans="1:3" ht="15" customHeight="1" x14ac:dyDescent="0.25">
      <c r="A200" t="str">
        <f>IF(Master!$M201&lt;&gt;"",Master!$E201 &amp; "","")</f>
        <v>Aaryan Sagvekar</v>
      </c>
      <c r="B200" t="str">
        <f>IF(Master!$M201&lt;&gt;"",Master!$F201 &amp; "","")</f>
        <v/>
      </c>
      <c r="C200" t="str">
        <f>IF(Master!$M201&lt;&gt;"",Master!$J201 &amp; "","")</f>
        <v/>
      </c>
    </row>
    <row r="201" spans="1:3" ht="15" customHeight="1" x14ac:dyDescent="0.25">
      <c r="A201" t="str">
        <f>IF(Master!$M202&lt;&gt;"",Master!$E202 &amp; "","")</f>
        <v/>
      </c>
      <c r="B201" t="str">
        <f>IF(Master!$M202&lt;&gt;"",Master!$F202 &amp; "","")</f>
        <v/>
      </c>
      <c r="C201" t="str">
        <f>IF(Master!$M202&lt;&gt;"",Master!$J202 &amp; "","")</f>
        <v/>
      </c>
    </row>
    <row r="202" spans="1:3" ht="15" customHeight="1" x14ac:dyDescent="0.25">
      <c r="A202" t="str">
        <f>IF(Master!$M203&lt;&gt;"",Master!$E203 &amp; "","")</f>
        <v/>
      </c>
      <c r="B202" t="str">
        <f>IF(Master!$M203&lt;&gt;"",Master!$F203 &amp; "","")</f>
        <v/>
      </c>
      <c r="C202" t="str">
        <f>IF(Master!$M203&lt;&gt;"",Master!$J203 &amp; "","")</f>
        <v/>
      </c>
    </row>
    <row r="203" spans="1:3" ht="15" customHeight="1" x14ac:dyDescent="0.25">
      <c r="A203" t="str">
        <f>IF(Master!$M205&lt;&gt;"",Master!$E205 &amp; "","")</f>
        <v>David Sauer</v>
      </c>
      <c r="B203" t="str">
        <f>IF(Master!$M205&lt;&gt;"",Master!$F205 &amp; "","")</f>
        <v>820 Lovetta Dr</v>
      </c>
      <c r="C203" t="str">
        <f>IF(Master!$M205&lt;&gt;"",Master!$J205 &amp; "","")</f>
        <v>Kettering, OH 45429</v>
      </c>
    </row>
    <row r="204" spans="1:3" ht="15" customHeight="1" x14ac:dyDescent="0.25">
      <c r="A204" t="str">
        <f>IF(Master!$M206&lt;&gt;"",Master!$E206 &amp; "","")</f>
        <v>Jessica Savage</v>
      </c>
      <c r="B204" t="str">
        <f>IF(Master!$M206&lt;&gt;"",Master!$F206 &amp; "","")</f>
        <v/>
      </c>
      <c r="C204" t="str">
        <f>IF(Master!$M206&lt;&gt;"",Master!$J206 &amp; "","")</f>
        <v/>
      </c>
    </row>
    <row r="205" spans="1:3" ht="15" customHeight="1" x14ac:dyDescent="0.25">
      <c r="A205" t="str">
        <f>IF(Master!$M207&lt;&gt;"",Master!$E207 &amp; "","")</f>
        <v>Crislyn Sayger</v>
      </c>
      <c r="B205" t="str">
        <f>IF(Master!$M207&lt;&gt;"",Master!$F207 &amp; "","")</f>
        <v>1695 N Belleview Dr</v>
      </c>
      <c r="C205" t="str">
        <f>IF(Master!$M207&lt;&gt;"",Master!$J207 &amp; "","")</f>
        <v>Bellbrook, OH 45305</v>
      </c>
    </row>
    <row r="206" spans="1:3" ht="15" customHeight="1" x14ac:dyDescent="0.25">
      <c r="A206" t="str">
        <f>IF(Master!$M208&lt;&gt;"",Master!$E208 &amp; "","")</f>
        <v>Hoyt Schaaf</v>
      </c>
      <c r="B206" t="str">
        <f>IF(Master!$M208&lt;&gt;"",Master!$F208 &amp; "","")</f>
        <v/>
      </c>
      <c r="C206" t="str">
        <f>IF(Master!$M208&lt;&gt;"",Master!$J208 &amp; "","")</f>
        <v/>
      </c>
    </row>
    <row r="207" spans="1:3" ht="15" customHeight="1" x14ac:dyDescent="0.25">
      <c r="A207" t="str">
        <f>IF(Master!$M209&lt;&gt;"",Master!$E209 &amp; "","")</f>
        <v>Calvin Schneider</v>
      </c>
      <c r="B207" t="str">
        <f>IF(Master!$M209&lt;&gt;"",Master!$F209 &amp; "","")</f>
        <v>6524 Staverton Dr</v>
      </c>
      <c r="C207" t="str">
        <f>IF(Master!$M209&lt;&gt;"",Master!$J209 &amp; "","")</f>
        <v>Centerville, OH 45459</v>
      </c>
    </row>
    <row r="208" spans="1:3" ht="15" customHeight="1" x14ac:dyDescent="0.25">
      <c r="A208" t="str">
        <f>IF(Master!$M210&lt;&gt;"",Master!$E210 &amp; "","")</f>
        <v>Nate Schreck</v>
      </c>
      <c r="B208" t="str">
        <f>IF(Master!$M210&lt;&gt;"",Master!$F210 &amp; "","")</f>
        <v/>
      </c>
      <c r="C208" t="str">
        <f>IF(Master!$M210&lt;&gt;"",Master!$J210 &amp; "","")</f>
        <v/>
      </c>
    </row>
    <row r="209" spans="1:3" ht="15" customHeight="1" x14ac:dyDescent="0.25">
      <c r="A209" t="str">
        <f>IF(Master!$M211&lt;&gt;"",Master!$E211 &amp; "","")</f>
        <v/>
      </c>
      <c r="B209" t="str">
        <f>IF(Master!$M211&lt;&gt;"",Master!$F211 &amp; "","")</f>
        <v/>
      </c>
      <c r="C209" t="str">
        <f>IF(Master!$M211&lt;&gt;"",Master!$J211 &amp; "","")</f>
        <v/>
      </c>
    </row>
    <row r="210" spans="1:3" ht="15" customHeight="1" x14ac:dyDescent="0.25">
      <c r="A210" t="str">
        <f>IF(Master!$M212&lt;&gt;"",Master!$E212 &amp; "","")</f>
        <v/>
      </c>
      <c r="B210" t="str">
        <f>IF(Master!$M212&lt;&gt;"",Master!$F212 &amp; "","")</f>
        <v/>
      </c>
      <c r="C210" t="str">
        <f>IF(Master!$M212&lt;&gt;"",Master!$J212 &amp; "","")</f>
        <v/>
      </c>
    </row>
    <row r="211" spans="1:3" ht="15" customHeight="1" x14ac:dyDescent="0.25">
      <c r="A211" t="str">
        <f>IF(Master!$M213&lt;&gt;"",Master!$E213 &amp; "","")</f>
        <v/>
      </c>
      <c r="B211" t="str">
        <f>IF(Master!$M213&lt;&gt;"",Master!$F213 &amp; "","")</f>
        <v/>
      </c>
      <c r="C211" t="str">
        <f>IF(Master!$M213&lt;&gt;"",Master!$J213 &amp; "","")</f>
        <v/>
      </c>
    </row>
    <row r="212" spans="1:3" ht="15" customHeight="1" x14ac:dyDescent="0.25">
      <c r="A212" t="str">
        <f>IF(Master!$M214&lt;&gt;"",Master!$E214 &amp; "","")</f>
        <v/>
      </c>
      <c r="B212" t="str">
        <f>IF(Master!$M214&lt;&gt;"",Master!$F214 &amp; "","")</f>
        <v/>
      </c>
      <c r="C212" t="str">
        <f>IF(Master!$M214&lt;&gt;"",Master!$J214 &amp; "","")</f>
        <v/>
      </c>
    </row>
    <row r="213" spans="1:3" ht="15" customHeight="1" x14ac:dyDescent="0.25">
      <c r="A213" t="str">
        <f>IF(Master!$M215&lt;&gt;"",Master!$E215 &amp; "","")</f>
        <v>Ryan  Shockley</v>
      </c>
      <c r="B213" t="str">
        <f>IF(Master!$M215&lt;&gt;"",Master!$F215 &amp; "","")</f>
        <v>1320 Glen Jean Ct</v>
      </c>
      <c r="C213" t="str">
        <f>IF(Master!$M215&lt;&gt;"",Master!$J215 &amp; "","")</f>
        <v>Dayton, OH 45459</v>
      </c>
    </row>
    <row r="214" spans="1:3" ht="15" customHeight="1" x14ac:dyDescent="0.25">
      <c r="A214" t="str">
        <f>IF(Master!$M216&lt;&gt;"",Master!$E216 &amp; "","")</f>
        <v>Anna Shonle</v>
      </c>
      <c r="B214" t="str">
        <f>IF(Master!$M216&lt;&gt;"",Master!$F216 &amp; "","")</f>
        <v/>
      </c>
      <c r="C214" t="str">
        <f>IF(Master!$M216&lt;&gt;"",Master!$J216 &amp; "","")</f>
        <v/>
      </c>
    </row>
    <row r="215" spans="1:3" ht="15" customHeight="1" x14ac:dyDescent="0.25">
      <c r="A215" t="str">
        <f>IF(Master!$M217&lt;&gt;"",Master!$E217 &amp; "","")</f>
        <v>Jonathan Sibole</v>
      </c>
      <c r="B215" t="str">
        <f>IF(Master!$M217&lt;&gt;"",Master!$F217 &amp; "","")</f>
        <v/>
      </c>
      <c r="C215" t="str">
        <f>IF(Master!$M217&lt;&gt;"",Master!$J217 &amp; "","")</f>
        <v/>
      </c>
    </row>
    <row r="216" spans="1:3" ht="15" customHeight="1" x14ac:dyDescent="0.25">
      <c r="A216" t="str">
        <f>IF(Master!$M218&lt;&gt;"",Master!$E218 &amp; "","")</f>
        <v>Erik Sink</v>
      </c>
      <c r="B216" t="str">
        <f>IF(Master!$M218&lt;&gt;"",Master!$F218 &amp; "","")</f>
        <v>3218 Sunny Crest Ln</v>
      </c>
      <c r="C216" t="str">
        <f>IF(Master!$M218&lt;&gt;"",Master!$J218 &amp; "","")</f>
        <v>Kettering, OH 45419</v>
      </c>
    </row>
    <row r="217" spans="1:3" ht="15" customHeight="1" x14ac:dyDescent="0.25">
      <c r="A217" t="str">
        <f>IF(Master!$M219&lt;&gt;"",Master!$E219 &amp; "","")</f>
        <v/>
      </c>
      <c r="B217" t="str">
        <f>IF(Master!$M219&lt;&gt;"",Master!$F219 &amp; "","")</f>
        <v/>
      </c>
      <c r="C217" t="str">
        <f>IF(Master!$M219&lt;&gt;"",Master!$J219 &amp; "","")</f>
        <v/>
      </c>
    </row>
    <row r="218" spans="1:3" ht="15" customHeight="1" x14ac:dyDescent="0.25">
      <c r="A218" t="str">
        <f>IF(Master!$M220&lt;&gt;"",Master!$E220 &amp; "","")</f>
        <v>Brianne Slusher</v>
      </c>
      <c r="B218" t="str">
        <f>IF(Master!$M220&lt;&gt;"",Master!$F220 &amp; "","")</f>
        <v/>
      </c>
      <c r="C218" t="str">
        <f>IF(Master!$M220&lt;&gt;"",Master!$J220 &amp; "","")</f>
        <v/>
      </c>
    </row>
    <row r="219" spans="1:3" ht="15" customHeight="1" x14ac:dyDescent="0.25">
      <c r="A219" t="str">
        <f>IF(Master!$M221&lt;&gt;"",Master!$E221 &amp; "","")</f>
        <v>Ava Smith</v>
      </c>
      <c r="B219" t="str">
        <f>IF(Master!$M221&lt;&gt;"",Master!$F221 &amp; "","")</f>
        <v>4404 Grayson Street</v>
      </c>
      <c r="C219" t="str">
        <f>IF(Master!$M221&lt;&gt;"",Master!$J221 &amp; "","")</f>
        <v>Dayton, OH 45429</v>
      </c>
    </row>
    <row r="220" spans="1:3" ht="15" customHeight="1" x14ac:dyDescent="0.25">
      <c r="A220" t="str">
        <f>IF(Master!$M222&lt;&gt;"",Master!$E222 &amp; "","")</f>
        <v/>
      </c>
      <c r="B220" t="str">
        <f>IF(Master!$M222&lt;&gt;"",Master!$F222 &amp; "","")</f>
        <v/>
      </c>
      <c r="C220" t="str">
        <f>IF(Master!$M222&lt;&gt;"",Master!$J222 &amp; "","")</f>
        <v/>
      </c>
    </row>
    <row r="221" spans="1:3" ht="15" customHeight="1" x14ac:dyDescent="0.25">
      <c r="A221" t="str">
        <f>IF(Master!$M223&lt;&gt;"",Master!$E223 &amp; "","")</f>
        <v>John Smith</v>
      </c>
      <c r="B221" t="str">
        <f>IF(Master!$M223&lt;&gt;"",Master!$F223 &amp; "","")</f>
        <v>10236 Washington Church Rd</v>
      </c>
      <c r="C221" t="str">
        <f>IF(Master!$M223&lt;&gt;"",Master!$J223 &amp; "","")</f>
        <v>Miamisburg, OH 45342</v>
      </c>
    </row>
    <row r="222" spans="1:3" ht="15" customHeight="1" x14ac:dyDescent="0.25">
      <c r="A222" t="str">
        <f>IF(Master!$M224&lt;&gt;"",Master!$E224 &amp; "","")</f>
        <v>Stormie Smith</v>
      </c>
      <c r="B222" t="str">
        <f>IF(Master!$M224&lt;&gt;"",Master!$F224 &amp; "","")</f>
        <v/>
      </c>
      <c r="C222" t="str">
        <f>IF(Master!$M224&lt;&gt;"",Master!$J224 &amp; "","")</f>
        <v/>
      </c>
    </row>
    <row r="223" spans="1:3" ht="15" customHeight="1" x14ac:dyDescent="0.25">
      <c r="A223" t="str">
        <f>IF(Master!$M225&lt;&gt;"",Master!$E225 &amp; "","")</f>
        <v>Zac Sparks</v>
      </c>
      <c r="B223" t="str">
        <f>IF(Master!$M225&lt;&gt;"",Master!$F225 &amp; "","")</f>
        <v>7625 Cloverbrook Park Dr</v>
      </c>
      <c r="C223" t="str">
        <f>IF(Master!$M225&lt;&gt;"",Master!$J225 &amp; "","")</f>
        <v>Centerville, OH 45459</v>
      </c>
    </row>
    <row r="224" spans="1:3" ht="15" customHeight="1" x14ac:dyDescent="0.25">
      <c r="A224" t="str">
        <f>IF(Master!$M226&lt;&gt;"",Master!$E226 &amp; "","")</f>
        <v>Leondo Stanziano</v>
      </c>
      <c r="B224" t="str">
        <f>IF(Master!$M226&lt;&gt;"",Master!$F226 &amp; "","")</f>
        <v>607 Uplands Camp Rd</v>
      </c>
      <c r="C224" t="str">
        <f>IF(Master!$M226&lt;&gt;"",Master!$J226 &amp; "","")</f>
        <v>Kettering, OH 45419</v>
      </c>
    </row>
    <row r="225" spans="1:3" ht="15" customHeight="1" x14ac:dyDescent="0.25">
      <c r="A225" t="str">
        <f>IF(Master!$M227&lt;&gt;"",Master!$E227 &amp; "","")</f>
        <v/>
      </c>
      <c r="B225" t="str">
        <f>IF(Master!$M227&lt;&gt;"",Master!$F227 &amp; "","")</f>
        <v/>
      </c>
      <c r="C225" t="str">
        <f>IF(Master!$M227&lt;&gt;"",Master!$J227 &amp; "","")</f>
        <v/>
      </c>
    </row>
    <row r="226" spans="1:3" ht="15" customHeight="1" x14ac:dyDescent="0.25">
      <c r="A226" t="str">
        <f>IF(Master!$M228&lt;&gt;"",Master!$E228 &amp; "","")</f>
        <v>Otto Stieger</v>
      </c>
      <c r="B226" t="str">
        <f>IF(Master!$M228&lt;&gt;"",Master!$F228 &amp; "","")</f>
        <v/>
      </c>
      <c r="C226" t="str">
        <f>IF(Master!$M228&lt;&gt;"",Master!$J228 &amp; "","")</f>
        <v/>
      </c>
    </row>
    <row r="227" spans="1:3" ht="15" customHeight="1" x14ac:dyDescent="0.25">
      <c r="A227" t="str">
        <f>IF(Master!$M229&lt;&gt;"",Master!$E229 &amp; "","")</f>
        <v>Luke Stingley</v>
      </c>
      <c r="B227" t="str">
        <f>IF(Master!$M229&lt;&gt;"",Master!$F229 &amp; "","")</f>
        <v>3590 Haines Rd</v>
      </c>
      <c r="C227" t="str">
        <f>IF(Master!$M229&lt;&gt;"",Master!$J229 &amp; "","")</f>
        <v>Waynesville, OH 45068</v>
      </c>
    </row>
    <row r="228" spans="1:3" ht="15" customHeight="1" x14ac:dyDescent="0.25">
      <c r="A228" t="str">
        <f>IF(Master!$M230&lt;&gt;"",Master!$E230 &amp; "","")</f>
        <v>Luke Struble</v>
      </c>
      <c r="B228" t="str">
        <f>IF(Master!$M230&lt;&gt;"",Master!$F230 &amp; "","")</f>
        <v>1270 Patriot Way</v>
      </c>
      <c r="C228" t="str">
        <f>IF(Master!$M230&lt;&gt;"",Master!$J230 &amp; "","")</f>
        <v>Beavercreek, OH 45434</v>
      </c>
    </row>
    <row r="229" spans="1:3" ht="15" customHeight="1" x14ac:dyDescent="0.25">
      <c r="A229" t="str">
        <f>IF(Master!$M231&lt;&gt;"",Master!$E231 &amp; "","")</f>
        <v/>
      </c>
      <c r="B229" t="str">
        <f>IF(Master!$M231&lt;&gt;"",Master!$F231 &amp; "","")</f>
        <v/>
      </c>
      <c r="C229" t="str">
        <f>IF(Master!$M231&lt;&gt;"",Master!$J231 &amp; "","")</f>
        <v/>
      </c>
    </row>
    <row r="230" spans="1:3" ht="15" customHeight="1" x14ac:dyDescent="0.25">
      <c r="A230" t="str">
        <f>IF(Master!$M232&lt;&gt;"",Master!$E232 &amp; "","")</f>
        <v>Payton Thomas</v>
      </c>
      <c r="B230" t="str">
        <f>IF(Master!$M232&lt;&gt;"",Master!$F232 &amp; "","")</f>
        <v>824 Santa Cruz Ave</v>
      </c>
      <c r="C230" t="str">
        <f>IF(Master!$M232&lt;&gt;"",Master!$J232 &amp; "","")</f>
        <v>Dayton, OH 45410</v>
      </c>
    </row>
    <row r="231" spans="1:3" ht="15" customHeight="1" x14ac:dyDescent="0.25">
      <c r="A231" t="str">
        <f>IF(Master!$M233&lt;&gt;"",Master!$E233 &amp; "","")</f>
        <v>Scott Thorner</v>
      </c>
      <c r="B231" t="str">
        <f>IF(Master!$M233&lt;&gt;"",Master!$F233 &amp; "","")</f>
        <v/>
      </c>
      <c r="C231" t="str">
        <f>IF(Master!$M233&lt;&gt;"",Master!$J233 &amp; "","")</f>
        <v/>
      </c>
    </row>
    <row r="232" spans="1:3" ht="15" customHeight="1" x14ac:dyDescent="0.25">
      <c r="A232" t="str">
        <f>IF(Master!$M234&lt;&gt;"",Master!$E234 &amp; "","")</f>
        <v>Jack Tittle</v>
      </c>
      <c r="B232" t="str">
        <f>IF(Master!$M234&lt;&gt;"",Master!$F234 &amp; "","")</f>
        <v>1040 Berryhill Rd</v>
      </c>
      <c r="C232" t="str">
        <f>IF(Master!$M234&lt;&gt;"",Master!$J234 &amp; "","")</f>
        <v>Bellbrook, OH 45305</v>
      </c>
    </row>
    <row r="233" spans="1:3" ht="15" customHeight="1" x14ac:dyDescent="0.25">
      <c r="A233" t="str">
        <f>IF(Master!$M235&lt;&gt;"",Master!$E235 &amp; "","")</f>
        <v/>
      </c>
      <c r="B233" t="str">
        <f>IF(Master!$M235&lt;&gt;"",Master!$F235 &amp; "","")</f>
        <v/>
      </c>
      <c r="C233" t="str">
        <f>IF(Master!$M235&lt;&gt;"",Master!$J235 &amp; "","")</f>
        <v/>
      </c>
    </row>
    <row r="234" spans="1:3" ht="15" customHeight="1" x14ac:dyDescent="0.25">
      <c r="A234" t="str">
        <f>IF(Master!$M236&lt;&gt;"",Master!$E236 &amp; "","")</f>
        <v/>
      </c>
      <c r="B234" t="str">
        <f>IF(Master!$M236&lt;&gt;"",Master!$F236 &amp; "","")</f>
        <v/>
      </c>
      <c r="C234" t="str">
        <f>IF(Master!$M236&lt;&gt;"",Master!$J236 &amp; "","")</f>
        <v/>
      </c>
    </row>
    <row r="235" spans="1:3" ht="15" customHeight="1" x14ac:dyDescent="0.25">
      <c r="A235" t="str">
        <f>IF(Master!$M237&lt;&gt;"",Master!$E237 &amp; "","")</f>
        <v>Katie Turner</v>
      </c>
      <c r="B235" t="str">
        <f>IF(Master!$M237&lt;&gt;"",Master!$F237 &amp; "","")</f>
        <v>2312 Delvue Dr</v>
      </c>
      <c r="C235" t="str">
        <f>IF(Master!$M237&lt;&gt;"",Master!$J237 &amp; "","")</f>
        <v>Dayton, OH 45459</v>
      </c>
    </row>
    <row r="236" spans="1:3" ht="15" customHeight="1" x14ac:dyDescent="0.25">
      <c r="A236" t="str">
        <f>IF(Master!$M238&lt;&gt;"",Master!$E238 &amp; "","")</f>
        <v/>
      </c>
      <c r="B236" t="str">
        <f>IF(Master!$M238&lt;&gt;"",Master!$F238 &amp; "","")</f>
        <v/>
      </c>
      <c r="C236" t="str">
        <f>IF(Master!$M238&lt;&gt;"",Master!$J238 &amp; "","")</f>
        <v/>
      </c>
    </row>
    <row r="237" spans="1:3" ht="15" customHeight="1" x14ac:dyDescent="0.25">
      <c r="A237" t="str">
        <f>IF(Master!$M239&lt;&gt;"",Master!$E239 &amp; "","")</f>
        <v/>
      </c>
      <c r="B237" t="str">
        <f>IF(Master!$M239&lt;&gt;"",Master!$F239 &amp; "","")</f>
        <v/>
      </c>
      <c r="C237" t="str">
        <f>IF(Master!$M239&lt;&gt;"",Master!$J239 &amp; "","")</f>
        <v/>
      </c>
    </row>
    <row r="238" spans="1:3" ht="15" customHeight="1" x14ac:dyDescent="0.25">
      <c r="A238" t="str">
        <f>IF(Master!$M240&lt;&gt;"",Master!$E240 &amp; "","")</f>
        <v>Vincent Van Zant</v>
      </c>
      <c r="B238" t="str">
        <f>IF(Master!$M240&lt;&gt;"",Master!$F240 &amp; "","")</f>
        <v>1900 Courtland Ave</v>
      </c>
      <c r="C238" t="str">
        <f>IF(Master!$M240&lt;&gt;"",Master!$J240 &amp; "","")</f>
        <v>Kettering, OH 45420</v>
      </c>
    </row>
    <row r="239" spans="1:3" ht="15" customHeight="1" x14ac:dyDescent="0.25">
      <c r="A239" t="str">
        <f>IF(Master!$M241&lt;&gt;"",Master!$E241 &amp; "","")</f>
        <v/>
      </c>
      <c r="B239" t="str">
        <f>IF(Master!$M241&lt;&gt;"",Master!$F241 &amp; "","")</f>
        <v/>
      </c>
      <c r="C239" t="str">
        <f>IF(Master!$M241&lt;&gt;"",Master!$J241 &amp; "","")</f>
        <v/>
      </c>
    </row>
    <row r="240" spans="1:3" ht="15" customHeight="1" x14ac:dyDescent="0.25">
      <c r="A240" t="str">
        <f>IF(Master!$M242&lt;&gt;"",Master!$E242 &amp; "","")</f>
        <v>Lyra Vinande</v>
      </c>
      <c r="B240" t="str">
        <f>IF(Master!$M242&lt;&gt;"",Master!$F242 &amp; "","")</f>
        <v/>
      </c>
      <c r="C240" t="str">
        <f>IF(Master!$M242&lt;&gt;"",Master!$J242 &amp; "","")</f>
        <v/>
      </c>
    </row>
    <row r="241" spans="1:3" ht="15" customHeight="1" x14ac:dyDescent="0.25">
      <c r="A241" t="str">
        <f>IF(Master!$M243&lt;&gt;"",Master!$E243 &amp; "","")</f>
        <v>Dominic Vorrasi</v>
      </c>
      <c r="B241" t="str">
        <f>IF(Master!$M243&lt;&gt;"",Master!$F243 &amp; "","")</f>
        <v>266 Woodstream Dr</v>
      </c>
      <c r="C241" t="str">
        <f>IF(Master!$M243&lt;&gt;"",Master!$J243 &amp; "","")</f>
        <v>Springboro, OH 45066</v>
      </c>
    </row>
    <row r="242" spans="1:3" ht="15" customHeight="1" x14ac:dyDescent="0.25">
      <c r="A242" t="str">
        <f>IF(Master!$M244&lt;&gt;"",Master!$E244 &amp; "","")</f>
        <v>Joseph Vorsteg Jr</v>
      </c>
      <c r="B242" t="str">
        <f>IF(Master!$M244&lt;&gt;"",Master!$F244 &amp; "","")</f>
        <v>1715 Horlacher Ave</v>
      </c>
      <c r="C242" t="str">
        <f>IF(Master!$M244&lt;&gt;"",Master!$J244 &amp; "","")</f>
        <v>Kettering, OH 45420</v>
      </c>
    </row>
    <row r="243" spans="1:3" ht="15" customHeight="1" x14ac:dyDescent="0.25">
      <c r="A243" t="str">
        <f>IF(Master!$M245&lt;&gt;"",Master!$E245 &amp; "","")</f>
        <v>Jacob Wagenbach</v>
      </c>
      <c r="B243" t="str">
        <f>IF(Master!$M245&lt;&gt;"",Master!$F245 &amp; "","")</f>
        <v>2903 Chalmar Dr</v>
      </c>
      <c r="C243" t="str">
        <f>IF(Master!$M245&lt;&gt;"",Master!$J245 &amp; "","")</f>
        <v>Beavercreek, OH 45431</v>
      </c>
    </row>
    <row r="244" spans="1:3" ht="15" customHeight="1" x14ac:dyDescent="0.25">
      <c r="A244" t="str">
        <f>IF(Master!$M246&lt;&gt;"",Master!$E246 &amp; "","")</f>
        <v/>
      </c>
      <c r="B244" t="str">
        <f>IF(Master!$M246&lt;&gt;"",Master!$F246 &amp; "","")</f>
        <v/>
      </c>
      <c r="C244" t="str">
        <f>IF(Master!$M246&lt;&gt;"",Master!$J246 &amp; "","")</f>
        <v/>
      </c>
    </row>
    <row r="245" spans="1:3" ht="15" customHeight="1" x14ac:dyDescent="0.25">
      <c r="A245" t="str">
        <f>IF(Master!$M247&lt;&gt;"",Master!$E247 &amp; "","")</f>
        <v/>
      </c>
      <c r="B245" t="str">
        <f>IF(Master!$M247&lt;&gt;"",Master!$F247 &amp; "","")</f>
        <v/>
      </c>
      <c r="C245" t="str">
        <f>IF(Master!$M247&lt;&gt;"",Master!$J247 &amp; "","")</f>
        <v/>
      </c>
    </row>
    <row r="246" spans="1:3" ht="15" customHeight="1" x14ac:dyDescent="0.25">
      <c r="A246" t="str">
        <f>IF(Master!$M248&lt;&gt;"",Master!$E248 &amp; "","")</f>
        <v/>
      </c>
      <c r="B246" t="str">
        <f>IF(Master!$M248&lt;&gt;"",Master!$F248 &amp; "","")</f>
        <v/>
      </c>
      <c r="C246" t="str">
        <f>IF(Master!$M248&lt;&gt;"",Master!$J248 &amp; "","")</f>
        <v/>
      </c>
    </row>
    <row r="247" spans="1:3" ht="15" customHeight="1" x14ac:dyDescent="0.25">
      <c r="A247" t="str">
        <f>IF(Master!$M249&lt;&gt;"",Master!$E249 &amp; "","")</f>
        <v>Noah Webb</v>
      </c>
      <c r="B247" t="str">
        <f>IF(Master!$M249&lt;&gt;"",Master!$F249 &amp; "","")</f>
        <v/>
      </c>
      <c r="C247" t="str">
        <f>IF(Master!$M249&lt;&gt;"",Master!$J249 &amp; "","")</f>
        <v/>
      </c>
    </row>
    <row r="248" spans="1:3" ht="15" customHeight="1" x14ac:dyDescent="0.25">
      <c r="A248" t="str">
        <f>IF(Master!$M250&lt;&gt;"",Master!$E250 &amp; "","")</f>
        <v xml:space="preserve">Gigi West </v>
      </c>
      <c r="B248" t="str">
        <f>IF(Master!$M250&lt;&gt;"",Master!$F250 &amp; "","")</f>
        <v>284 West Schantz Ave</v>
      </c>
      <c r="C248" t="str">
        <f>IF(Master!$M250&lt;&gt;"",Master!$J250 &amp; "","")</f>
        <v>Dayton, OH 45409</v>
      </c>
    </row>
    <row r="249" spans="1:3" ht="15" customHeight="1" x14ac:dyDescent="0.25">
      <c r="A249" t="str">
        <f>IF(Master!$M251&lt;&gt;"",Master!$E251 &amp; "","")</f>
        <v>Anthony Whitaker</v>
      </c>
      <c r="B249" t="str">
        <f>IF(Master!$M251&lt;&gt;"",Master!$F251 &amp; "","")</f>
        <v>1510 Grange Hall Road</v>
      </c>
      <c r="C249" t="str">
        <f>IF(Master!$M251&lt;&gt;"",Master!$J251 &amp; "","")</f>
        <v>Beavercreek, OH 45432</v>
      </c>
    </row>
    <row r="250" spans="1:3" ht="15" customHeight="1" x14ac:dyDescent="0.25">
      <c r="A250" t="str">
        <f>IF(Master!$M252&lt;&gt;"",Master!$E252 &amp; "","")</f>
        <v/>
      </c>
      <c r="B250" t="str">
        <f>IF(Master!$M252&lt;&gt;"",Master!$F252 &amp; "","")</f>
        <v/>
      </c>
      <c r="C250" t="str">
        <f>IF(Master!$M252&lt;&gt;"",Master!$J252 &amp; "","")</f>
        <v/>
      </c>
    </row>
    <row r="251" spans="1:3" ht="15" customHeight="1" x14ac:dyDescent="0.25">
      <c r="A251" t="str">
        <f>IF(Master!$M253&lt;&gt;"",Master!$E253 &amp; "","")</f>
        <v>Grayson Willis</v>
      </c>
      <c r="B251" t="str">
        <f>IF(Master!$M253&lt;&gt;"",Master!$F253 &amp; "","")</f>
        <v/>
      </c>
      <c r="C251" t="str">
        <f>IF(Master!$M253&lt;&gt;"",Master!$J253 &amp; "","")</f>
        <v/>
      </c>
    </row>
    <row r="252" spans="1:3" ht="15" customHeight="1" x14ac:dyDescent="0.25">
      <c r="A252" t="str">
        <f>IF(Master!$M254&lt;&gt;"",Master!$E254 &amp; "","")</f>
        <v/>
      </c>
      <c r="B252" t="str">
        <f>IF(Master!$M254&lt;&gt;"",Master!$F254 &amp; "","")</f>
        <v/>
      </c>
      <c r="C252" t="str">
        <f>IF(Master!$M254&lt;&gt;"",Master!$J254 &amp; "","")</f>
        <v/>
      </c>
    </row>
    <row r="253" spans="1:3" ht="15" customHeight="1" x14ac:dyDescent="0.25">
      <c r="A253" t="str">
        <f>IF(Master!$M255&lt;&gt;"",Master!$E255 &amp; "","")</f>
        <v/>
      </c>
      <c r="B253" t="str">
        <f>IF(Master!$M255&lt;&gt;"",Master!$F255 &amp; "","")</f>
        <v/>
      </c>
      <c r="C253" t="str">
        <f>IF(Master!$M255&lt;&gt;"",Master!$J255 &amp; "","")</f>
        <v/>
      </c>
    </row>
    <row r="254" spans="1:3" ht="15" customHeight="1" x14ac:dyDescent="0.25">
      <c r="A254" t="str">
        <f>IF(Master!$M256&lt;&gt;"",Master!$E256 &amp; "","")</f>
        <v/>
      </c>
      <c r="B254" t="str">
        <f>IF(Master!$M256&lt;&gt;"",Master!$F256 &amp; "","")</f>
        <v/>
      </c>
      <c r="C254" t="str">
        <f>IF(Master!$M256&lt;&gt;"",Master!$J256 &amp; "","")</f>
        <v/>
      </c>
    </row>
    <row r="255" spans="1:3" ht="15" customHeight="1" x14ac:dyDescent="0.25">
      <c r="A255" t="str">
        <f>IF(Master!$M257&lt;&gt;"",Master!$E257 &amp; "","")</f>
        <v>Paul Wittberg</v>
      </c>
      <c r="B255" t="str">
        <f>IF(Master!$M257&lt;&gt;"",Master!$F257 &amp; "","")</f>
        <v>813 Gainsborough Rd</v>
      </c>
      <c r="C255" t="str">
        <f>IF(Master!$M257&lt;&gt;"",Master!$J257 &amp; "","")</f>
        <v>Dayton, OH 45419</v>
      </c>
    </row>
    <row r="256" spans="1:3" ht="15" customHeight="1" x14ac:dyDescent="0.25">
      <c r="A256" t="str">
        <f>IF(Master!$M258&lt;&gt;"",Master!$E258 &amp; "","")</f>
        <v>Ian Witucky</v>
      </c>
      <c r="B256" t="str">
        <f>IF(Master!$M258&lt;&gt;"",Master!$F258 &amp; "","")</f>
        <v/>
      </c>
      <c r="C256" t="str">
        <f>IF(Master!$M258&lt;&gt;"",Master!$J258 &amp; "","")</f>
        <v/>
      </c>
    </row>
    <row r="257" spans="1:3" ht="15" customHeight="1" x14ac:dyDescent="0.25">
      <c r="A257" t="str">
        <f>IF(Master!$M259&lt;&gt;"",Master!$E259 &amp; "","")</f>
        <v>Nick Woeste</v>
      </c>
      <c r="B257" t="str">
        <f>IF(Master!$M259&lt;&gt;"",Master!$F259 &amp; "","")</f>
        <v>9047 S Normandy Ln</v>
      </c>
      <c r="C257" t="str">
        <f>IF(Master!$M259&lt;&gt;"",Master!$J259 &amp; "","")</f>
        <v>Centerville , OH 45458</v>
      </c>
    </row>
    <row r="258" spans="1:3" ht="15" customHeight="1" x14ac:dyDescent="0.25">
      <c r="A258" t="str">
        <f>IF(Master!$M260&lt;&gt;"",Master!$E260 &amp; "","")</f>
        <v/>
      </c>
      <c r="B258" t="str">
        <f>IF(Master!$M260&lt;&gt;"",Master!$F260 &amp; "","")</f>
        <v/>
      </c>
      <c r="C258" t="str">
        <f>IF(Master!$M260&lt;&gt;"",Master!$J260 &amp; "","")</f>
        <v/>
      </c>
    </row>
    <row r="259" spans="1:3" ht="15" customHeight="1" x14ac:dyDescent="0.25">
      <c r="A259" t="str">
        <f>IF(Master!$M261&lt;&gt;"",Master!$E261 &amp; "","")</f>
        <v/>
      </c>
      <c r="B259" t="str">
        <f>IF(Master!$M261&lt;&gt;"",Master!$F261 &amp; "","")</f>
        <v/>
      </c>
      <c r="C259" t="str">
        <f>IF(Master!$M261&lt;&gt;"",Master!$J261 &amp; "","")</f>
        <v/>
      </c>
    </row>
    <row r="260" spans="1:3" ht="15" customHeight="1" x14ac:dyDescent="0.25">
      <c r="A260" t="str">
        <f>IF(Master!$M262&lt;&gt;"",Master!$E262 &amp; "","")</f>
        <v>Jeremy Wysong</v>
      </c>
      <c r="B260" t="str">
        <f>IF(Master!$M262&lt;&gt;"",Master!$F262 &amp; "","")</f>
        <v>105 McVey Pl</v>
      </c>
      <c r="C260" t="str">
        <f>IF(Master!$M262&lt;&gt;"",Master!$J262 &amp; "","")</f>
        <v>Springboro, OH 45066</v>
      </c>
    </row>
    <row r="261" spans="1:3" ht="15" customHeight="1" x14ac:dyDescent="0.25">
      <c r="A261" t="str">
        <f>IF(Master!$M263&lt;&gt;"",Master!$E263 &amp; "","")</f>
        <v>Javon Yoakum</v>
      </c>
      <c r="B261" t="str">
        <f>IF(Master!$M263&lt;&gt;"",Master!$F263 &amp; "","")</f>
        <v>4347 Willow Run Dr</v>
      </c>
      <c r="C261" t="str">
        <f>IF(Master!$M263&lt;&gt;"",Master!$J263 &amp; "","")</f>
        <v>Beavercreek, OH 45430</v>
      </c>
    </row>
    <row r="262" spans="1:3" ht="15" customHeight="1" x14ac:dyDescent="0.25">
      <c r="A262" t="str">
        <f>IF(Master!$M264&lt;&gt;"",Master!$E264 &amp; "","")</f>
        <v>Karron Yoakum</v>
      </c>
      <c r="B262" t="str">
        <f>IF(Master!$M264&lt;&gt;"",Master!$F264 &amp; "","")</f>
        <v>4347 Willow Run Dr</v>
      </c>
      <c r="C262" t="str">
        <f>IF(Master!$M264&lt;&gt;"",Master!$J264 &amp; "","")</f>
        <v>Beavercreek, OH 45430</v>
      </c>
    </row>
    <row r="263" spans="1:3" ht="15" customHeight="1" x14ac:dyDescent="0.25">
      <c r="A263" t="str">
        <f>IF(Master!$M265&lt;&gt;"",Master!$E265 &amp; "","")</f>
        <v>Andrew Zecchini</v>
      </c>
      <c r="B263" t="str">
        <f>IF(Master!$M265&lt;&gt;"",Master!$F265 &amp; "","")</f>
        <v>9794 Scotchpine Dr</v>
      </c>
      <c r="C263" t="str">
        <f>IF(Master!$M265&lt;&gt;"",Master!$J265 &amp; "","")</f>
        <v>Springboro, OH 45066</v>
      </c>
    </row>
    <row r="264" spans="1:3" ht="15" customHeight="1" x14ac:dyDescent="0.25">
      <c r="A264" t="str">
        <f>IF(Master!$M266&lt;&gt;"",Master!$E266 &amp; "","")</f>
        <v>Jessica Zimmerman</v>
      </c>
      <c r="B264" t="str">
        <f>IF(Master!$M266&lt;&gt;"",Master!$F266 &amp; "","")</f>
        <v>3204 Sudbury Dr</v>
      </c>
      <c r="C264" t="str">
        <f>IF(Master!$M266&lt;&gt;"",Master!$J266 &amp; "","")</f>
        <v>Kettering, OH 45420</v>
      </c>
    </row>
    <row r="265" spans="1:3" ht="15" customHeight="1" x14ac:dyDescent="0.25">
      <c r="A265" t="str">
        <f>IF(Master!$M267&lt;&gt;"",Master!$E267 &amp; "","")</f>
        <v>Lucas Zwiers</v>
      </c>
      <c r="B265" t="str">
        <f>IF(Master!$M267&lt;&gt;"",Master!$F267 &amp; "","")</f>
        <v>3383 W. Alex Bell Rd</v>
      </c>
      <c r="C265" t="str">
        <f>IF(Master!$M267&lt;&gt;"",Master!$J267 &amp; "","")</f>
        <v>West Carrollton, OH 45449</v>
      </c>
    </row>
    <row r="266" spans="1:3" ht="15" customHeight="1" x14ac:dyDescent="0.25">
      <c r="A266" t="str">
        <f>IF(Master!$M268&lt;&gt;"",Master!$E268 &amp; "","")</f>
        <v/>
      </c>
      <c r="B266" t="str">
        <f>IF(Master!$M268&lt;&gt;"",Master!$F268 &amp; "","")</f>
        <v/>
      </c>
      <c r="C266" t="str">
        <f>IF(Master!$M268&lt;&gt;"",Master!$J268 &amp; "","")</f>
        <v/>
      </c>
    </row>
    <row r="267" spans="1:3" ht="15" customHeight="1" x14ac:dyDescent="0.25">
      <c r="A267" t="str">
        <f>IF(Master!$M269&lt;&gt;"",Master!$E269 &amp; "","")</f>
        <v/>
      </c>
      <c r="B267" t="str">
        <f>IF(Master!$M269&lt;&gt;"",Master!$F269 &amp; "","")</f>
        <v/>
      </c>
      <c r="C267" t="str">
        <f>IF(Master!$M269&lt;&gt;"",Master!$J269 &amp; "","")</f>
        <v/>
      </c>
    </row>
    <row r="268" spans="1:3" ht="15" customHeight="1" x14ac:dyDescent="0.25">
      <c r="A268" t="str">
        <f>IF(Master!$M270&lt;&gt;"",Master!$E270 &amp; "","")</f>
        <v/>
      </c>
      <c r="B268" t="str">
        <f>IF(Master!$M270&lt;&gt;"",Master!$F270 &amp; "","")</f>
        <v/>
      </c>
      <c r="C268" t="str">
        <f>IF(Master!$M270&lt;&gt;"",Master!$J270 &amp; "","")</f>
        <v/>
      </c>
    </row>
    <row r="269" spans="1:3" ht="15" customHeight="1" x14ac:dyDescent="0.25">
      <c r="A269" t="str">
        <f>IF(Master!$M271&lt;&gt;"",Master!$E271 &amp; "","")</f>
        <v/>
      </c>
      <c r="B269" t="str">
        <f>IF(Master!$M271&lt;&gt;"",Master!$F271 &amp; "","")</f>
        <v/>
      </c>
      <c r="C269" t="str">
        <f>IF(Master!$M271&lt;&gt;"",Master!$J271 &amp; "","")</f>
        <v/>
      </c>
    </row>
    <row r="270" spans="1:3" ht="15" customHeight="1" x14ac:dyDescent="0.25">
      <c r="A270" t="str">
        <f>IF(Master!$M272&lt;&gt;"",Master!$E272 &amp; "","")</f>
        <v/>
      </c>
      <c r="B270" t="str">
        <f>IF(Master!$M272&lt;&gt;"",Master!$F272 &amp; "","")</f>
        <v/>
      </c>
      <c r="C270" t="str">
        <f>IF(Master!$M272&lt;&gt;"",Master!$J272 &amp; "","")</f>
        <v/>
      </c>
    </row>
    <row r="271" spans="1:3" ht="15" customHeight="1" x14ac:dyDescent="0.25">
      <c r="A271" t="str">
        <f>IF(Master!$M273&lt;&gt;"",Master!$E273 &amp; "","")</f>
        <v/>
      </c>
      <c r="B271" t="str">
        <f>IF(Master!$M273&lt;&gt;"",Master!$F273 &amp; "","")</f>
        <v/>
      </c>
      <c r="C271" t="str">
        <f>IF(Master!$M273&lt;&gt;"",Master!$J273 &amp; "","")</f>
        <v/>
      </c>
    </row>
    <row r="272" spans="1:3" ht="15" customHeight="1" x14ac:dyDescent="0.25">
      <c r="A272" t="str">
        <f>IF(Master!$M274&lt;&gt;"",Master!$E274 &amp; "","")</f>
        <v/>
      </c>
      <c r="B272" t="str">
        <f>IF(Master!$M274&lt;&gt;"",Master!$F274 &amp; "","")</f>
        <v/>
      </c>
      <c r="C272" t="str">
        <f>IF(Master!$M274&lt;&gt;"",Master!$J274 &amp; "","")</f>
        <v/>
      </c>
    </row>
    <row r="273" spans="1:3" ht="15" customHeight="1" x14ac:dyDescent="0.25">
      <c r="A273" t="str">
        <f>IF(Master!$M275&lt;&gt;"",Master!$E275 &amp; "","")</f>
        <v/>
      </c>
      <c r="B273" t="str">
        <f>IF(Master!$M275&lt;&gt;"",Master!$F275 &amp; "","")</f>
        <v/>
      </c>
      <c r="C273" t="str">
        <f>IF(Master!$M275&lt;&gt;"",Master!$J275 &amp; "","")</f>
        <v/>
      </c>
    </row>
    <row r="274" spans="1:3" ht="15" customHeight="1" x14ac:dyDescent="0.25">
      <c r="A274" t="str">
        <f>IF(Master!$M276&lt;&gt;"",Master!$E276 &amp; "","")</f>
        <v/>
      </c>
      <c r="B274" t="str">
        <f>IF(Master!$M276&lt;&gt;"",Master!$F276 &amp; "","")</f>
        <v/>
      </c>
      <c r="C274" t="str">
        <f>IF(Master!$M276&lt;&gt;"",Master!$J276 &amp; "","")</f>
        <v/>
      </c>
    </row>
    <row r="275" spans="1:3" ht="15" customHeight="1" x14ac:dyDescent="0.25">
      <c r="A275" t="str">
        <f>IF(Master!$M277&lt;&gt;"",Master!$E277 &amp; "","")</f>
        <v/>
      </c>
      <c r="B275" t="str">
        <f>IF(Master!$M277&lt;&gt;"",Master!$F277 &amp; "","")</f>
        <v/>
      </c>
      <c r="C275" t="str">
        <f>IF(Master!$M277&lt;&gt;"",Master!$J277 &amp; "","")</f>
        <v/>
      </c>
    </row>
    <row r="276" spans="1:3" ht="15" customHeight="1" x14ac:dyDescent="0.25">
      <c r="A276" t="str">
        <f>IF(Master!$M278&lt;&gt;"",Master!$E278 &amp; "","")</f>
        <v/>
      </c>
      <c r="B276" t="str">
        <f>IF(Master!$M278&lt;&gt;"",Master!$F278 &amp; "","")</f>
        <v/>
      </c>
      <c r="C276" t="str">
        <f>IF(Master!$M278&lt;&gt;"",Master!$J278 &amp; "","")</f>
        <v/>
      </c>
    </row>
  </sheetData>
  <sheetProtection algorithmName="SHA-512" hashValue="iqFN+kxiShY3cqtFyl4DIDIor3qnGyYqWkDq9EhY7jELKKH+zqGm6Vch16UV0+JUo0VFlZwAvCX6MurDMeF9ng==" saltValue="NfymguJ1497QshN2Q2c2FA==" spinCount="100000" sheet="1" objects="1" scenarios="1"/>
  <autoFilter ref="A1:C276" xr:uid="{00000000-0009-0000-0000-000005000000}">
    <filterColumn colId="0">
      <customFilters>
        <customFilter operator="notEqual" val=" "/>
      </customFilters>
    </filterColumn>
  </autoFilter>
  <printOptions gridLines="1"/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/>
  <dimension ref="A1:E270"/>
  <sheetViews>
    <sheetView workbookViewId="0"/>
  </sheetViews>
  <sheetFormatPr defaultRowHeight="15" x14ac:dyDescent="0.25"/>
  <cols>
    <col min="1" max="1" width="22.5703125" customWidth="1"/>
    <col min="2" max="2" width="30.140625" customWidth="1"/>
    <col min="3" max="3" width="24.85546875" customWidth="1"/>
  </cols>
  <sheetData>
    <row r="1" spans="1:5" ht="15.75" x14ac:dyDescent="0.25">
      <c r="A1" s="30" t="s">
        <v>109</v>
      </c>
      <c r="B1" s="30" t="s">
        <v>110</v>
      </c>
      <c r="C1" s="30" t="s">
        <v>561</v>
      </c>
      <c r="E1" t="str">
        <f>IF(Master!$N2&lt;&gt;"",Master!$E2 &amp; "","")</f>
        <v>Avery Abshear</v>
      </c>
    </row>
    <row r="2" spans="1:5" x14ac:dyDescent="0.25">
      <c r="A2" t="str">
        <f>IF(Master!$N2&lt;&gt;"",Master!$E2 &amp; "","")</f>
        <v>Avery Abshear</v>
      </c>
      <c r="B2" t="str">
        <f>IF(Master!$N2&lt;&gt;"",Master!$F2 &amp; "","")</f>
        <v>81 East Drive</v>
      </c>
      <c r="C2" t="str">
        <f>IF(Master!$N2&lt;&gt;"",Master!$J2 &amp; "","")</f>
        <v>Centerville, OH 45459</v>
      </c>
    </row>
    <row r="3" spans="1:5" x14ac:dyDescent="0.25">
      <c r="A3" t="str">
        <f>IF(Master!$N3&lt;&gt;"",Master!$E3 &amp; "","")</f>
        <v>Jackson Abshear</v>
      </c>
      <c r="B3" t="str">
        <f>IF(Master!$N3&lt;&gt;"",Master!$F3 &amp; "","")</f>
        <v/>
      </c>
      <c r="C3" t="str">
        <f>IF(Master!$N3&lt;&gt;"",Master!$J3 &amp; "","")</f>
        <v/>
      </c>
    </row>
    <row r="4" spans="1:5" x14ac:dyDescent="0.25">
      <c r="A4" t="str">
        <f>IF(Master!$N4&lt;&gt;"",Master!$E4 &amp; "","")</f>
        <v/>
      </c>
      <c r="B4" t="str">
        <f>IF(Master!$N4&lt;&gt;"",Master!$F4 &amp; "","")</f>
        <v/>
      </c>
      <c r="C4" t="str">
        <f>IF(Master!$N4&lt;&gt;"",Master!$J4 &amp; "","")</f>
        <v/>
      </c>
    </row>
    <row r="5" spans="1:5" x14ac:dyDescent="0.25">
      <c r="A5" t="str">
        <f>IF(Master!$N5&lt;&gt;"",Master!$E5 &amp; "","")</f>
        <v/>
      </c>
      <c r="B5" t="str">
        <f>IF(Master!$N5&lt;&gt;"",Master!$F5 &amp; "","")</f>
        <v/>
      </c>
      <c r="C5" t="str">
        <f>IF(Master!$N5&lt;&gt;"",Master!$J5 &amp; "","")</f>
        <v/>
      </c>
    </row>
    <row r="6" spans="1:5" x14ac:dyDescent="0.25">
      <c r="A6" t="str">
        <f>IF(Master!$N6&lt;&gt;"",Master!$E6 &amp; "","")</f>
        <v>Gordon (JR) Alobwede</v>
      </c>
      <c r="B6" t="str">
        <f>IF(Master!$N6&lt;&gt;"",Master!$F6 &amp; "","")</f>
        <v>4323 Turtle Dove Way</v>
      </c>
      <c r="C6" t="str">
        <f>IF(Master!$N6&lt;&gt;"",Master!$J6 &amp; "","")</f>
        <v>Miamisburg, OH 45342</v>
      </c>
    </row>
    <row r="7" spans="1:5" x14ac:dyDescent="0.25">
      <c r="A7" t="str">
        <f>IF(Master!$N7&lt;&gt;"",Master!$E7 &amp; "","")</f>
        <v>Landrie Amaro</v>
      </c>
      <c r="B7" t="str">
        <f>IF(Master!$N7&lt;&gt;"",Master!$F7 &amp; "","")</f>
        <v>2083 S. Tulane Dr</v>
      </c>
      <c r="C7" t="str">
        <f>IF(Master!$N7&lt;&gt;"",Master!$J7 &amp; "","")</f>
        <v>Beavercreek, OH 45431</v>
      </c>
    </row>
    <row r="8" spans="1:5" x14ac:dyDescent="0.25">
      <c r="A8" t="str">
        <f>IF(Master!$N8&lt;&gt;"",Master!$E8 &amp; "","")</f>
        <v/>
      </c>
      <c r="B8" t="str">
        <f>IF(Master!$N8&lt;&gt;"",Master!$F8 &amp; "","")</f>
        <v/>
      </c>
      <c r="C8" t="str">
        <f>IF(Master!$N8&lt;&gt;"",Master!$J8 &amp; "","")</f>
        <v/>
      </c>
    </row>
    <row r="9" spans="1:5" x14ac:dyDescent="0.25">
      <c r="A9" t="str">
        <f>IF(Master!$N9&lt;&gt;"",Master!$E9 &amp; "","")</f>
        <v>Elena Back</v>
      </c>
      <c r="B9" t="str">
        <f>IF(Master!$N9&lt;&gt;"",Master!$F9 &amp; "","")</f>
        <v/>
      </c>
      <c r="C9" t="str">
        <f>IF(Master!$N9&lt;&gt;"",Master!$J9 &amp; "","")</f>
        <v/>
      </c>
    </row>
    <row r="10" spans="1:5" x14ac:dyDescent="0.25">
      <c r="A10" t="str">
        <f>IF(Master!$N10&lt;&gt;"",Master!$E10 &amp; "","")</f>
        <v>Harper Besserman</v>
      </c>
      <c r="B10" t="str">
        <f>IF(Master!$N10&lt;&gt;"",Master!$F10 &amp; "","")</f>
        <v>1620 S. Branch Rd</v>
      </c>
      <c r="C10" t="str">
        <f>IF(Master!$N10&lt;&gt;"",Master!$J10 &amp; "","")</f>
        <v>Dayton, OH 45458</v>
      </c>
    </row>
    <row r="11" spans="1:5" x14ac:dyDescent="0.25">
      <c r="A11" t="str">
        <f>IF(Master!$N11&lt;&gt;"",Master!$E11 &amp; "","")</f>
        <v/>
      </c>
      <c r="B11" t="str">
        <f>IF(Master!$N11&lt;&gt;"",Master!$F11 &amp; "","")</f>
        <v/>
      </c>
      <c r="C11" t="str">
        <f>IF(Master!$N11&lt;&gt;"",Master!$J11 &amp; "","")</f>
        <v/>
      </c>
    </row>
    <row r="12" spans="1:5" x14ac:dyDescent="0.25">
      <c r="A12" t="str">
        <f>IF(Master!$N12&lt;&gt;"",Master!$E12 &amp; "","")</f>
        <v>Leila Binkley</v>
      </c>
      <c r="B12" t="str">
        <f>IF(Master!$N12&lt;&gt;"",Master!$F12 &amp; "","")</f>
        <v>4232 Weber Dr</v>
      </c>
      <c r="C12" t="str">
        <f>IF(Master!$N12&lt;&gt;"",Master!$J12 &amp; "","")</f>
        <v>Beavercreek, OH 45430</v>
      </c>
    </row>
    <row r="13" spans="1:5" x14ac:dyDescent="0.25">
      <c r="A13" t="str">
        <f>IF(Master!$N13&lt;&gt;"",Master!$E13 &amp; "","")</f>
        <v>Naomi Black</v>
      </c>
      <c r="B13" t="str">
        <f>IF(Master!$N13&lt;&gt;"",Master!$F13 &amp; "","")</f>
        <v>113 Goldengate Dr</v>
      </c>
      <c r="C13" t="str">
        <f>IF(Master!$N13&lt;&gt;"",Master!$J13 &amp; "","")</f>
        <v>Centerville, OH 45459</v>
      </c>
    </row>
    <row r="14" spans="1:5" x14ac:dyDescent="0.25">
      <c r="A14" t="str">
        <f>IF(Master!$N14&lt;&gt;"",Master!$E14 &amp; "","")</f>
        <v/>
      </c>
      <c r="B14" t="str">
        <f>IF(Master!$N14&lt;&gt;"",Master!$F14 &amp; "","")</f>
        <v/>
      </c>
      <c r="C14" t="str">
        <f>IF(Master!$N14&lt;&gt;"",Master!$J14 &amp; "","")</f>
        <v/>
      </c>
    </row>
    <row r="15" spans="1:5" x14ac:dyDescent="0.25">
      <c r="A15" t="str">
        <f>IF(Master!$N15&lt;&gt;"",Master!$E15 &amp; "","")</f>
        <v/>
      </c>
      <c r="B15" t="str">
        <f>IF(Master!$N15&lt;&gt;"",Master!$F15 &amp; "","")</f>
        <v/>
      </c>
      <c r="C15" t="str">
        <f>IF(Master!$N15&lt;&gt;"",Master!$J15 &amp; "","")</f>
        <v/>
      </c>
    </row>
    <row r="16" spans="1:5" x14ac:dyDescent="0.25">
      <c r="A16" t="str">
        <f>IF(Master!$N16&lt;&gt;"",Master!$E16 &amp; "","")</f>
        <v/>
      </c>
      <c r="B16" t="str">
        <f>IF(Master!$N16&lt;&gt;"",Master!$F16 &amp; "","")</f>
        <v/>
      </c>
      <c r="C16" t="str">
        <f>IF(Master!$N16&lt;&gt;"",Master!$J16 &amp; "","")</f>
        <v/>
      </c>
    </row>
    <row r="17" spans="1:3" x14ac:dyDescent="0.25">
      <c r="A17" t="str">
        <f>IF(Master!$N17&lt;&gt;"",Master!$E17 &amp; "","")</f>
        <v/>
      </c>
      <c r="B17" t="str">
        <f>IF(Master!$N17&lt;&gt;"",Master!$F17 &amp; "","")</f>
        <v/>
      </c>
      <c r="C17" t="str">
        <f>IF(Master!$N17&lt;&gt;"",Master!$J17 &amp; "","")</f>
        <v/>
      </c>
    </row>
    <row r="18" spans="1:3" x14ac:dyDescent="0.25">
      <c r="A18" t="str">
        <f>IF(Master!$N18&lt;&gt;"",Master!$E18 &amp; "","")</f>
        <v>Hannah Borton</v>
      </c>
      <c r="B18" t="str">
        <f>IF(Master!$N18&lt;&gt;"",Master!$F18 &amp; "","")</f>
        <v/>
      </c>
      <c r="C18" t="str">
        <f>IF(Master!$N18&lt;&gt;"",Master!$J18 &amp; "","")</f>
        <v/>
      </c>
    </row>
    <row r="19" spans="1:3" x14ac:dyDescent="0.25">
      <c r="A19" t="str">
        <f>IF(Master!$N19&lt;&gt;"",Master!$E19 &amp; "","")</f>
        <v/>
      </c>
      <c r="B19" t="str">
        <f>IF(Master!$N19&lt;&gt;"",Master!$F19 &amp; "","")</f>
        <v/>
      </c>
      <c r="C19" t="str">
        <f>IF(Master!$N19&lt;&gt;"",Master!$J19 &amp; "","")</f>
        <v/>
      </c>
    </row>
    <row r="20" spans="1:3" x14ac:dyDescent="0.25">
      <c r="A20" t="str">
        <f>IF(Master!$N20&lt;&gt;"",Master!$E20 &amp; "","")</f>
        <v>Tobias Bowermaster</v>
      </c>
      <c r="B20" t="str">
        <f>IF(Master!$N20&lt;&gt;"",Master!$F20 &amp; "","")</f>
        <v/>
      </c>
      <c r="C20" t="str">
        <f>IF(Master!$N20&lt;&gt;"",Master!$J20 &amp; "","")</f>
        <v/>
      </c>
    </row>
    <row r="21" spans="1:3" x14ac:dyDescent="0.25">
      <c r="A21" t="str">
        <f>IF(Master!$N21&lt;&gt;"",Master!$E21 &amp; "","")</f>
        <v/>
      </c>
      <c r="B21" t="str">
        <f>IF(Master!$N21&lt;&gt;"",Master!$F21 &amp; "","")</f>
        <v/>
      </c>
      <c r="C21" t="str">
        <f>IF(Master!$N21&lt;&gt;"",Master!$J21 &amp; "","")</f>
        <v/>
      </c>
    </row>
    <row r="22" spans="1:3" x14ac:dyDescent="0.25">
      <c r="A22" t="str">
        <f>IF(Master!$N22&lt;&gt;"",Master!$E22 &amp; "","")</f>
        <v/>
      </c>
      <c r="B22" t="str">
        <f>IF(Master!$N22&lt;&gt;"",Master!$F22 &amp; "","")</f>
        <v/>
      </c>
      <c r="C22" t="str">
        <f>IF(Master!$N22&lt;&gt;"",Master!$J22 &amp; "","")</f>
        <v/>
      </c>
    </row>
    <row r="23" spans="1:3" x14ac:dyDescent="0.25">
      <c r="A23" t="str">
        <f>IF(Master!$N23&lt;&gt;"",Master!$E23 &amp; "","")</f>
        <v>Everette Bowman</v>
      </c>
      <c r="B23" t="str">
        <f>IF(Master!$N23&lt;&gt;"",Master!$F23 &amp; "","")</f>
        <v/>
      </c>
      <c r="C23" t="str">
        <f>IF(Master!$N23&lt;&gt;"",Master!$J23 &amp; "","")</f>
        <v/>
      </c>
    </row>
    <row r="24" spans="1:3" x14ac:dyDescent="0.25">
      <c r="A24" t="str">
        <f>IF(Master!$N24&lt;&gt;"",Master!$E24 &amp; "","")</f>
        <v>Gretchen Braun</v>
      </c>
      <c r="B24" t="str">
        <f>IF(Master!$N24&lt;&gt;"",Master!$F24 &amp; "","")</f>
        <v>2154 Hedge Gate Blvd</v>
      </c>
      <c r="C24" t="str">
        <f>IF(Master!$N24&lt;&gt;"",Master!$J24 &amp; "","")</f>
        <v>Beavercreek, OH 45431</v>
      </c>
    </row>
    <row r="25" spans="1:3" x14ac:dyDescent="0.25">
      <c r="A25" t="str">
        <f>IF(Master!$N25&lt;&gt;"",Master!$E25 &amp; "","")</f>
        <v>Charles Brewer</v>
      </c>
      <c r="B25" t="str">
        <f>IF(Master!$N25&lt;&gt;"",Master!$F25 &amp; "","")</f>
        <v>141 Chestnut Ave</v>
      </c>
      <c r="C25" t="str">
        <f>IF(Master!$N25&lt;&gt;"",Master!$J25 &amp; "","")</f>
        <v>Carlisle, OH 45005</v>
      </c>
    </row>
    <row r="26" spans="1:3" x14ac:dyDescent="0.25">
      <c r="A26" t="str">
        <f>IF(Master!$N26&lt;&gt;"",Master!$E26 &amp; "","")</f>
        <v/>
      </c>
      <c r="B26" t="str">
        <f>IF(Master!$N26&lt;&gt;"",Master!$F26 &amp; "","")</f>
        <v/>
      </c>
      <c r="C26" t="str">
        <f>IF(Master!$N26&lt;&gt;"",Master!$J26 &amp; "","")</f>
        <v/>
      </c>
    </row>
    <row r="27" spans="1:3" x14ac:dyDescent="0.25">
      <c r="A27" t="str">
        <f>IF(Master!$N27&lt;&gt;"",Master!$E27 &amp; "","")</f>
        <v>Janice Brun</v>
      </c>
      <c r="B27" t="str">
        <f>IF(Master!$N27&lt;&gt;"",Master!$F27 &amp; "","")</f>
        <v>562 W Alex Bell Rd</v>
      </c>
      <c r="C27" t="str">
        <f>IF(Master!$N27&lt;&gt;"",Master!$J27 &amp; "","")</f>
        <v>Centerville, OH 45459</v>
      </c>
    </row>
    <row r="28" spans="1:3" x14ac:dyDescent="0.25">
      <c r="A28" t="str">
        <f>IF(Master!$N28&lt;&gt;"",Master!$E28 &amp; "","")</f>
        <v>Niklaus Burtnett</v>
      </c>
      <c r="B28" t="str">
        <f>IF(Master!$N28&lt;&gt;"",Master!$F28 &amp; "","")</f>
        <v/>
      </c>
      <c r="C28" t="str">
        <f>IF(Master!$N28&lt;&gt;"",Master!$J28 &amp; "","")</f>
        <v/>
      </c>
    </row>
    <row r="29" spans="1:3" x14ac:dyDescent="0.25">
      <c r="A29" t="str">
        <f>IF(Master!$N29&lt;&gt;"",Master!$E29 &amp; "","")</f>
        <v/>
      </c>
      <c r="B29" t="str">
        <f>IF(Master!$N29&lt;&gt;"",Master!$F29 &amp; "","")</f>
        <v/>
      </c>
      <c r="C29" t="str">
        <f>IF(Master!$N29&lt;&gt;"",Master!$J29 &amp; "","")</f>
        <v/>
      </c>
    </row>
    <row r="30" spans="1:3" x14ac:dyDescent="0.25">
      <c r="A30" t="str">
        <f>IF(Master!$N30&lt;&gt;"",Master!$E30 &amp; "","")</f>
        <v>Fred Cairo</v>
      </c>
      <c r="B30" t="str">
        <f>IF(Master!$N30&lt;&gt;"",Master!$F30 &amp; "","")</f>
        <v>37 W Wren Cir</v>
      </c>
      <c r="C30" t="str">
        <f>IF(Master!$N30&lt;&gt;"",Master!$J30 &amp; "","")</f>
        <v>Kettering, OH 45420</v>
      </c>
    </row>
    <row r="31" spans="1:3" x14ac:dyDescent="0.25">
      <c r="A31" t="str">
        <f>IF(Master!$N31&lt;&gt;"",Master!$E31 &amp; "","")</f>
        <v>Benny Calcutta</v>
      </c>
      <c r="B31" t="str">
        <f>IF(Master!$N31&lt;&gt;"",Master!$F31 &amp; "","")</f>
        <v>1858 Beaverton Dr</v>
      </c>
      <c r="C31" t="str">
        <f>IF(Master!$N31&lt;&gt;"",Master!$J31 &amp; "","")</f>
        <v>Kettering, OH 45429</v>
      </c>
    </row>
    <row r="32" spans="1:3" x14ac:dyDescent="0.25">
      <c r="A32" t="str">
        <f>IF(Master!$N32&lt;&gt;"",Master!$E32 &amp; "","")</f>
        <v/>
      </c>
      <c r="B32" t="str">
        <f>IF(Master!$N32&lt;&gt;"",Master!$F32 &amp; "","")</f>
        <v/>
      </c>
      <c r="C32" t="str">
        <f>IF(Master!$N32&lt;&gt;"",Master!$J32 &amp; "","")</f>
        <v/>
      </c>
    </row>
    <row r="33" spans="1:3" x14ac:dyDescent="0.25">
      <c r="A33" t="str">
        <f>IF(Master!$N33&lt;&gt;"",Master!$E33 &amp; "","")</f>
        <v/>
      </c>
      <c r="B33" t="str">
        <f>IF(Master!$N33&lt;&gt;"",Master!$F33 &amp; "","")</f>
        <v/>
      </c>
      <c r="C33" t="str">
        <f>IF(Master!$N33&lt;&gt;"",Master!$J33 &amp; "","")</f>
        <v/>
      </c>
    </row>
    <row r="34" spans="1:3" x14ac:dyDescent="0.25">
      <c r="A34" t="str">
        <f>IF(Master!$N34&lt;&gt;"",Master!$E34 &amp; "","")</f>
        <v>Luca Carlton</v>
      </c>
      <c r="B34" t="str">
        <f>IF(Master!$N34&lt;&gt;"",Master!$F34 &amp; "","")</f>
        <v/>
      </c>
      <c r="C34" t="str">
        <f>IF(Master!$N34&lt;&gt;"",Master!$J34 &amp; "","")</f>
        <v/>
      </c>
    </row>
    <row r="35" spans="1:3" x14ac:dyDescent="0.25">
      <c r="A35" t="str">
        <f>IF(Master!$N35&lt;&gt;"",Master!$E35 &amp; "","")</f>
        <v>Jackson Chockey</v>
      </c>
      <c r="B35" t="str">
        <f>IF(Master!$N35&lt;&gt;"",Master!$F35 &amp; "","")</f>
        <v>4348 Chippewa Trail</v>
      </c>
      <c r="C35" t="str">
        <f>IF(Master!$N35&lt;&gt;"",Master!$J35 &amp; "","")</f>
        <v>Jamestown, OH 45335</v>
      </c>
    </row>
    <row r="36" spans="1:3" x14ac:dyDescent="0.25">
      <c r="A36" t="str">
        <f>IF(Master!$N36&lt;&gt;"",Master!$E36 &amp; "","")</f>
        <v/>
      </c>
      <c r="B36" t="str">
        <f>IF(Master!$N36&lt;&gt;"",Master!$F36 &amp; "","")</f>
        <v/>
      </c>
      <c r="C36" t="str">
        <f>IF(Master!$N36&lt;&gt;"",Master!$J36 &amp; "","")</f>
        <v/>
      </c>
    </row>
    <row r="37" spans="1:3" x14ac:dyDescent="0.25">
      <c r="A37" t="str">
        <f>IF(Master!$N37&lt;&gt;"",Master!$E37 &amp; "","")</f>
        <v>Emma Cloyes</v>
      </c>
      <c r="B37" t="str">
        <f>IF(Master!$N37&lt;&gt;"",Master!$F37 &amp; "","")</f>
        <v/>
      </c>
      <c r="C37" t="str">
        <f>IF(Master!$N37&lt;&gt;"",Master!$J37 &amp; "","")</f>
        <v/>
      </c>
    </row>
    <row r="38" spans="1:3" x14ac:dyDescent="0.25">
      <c r="A38" t="str">
        <f>IF(Master!$N38&lt;&gt;"",Master!$E38 &amp; "","")</f>
        <v>Charlie Coleman</v>
      </c>
      <c r="B38" t="str">
        <f>IF(Master!$N38&lt;&gt;"",Master!$F38 &amp; "","")</f>
        <v/>
      </c>
      <c r="C38" t="str">
        <f>IF(Master!$N38&lt;&gt;"",Master!$J38 &amp; "","")</f>
        <v/>
      </c>
    </row>
    <row r="39" spans="1:3" x14ac:dyDescent="0.25">
      <c r="A39" t="str">
        <f>IF(Master!$N39&lt;&gt;"",Master!$E39 &amp; "","")</f>
        <v>Jack Coleman</v>
      </c>
      <c r="B39" t="str">
        <f>IF(Master!$N39&lt;&gt;"",Master!$F39 &amp; "","")</f>
        <v/>
      </c>
      <c r="C39" t="str">
        <f>IF(Master!$N39&lt;&gt;"",Master!$J39 &amp; "","")</f>
        <v/>
      </c>
    </row>
    <row r="40" spans="1:3" x14ac:dyDescent="0.25">
      <c r="A40" t="str">
        <f>IF(Master!$N40&lt;&gt;"",Master!$E40 &amp; "","")</f>
        <v>Steven Conlee</v>
      </c>
      <c r="B40" t="str">
        <f>IF(Master!$N40&lt;&gt;"",Master!$F40 &amp; "","")</f>
        <v>2299 Adrian Ct</v>
      </c>
      <c r="C40" t="str">
        <f>IF(Master!$N40&lt;&gt;"",Master!$J40 &amp; "","")</f>
        <v>Dayton, OH 45439</v>
      </c>
    </row>
    <row r="41" spans="1:3" x14ac:dyDescent="0.25">
      <c r="A41" t="str">
        <f>IF(Master!$N41&lt;&gt;"",Master!$E41 &amp; "","")</f>
        <v/>
      </c>
      <c r="B41" t="str">
        <f>IF(Master!$N41&lt;&gt;"",Master!$F41 &amp; "","")</f>
        <v/>
      </c>
      <c r="C41" t="str">
        <f>IF(Master!$N41&lt;&gt;"",Master!$J41 &amp; "","")</f>
        <v/>
      </c>
    </row>
    <row r="42" spans="1:3" x14ac:dyDescent="0.25">
      <c r="A42" t="str">
        <f>IF(Master!$N42&lt;&gt;"",Master!$E42 &amp; "","")</f>
        <v/>
      </c>
      <c r="B42" t="str">
        <f>IF(Master!$N42&lt;&gt;"",Master!$F42 &amp; "","")</f>
        <v/>
      </c>
      <c r="C42" t="str">
        <f>IF(Master!$N42&lt;&gt;"",Master!$J42 &amp; "","")</f>
        <v/>
      </c>
    </row>
    <row r="43" spans="1:3" x14ac:dyDescent="0.25">
      <c r="A43" t="str">
        <f>IF(Master!$N43&lt;&gt;"",Master!$E43 &amp; "","")</f>
        <v>Carter Cornell</v>
      </c>
      <c r="B43" t="str">
        <f>IF(Master!$N43&lt;&gt;"",Master!$F43 &amp; "","")</f>
        <v>1934 Nutt Rd</v>
      </c>
      <c r="C43" t="str">
        <f>IF(Master!$N43&lt;&gt;"",Master!$J43 &amp; "","")</f>
        <v>Centerville, OH 45458</v>
      </c>
    </row>
    <row r="44" spans="1:3" x14ac:dyDescent="0.25">
      <c r="A44" t="str">
        <f>IF(Master!$N44&lt;&gt;"",Master!$E44 &amp; "","")</f>
        <v>Andrew Crosby</v>
      </c>
      <c r="B44" t="str">
        <f>IF(Master!$N44&lt;&gt;"",Master!$F44 &amp; "","")</f>
        <v>9217 N. Creek Ln</v>
      </c>
      <c r="C44" t="str">
        <f>IF(Master!$N44&lt;&gt;"",Master!$J44 &amp; "","")</f>
        <v>Centerville, OH 45458</v>
      </c>
    </row>
    <row r="45" spans="1:3" x14ac:dyDescent="0.25">
      <c r="A45" t="str">
        <f>IF(Master!$N45&lt;&gt;"",Master!$E45 &amp; "","")</f>
        <v>Noah Curtis</v>
      </c>
      <c r="B45" t="str">
        <f>IF(Master!$N45&lt;&gt;"",Master!$F45 &amp; "","")</f>
        <v>116 St. Rt 350</v>
      </c>
      <c r="C45" t="str">
        <f>IF(Master!$N45&lt;&gt;"",Master!$J45 &amp; "","")</f>
        <v>Cuba, OH 45177</v>
      </c>
    </row>
    <row r="46" spans="1:3" x14ac:dyDescent="0.25">
      <c r="A46" t="str">
        <f>IF(Master!$N46&lt;&gt;"",Master!$E46 &amp; "","")</f>
        <v>Vada Daniels</v>
      </c>
      <c r="B46" t="str">
        <f>IF(Master!$N46&lt;&gt;"",Master!$F46 &amp; "","")</f>
        <v>2008 Pacer Trail</v>
      </c>
      <c r="C46" t="str">
        <f>IF(Master!$N46&lt;&gt;"",Master!$J46 &amp; "","")</f>
        <v>Beavercreek Twn, OH 45434</v>
      </c>
    </row>
    <row r="47" spans="1:3" x14ac:dyDescent="0.25">
      <c r="A47" t="str">
        <f>IF(Master!$N47&lt;&gt;"",Master!$E47 &amp; "","")</f>
        <v/>
      </c>
      <c r="B47" t="str">
        <f>IF(Master!$N47&lt;&gt;"",Master!$F47 &amp; "","")</f>
        <v/>
      </c>
      <c r="C47" t="str">
        <f>IF(Master!$N47&lt;&gt;"",Master!$J47 &amp; "","")</f>
        <v/>
      </c>
    </row>
    <row r="48" spans="1:3" x14ac:dyDescent="0.25">
      <c r="A48" t="str">
        <f>IF(Master!$N48&lt;&gt;"",Master!$E48 &amp; "","")</f>
        <v>Ian Davis</v>
      </c>
      <c r="B48" t="str">
        <f>IF(Master!$N48&lt;&gt;"",Master!$F48 &amp; "","")</f>
        <v>5260 Vermadale Drive</v>
      </c>
      <c r="C48" t="str">
        <f>IF(Master!$N48&lt;&gt;"",Master!$J48 &amp; "","")</f>
        <v>Dayton, OH 45429</v>
      </c>
    </row>
    <row r="49" spans="1:3" x14ac:dyDescent="0.25">
      <c r="A49" t="str">
        <f>IF(Master!$N49&lt;&gt;"",Master!$E49 &amp; "","")</f>
        <v>Payson Davis</v>
      </c>
      <c r="B49" t="str">
        <f>IF(Master!$N49&lt;&gt;"",Master!$F49 &amp; "","")</f>
        <v>743 Woodspring Ct</v>
      </c>
      <c r="C49" t="str">
        <f>IF(Master!$N49&lt;&gt;"",Master!$J49 &amp; "","")</f>
        <v>Beavercreek, OH 45430</v>
      </c>
    </row>
    <row r="50" spans="1:3" x14ac:dyDescent="0.25">
      <c r="A50" t="str">
        <f>IF(Master!$N50&lt;&gt;"",Master!$E50 &amp; "","")</f>
        <v/>
      </c>
      <c r="B50" t="str">
        <f>IF(Master!$N50&lt;&gt;"",Master!$F50 &amp; "","")</f>
        <v/>
      </c>
      <c r="C50" t="str">
        <f>IF(Master!$N50&lt;&gt;"",Master!$J50 &amp; "","")</f>
        <v/>
      </c>
    </row>
    <row r="51" spans="1:3" x14ac:dyDescent="0.25">
      <c r="A51" t="str">
        <f>IF(Master!$N51&lt;&gt;"",Master!$E51 &amp; "","")</f>
        <v>Kendra Denlinger</v>
      </c>
      <c r="B51" t="str">
        <f>IF(Master!$N51&lt;&gt;"",Master!$F51 &amp; "","")</f>
        <v>2799 Emerald Way</v>
      </c>
      <c r="C51" t="str">
        <f>IF(Master!$N51&lt;&gt;"",Master!$J51 &amp; "","")</f>
        <v>Waynesville, OH 45068</v>
      </c>
    </row>
    <row r="52" spans="1:3" x14ac:dyDescent="0.25">
      <c r="A52" t="str">
        <f>IF(Master!$N52&lt;&gt;"",Master!$E52 &amp; "","")</f>
        <v>Ryan DeWine</v>
      </c>
      <c r="B52" t="str">
        <f>IF(Master!$N52&lt;&gt;"",Master!$F52 &amp; "","")</f>
        <v>6605-2 Brigham Sq</v>
      </c>
      <c r="C52" t="str">
        <f>IF(Master!$N52&lt;&gt;"",Master!$J52 &amp; "","")</f>
        <v>Centerville, OH 45459</v>
      </c>
    </row>
    <row r="53" spans="1:3" x14ac:dyDescent="0.25">
      <c r="A53" t="str">
        <f>IF(Master!$N53&lt;&gt;"",Master!$E53 &amp; "","")</f>
        <v>Brandon Dietsch</v>
      </c>
      <c r="B53" t="str">
        <f>IF(Master!$N53&lt;&gt;"",Master!$F53 &amp; "","")</f>
        <v>1452 Vanderlyn Ct.</v>
      </c>
      <c r="C53" t="str">
        <f>IF(Master!$N53&lt;&gt;"",Master!$J53 &amp; "","")</f>
        <v>Fairborn, OH 45324</v>
      </c>
    </row>
    <row r="54" spans="1:3" x14ac:dyDescent="0.25">
      <c r="A54" t="str">
        <f>IF(Master!$N54&lt;&gt;"",Master!$E54 &amp; "","")</f>
        <v>Grant Dismuke</v>
      </c>
      <c r="B54" t="str">
        <f>IF(Master!$N54&lt;&gt;"",Master!$F54 &amp; "","")</f>
        <v>9186 Country Pond Trail</v>
      </c>
      <c r="C54" t="str">
        <f>IF(Master!$N54&lt;&gt;"",Master!$J54 &amp; "","")</f>
        <v>Miamisburg, OH 45342</v>
      </c>
    </row>
    <row r="55" spans="1:3" x14ac:dyDescent="0.25">
      <c r="A55" t="str">
        <f>IF(Master!$N55&lt;&gt;"",Master!$E55 &amp; "","")</f>
        <v>Matt Dorn</v>
      </c>
      <c r="B55" t="str">
        <f>IF(Master!$N55&lt;&gt;"",Master!$F55 &amp; "","")</f>
        <v>1483 Townhall</v>
      </c>
      <c r="C55" t="str">
        <f>IF(Master!$N55&lt;&gt;"",Master!$J55 &amp; "","")</f>
        <v>Beavercreek, OH 45434</v>
      </c>
    </row>
    <row r="56" spans="1:3" x14ac:dyDescent="0.25">
      <c r="A56" t="str">
        <f>IF(Master!$N56&lt;&gt;"",Master!$E56 &amp; "","")</f>
        <v>Laura Doroh</v>
      </c>
      <c r="B56" t="str">
        <f>IF(Master!$N56&lt;&gt;"",Master!$F56 &amp; "","")</f>
        <v>1564 Silverlake Dr</v>
      </c>
      <c r="C56" t="str">
        <f>IF(Master!$N56&lt;&gt;"",Master!$J56 &amp; "","")</f>
        <v>Dayton, OH 45458</v>
      </c>
    </row>
    <row r="57" spans="1:3" x14ac:dyDescent="0.25">
      <c r="A57" t="str">
        <f>IF(Master!$N57&lt;&gt;"",Master!$E57 &amp; "","")</f>
        <v>Will Drerup</v>
      </c>
      <c r="B57" t="str">
        <f>IF(Master!$N57&lt;&gt;"",Master!$F57 &amp; "","")</f>
        <v>2005 Indigo Trail</v>
      </c>
      <c r="C57" t="str">
        <f>IF(Master!$N57&lt;&gt;"",Master!$J57 &amp; "","")</f>
        <v>Centerville, OH 45459</v>
      </c>
    </row>
    <row r="58" spans="1:3" x14ac:dyDescent="0.25">
      <c r="A58" t="str">
        <f>IF(Master!$N58&lt;&gt;"",Master!$E58 &amp; "","")</f>
        <v>Nick Drewry</v>
      </c>
      <c r="B58" t="str">
        <f>IF(Master!$N58&lt;&gt;"",Master!$F58 &amp; "","")</f>
        <v>485 Evergreen Dr</v>
      </c>
      <c r="C58" t="str">
        <f>IF(Master!$N58&lt;&gt;"",Master!$J58 &amp; "","")</f>
        <v>Springboro, OH 45066</v>
      </c>
    </row>
    <row r="59" spans="1:3" x14ac:dyDescent="0.25">
      <c r="A59" t="str">
        <f>IF(Master!$N59&lt;&gt;"",Master!$E59 &amp; "","")</f>
        <v>Jack Duckro</v>
      </c>
      <c r="B59" t="str">
        <f>IF(Master!$N59&lt;&gt;"",Master!$F59 &amp; "","")</f>
        <v>3915 Elliot Ave</v>
      </c>
      <c r="C59" t="str">
        <f>IF(Master!$N59&lt;&gt;"",Master!$J59 &amp; "","")</f>
        <v>Dayton, OH 45420</v>
      </c>
    </row>
    <row r="60" spans="1:3" x14ac:dyDescent="0.25">
      <c r="A60" t="e">
        <f>IF(Master!#REF!&lt;&gt;"",Master!#REF! &amp; "","")</f>
        <v>#REF!</v>
      </c>
      <c r="B60" t="e">
        <f>IF(Master!#REF!&lt;&gt;"",Master!#REF! &amp; "","")</f>
        <v>#REF!</v>
      </c>
      <c r="C60" t="e">
        <f>IF(Master!#REF!&lt;&gt;"",Master!#REF! &amp; "","")</f>
        <v>#REF!</v>
      </c>
    </row>
    <row r="61" spans="1:3" x14ac:dyDescent="0.25">
      <c r="A61" t="e">
        <f>IF(Master!#REF!&lt;&gt;"",Master!#REF! &amp; "","")</f>
        <v>#REF!</v>
      </c>
      <c r="B61" t="e">
        <f>IF(Master!#REF!&lt;&gt;"",Master!#REF! &amp; "","")</f>
        <v>#REF!</v>
      </c>
      <c r="C61" t="e">
        <f>IF(Master!#REF!&lt;&gt;"",Master!#REF! &amp; "","")</f>
        <v>#REF!</v>
      </c>
    </row>
    <row r="62" spans="1:3" x14ac:dyDescent="0.25">
      <c r="A62" t="e">
        <f>IF(Master!#REF!&lt;&gt;"",Master!#REF! &amp; "","")</f>
        <v>#REF!</v>
      </c>
      <c r="B62" t="e">
        <f>IF(Master!#REF!&lt;&gt;"",Master!#REF! &amp; "","")</f>
        <v>#REF!</v>
      </c>
      <c r="C62" t="e">
        <f>IF(Master!#REF!&lt;&gt;"",Master!#REF! &amp; "","")</f>
        <v>#REF!</v>
      </c>
    </row>
    <row r="63" spans="1:3" x14ac:dyDescent="0.25">
      <c r="A63" t="str">
        <f>IF(Master!$N60&lt;&gt;"",Master!$E60 &amp; "","")</f>
        <v>Leighton Ellinger</v>
      </c>
      <c r="B63" t="str">
        <f>IF(Master!$N60&lt;&gt;"",Master!$F60 &amp; "","")</f>
        <v/>
      </c>
      <c r="C63" t="str">
        <f>IF(Master!$N60&lt;&gt;"",Master!$J60 &amp; "","")</f>
        <v/>
      </c>
    </row>
    <row r="64" spans="1:3" x14ac:dyDescent="0.25">
      <c r="A64" t="str">
        <f>IF(Master!$N61&lt;&gt;"",Master!$E61 &amp; "","")</f>
        <v/>
      </c>
      <c r="B64" t="str">
        <f>IF(Master!$N61&lt;&gt;"",Master!$F61 &amp; "","")</f>
        <v/>
      </c>
      <c r="C64" t="str">
        <f>IF(Master!$N61&lt;&gt;"",Master!$J61 &amp; "","")</f>
        <v/>
      </c>
    </row>
    <row r="65" spans="1:3" x14ac:dyDescent="0.25">
      <c r="A65" t="str">
        <f>IF(Master!$N62&lt;&gt;"",Master!$E62 &amp; "","")</f>
        <v/>
      </c>
      <c r="B65" t="str">
        <f>IF(Master!$N62&lt;&gt;"",Master!$F62 &amp; "","")</f>
        <v/>
      </c>
      <c r="C65" t="str">
        <f>IF(Master!$N62&lt;&gt;"",Master!$J62 &amp; "","")</f>
        <v/>
      </c>
    </row>
    <row r="66" spans="1:3" x14ac:dyDescent="0.25">
      <c r="A66" t="str">
        <f>IF(Master!$N63&lt;&gt;"",Master!$E63 &amp; "","")</f>
        <v>Jake Everson</v>
      </c>
      <c r="B66" t="str">
        <f>IF(Master!$N63&lt;&gt;"",Master!$F63 &amp; "","")</f>
        <v>2509 Emerald Way</v>
      </c>
      <c r="C66" t="str">
        <f>IF(Master!$N63&lt;&gt;"",Master!$J63 &amp; "","")</f>
        <v>Waynesville, OH 45068</v>
      </c>
    </row>
    <row r="67" spans="1:3" x14ac:dyDescent="0.25">
      <c r="A67" t="str">
        <f>IF(Master!$N64&lt;&gt;"",Master!$E64 &amp; "","")</f>
        <v/>
      </c>
      <c r="B67" t="str">
        <f>IF(Master!$N64&lt;&gt;"",Master!$F64 &amp; "","")</f>
        <v/>
      </c>
      <c r="C67" t="str">
        <f>IF(Master!$N64&lt;&gt;"",Master!$J64 &amp; "","")</f>
        <v/>
      </c>
    </row>
    <row r="68" spans="1:3" x14ac:dyDescent="0.25">
      <c r="A68" t="str">
        <f>IF(Master!$N65&lt;&gt;"",Master!$E65 &amp; "","")</f>
        <v>Elias Felton</v>
      </c>
      <c r="B68" t="str">
        <f>IF(Master!$N65&lt;&gt;"",Master!$F65 &amp; "","")</f>
        <v/>
      </c>
      <c r="C68" t="str">
        <f>IF(Master!$N65&lt;&gt;"",Master!$J65 &amp; "","")</f>
        <v/>
      </c>
    </row>
    <row r="69" spans="1:3" x14ac:dyDescent="0.25">
      <c r="A69" t="str">
        <f>IF(Master!$N66&lt;&gt;"",Master!$E66 &amp; "","")</f>
        <v>Jack Ferguson</v>
      </c>
      <c r="B69" t="str">
        <f>IF(Master!$N66&lt;&gt;"",Master!$F66 &amp; "","")</f>
        <v/>
      </c>
      <c r="C69" t="str">
        <f>IF(Master!$N66&lt;&gt;"",Master!$J66 &amp; "","")</f>
        <v/>
      </c>
    </row>
    <row r="70" spans="1:3" x14ac:dyDescent="0.25">
      <c r="A70" t="str">
        <f>IF(Master!$N67&lt;&gt;"",Master!$E67 &amp; "","")</f>
        <v>Tracie Ferrara</v>
      </c>
      <c r="B70" t="str">
        <f>IF(Master!$N67&lt;&gt;"",Master!$F67 &amp; "","")</f>
        <v>1120 Belvo Estates Ct</v>
      </c>
      <c r="C70" t="str">
        <f>IF(Master!$N67&lt;&gt;"",Master!$J67 &amp; "","")</f>
        <v>Miamisburg, OH 45342</v>
      </c>
    </row>
    <row r="71" spans="1:3" x14ac:dyDescent="0.25">
      <c r="A71" t="str">
        <f>IF(Master!$N68&lt;&gt;"",Master!$E68 &amp; "","")</f>
        <v/>
      </c>
      <c r="B71" t="str">
        <f>IF(Master!$N68&lt;&gt;"",Master!$F68 &amp; "","")</f>
        <v/>
      </c>
      <c r="C71" t="str">
        <f>IF(Master!$N68&lt;&gt;"",Master!$J68 &amp; "","")</f>
        <v/>
      </c>
    </row>
    <row r="72" spans="1:3" x14ac:dyDescent="0.25">
      <c r="A72" t="str">
        <f>IF(Master!$N69&lt;&gt;"",Master!$E69 &amp; "","")</f>
        <v>Adam Flowers</v>
      </c>
      <c r="B72" t="str">
        <f>IF(Master!$N69&lt;&gt;"",Master!$F69 &amp; "","")</f>
        <v>491 W Spring Valley Pk</v>
      </c>
      <c r="C72" t="str">
        <f>IF(Master!$N69&lt;&gt;"",Master!$J69 &amp; "","")</f>
        <v>Centerville, OH 45458</v>
      </c>
    </row>
    <row r="73" spans="1:3" x14ac:dyDescent="0.25">
      <c r="A73" t="str">
        <f>IF(Master!$N70&lt;&gt;"",Master!$E70 &amp; "","")</f>
        <v>Kaizyr Forgy</v>
      </c>
      <c r="B73" t="str">
        <f>IF(Master!$N70&lt;&gt;"",Master!$F70 &amp; "","")</f>
        <v/>
      </c>
      <c r="C73" t="str">
        <f>IF(Master!$N70&lt;&gt;"",Master!$J70 &amp; "","")</f>
        <v/>
      </c>
    </row>
    <row r="74" spans="1:3" x14ac:dyDescent="0.25">
      <c r="A74" t="str">
        <f>IF(Master!$N71&lt;&gt;"",Master!$E71 &amp; "","")</f>
        <v/>
      </c>
      <c r="B74" t="str">
        <f>IF(Master!$N71&lt;&gt;"",Master!$F71 &amp; "","")</f>
        <v/>
      </c>
      <c r="C74" t="str">
        <f>IF(Master!$N71&lt;&gt;"",Master!$J71 &amp; "","")</f>
        <v/>
      </c>
    </row>
    <row r="75" spans="1:3" x14ac:dyDescent="0.25">
      <c r="A75" t="str">
        <f>IF(Master!$N72&lt;&gt;"",Master!$E72 &amp; "","")</f>
        <v/>
      </c>
      <c r="B75" t="str">
        <f>IF(Master!$N72&lt;&gt;"",Master!$F72 &amp; "","")</f>
        <v/>
      </c>
      <c r="C75" t="str">
        <f>IF(Master!$N72&lt;&gt;"",Master!$J72 &amp; "","")</f>
        <v/>
      </c>
    </row>
    <row r="76" spans="1:3" x14ac:dyDescent="0.25">
      <c r="A76" t="str">
        <f>IF(Master!$N73&lt;&gt;"",Master!$E73 &amp; "","")</f>
        <v/>
      </c>
      <c r="B76" t="str">
        <f>IF(Master!$N73&lt;&gt;"",Master!$F73 &amp; "","")</f>
        <v/>
      </c>
      <c r="C76" t="str">
        <f>IF(Master!$N73&lt;&gt;"",Master!$J73 &amp; "","")</f>
        <v/>
      </c>
    </row>
    <row r="77" spans="1:3" x14ac:dyDescent="0.25">
      <c r="A77" t="str">
        <f>IF(Master!$N74&lt;&gt;"",Master!$E74 &amp; "","")</f>
        <v/>
      </c>
      <c r="B77" t="str">
        <f>IF(Master!$N74&lt;&gt;"",Master!$F74 &amp; "","")</f>
        <v/>
      </c>
      <c r="C77" t="str">
        <f>IF(Master!$N74&lt;&gt;"",Master!$J74 &amp; "","")</f>
        <v/>
      </c>
    </row>
    <row r="78" spans="1:3" x14ac:dyDescent="0.25">
      <c r="A78" t="str">
        <f>IF(Master!$N75&lt;&gt;"",Master!$E75 &amp; "","")</f>
        <v>Julianne Gillespie</v>
      </c>
      <c r="B78" t="str">
        <f>IF(Master!$N75&lt;&gt;"",Master!$F75 &amp; "","")</f>
        <v>929 Malone Ave</v>
      </c>
      <c r="C78" t="str">
        <f>IF(Master!$N75&lt;&gt;"",Master!$J75 &amp; "","")</f>
        <v>Kettering, OH 45429</v>
      </c>
    </row>
    <row r="79" spans="1:3" x14ac:dyDescent="0.25">
      <c r="A79" t="str">
        <f>IF(Master!$N76&lt;&gt;"",Master!$E76 &amp; "","")</f>
        <v>Avery Gillette</v>
      </c>
      <c r="B79" t="str">
        <f>IF(Master!$N76&lt;&gt;"",Master!$F76 &amp; "","")</f>
        <v>625 Saddlewood Ave</v>
      </c>
      <c r="C79" t="str">
        <f>IF(Master!$N76&lt;&gt;"",Master!$J76 &amp; "","")</f>
        <v>Centerville, OH 45459</v>
      </c>
    </row>
    <row r="80" spans="1:3" x14ac:dyDescent="0.25">
      <c r="A80" t="str">
        <f>IF(Master!$N77&lt;&gt;"",Master!$E77 &amp; "","")</f>
        <v>Ella Gillette</v>
      </c>
      <c r="B80" t="str">
        <f>IF(Master!$N77&lt;&gt;"",Master!$F77 &amp; "","")</f>
        <v>625 Saddlewood Ave</v>
      </c>
      <c r="C80" t="str">
        <f>IF(Master!$N77&lt;&gt;"",Master!$J77 &amp; "","")</f>
        <v>Centerville, OH 45459</v>
      </c>
    </row>
    <row r="81" spans="1:3" x14ac:dyDescent="0.25">
      <c r="A81" t="str">
        <f>IF(Master!$N78&lt;&gt;"",Master!$E78 &amp; "","")</f>
        <v>Killian Gillette</v>
      </c>
      <c r="B81" t="str">
        <f>IF(Master!$N78&lt;&gt;"",Master!$F78 &amp; "","")</f>
        <v>625 Saddlewood Ave</v>
      </c>
      <c r="C81" t="str">
        <f>IF(Master!$N78&lt;&gt;"",Master!$J78 &amp; "","")</f>
        <v>Centerville, OH 45459</v>
      </c>
    </row>
    <row r="82" spans="1:3" x14ac:dyDescent="0.25">
      <c r="A82" t="str">
        <f>IF(Master!$N79&lt;&gt;"",Master!$E79 &amp; "","")</f>
        <v/>
      </c>
      <c r="B82" t="str">
        <f>IF(Master!$N79&lt;&gt;"",Master!$F79 &amp; "","")</f>
        <v/>
      </c>
      <c r="C82" t="str">
        <f>IF(Master!$N79&lt;&gt;"",Master!$J79 &amp; "","")</f>
        <v/>
      </c>
    </row>
    <row r="83" spans="1:3" x14ac:dyDescent="0.25">
      <c r="A83" t="str">
        <f>IF(Master!$N80&lt;&gt;"",Master!$E80 &amp; "","")</f>
        <v>Gabriel Gogel</v>
      </c>
      <c r="B83" t="str">
        <f>IF(Master!$N80&lt;&gt;"",Master!$F80 &amp; "","")</f>
        <v/>
      </c>
      <c r="C83" t="str">
        <f>IF(Master!$N80&lt;&gt;"",Master!$J80 &amp; "","")</f>
        <v/>
      </c>
    </row>
    <row r="84" spans="1:3" x14ac:dyDescent="0.25">
      <c r="A84" t="str">
        <f>IF(Master!$N81&lt;&gt;"",Master!$E81 &amp; "","")</f>
        <v>Matthew Greely</v>
      </c>
      <c r="B84" t="str">
        <f>IF(Master!$N81&lt;&gt;"",Master!$F81 &amp; "","")</f>
        <v>10119 Washington Church Rd</v>
      </c>
      <c r="C84" t="str">
        <f>IF(Master!$N81&lt;&gt;"",Master!$J81 &amp; "","")</f>
        <v>Miamisburg, OH 45342</v>
      </c>
    </row>
    <row r="85" spans="1:3" x14ac:dyDescent="0.25">
      <c r="A85" t="str">
        <f>IF(Master!$N82&lt;&gt;"",Master!$E82 &amp; "","")</f>
        <v/>
      </c>
      <c r="B85" t="str">
        <f>IF(Master!$N82&lt;&gt;"",Master!$F82 &amp; "","")</f>
        <v/>
      </c>
      <c r="C85" t="str">
        <f>IF(Master!$N82&lt;&gt;"",Master!$J82 &amp; "","")</f>
        <v/>
      </c>
    </row>
    <row r="86" spans="1:3" x14ac:dyDescent="0.25">
      <c r="A86" t="str">
        <f>IF(Master!$N83&lt;&gt;"",Master!$E83 &amp; "","")</f>
        <v/>
      </c>
      <c r="B86" t="str">
        <f>IF(Master!$N83&lt;&gt;"",Master!$F83 &amp; "","")</f>
        <v/>
      </c>
      <c r="C86" t="str">
        <f>IF(Master!$N83&lt;&gt;"",Master!$J83 &amp; "","")</f>
        <v/>
      </c>
    </row>
    <row r="87" spans="1:3" x14ac:dyDescent="0.25">
      <c r="A87" t="str">
        <f>IF(Master!$N84&lt;&gt;"",Master!$E84 &amp; "","")</f>
        <v/>
      </c>
      <c r="B87" t="str">
        <f>IF(Master!$N84&lt;&gt;"",Master!$F84 &amp; "","")</f>
        <v/>
      </c>
      <c r="C87" t="str">
        <f>IF(Master!$N84&lt;&gt;"",Master!$J84 &amp; "","")</f>
        <v/>
      </c>
    </row>
    <row r="88" spans="1:3" x14ac:dyDescent="0.25">
      <c r="A88" t="str">
        <f>IF(Master!$N85&lt;&gt;"",Master!$E85 &amp; "","")</f>
        <v>Zayn Hahn</v>
      </c>
      <c r="B88" t="str">
        <f>IF(Master!$N85&lt;&gt;"",Master!$F85 &amp; "","")</f>
        <v>5950 Chambersburg Rd</v>
      </c>
      <c r="C88" t="str">
        <f>IF(Master!$N85&lt;&gt;"",Master!$J85 &amp; "","")</f>
        <v>Dayton, OH 45424</v>
      </c>
    </row>
    <row r="89" spans="1:3" x14ac:dyDescent="0.25">
      <c r="A89" t="str">
        <f>IF(Master!$N87&lt;&gt;"",Master!$E87 &amp; "","")</f>
        <v/>
      </c>
      <c r="B89" t="str">
        <f>IF(Master!$N87&lt;&gt;"",Master!$F87 &amp; "","")</f>
        <v/>
      </c>
      <c r="C89" t="str">
        <f>IF(Master!$N87&lt;&gt;"",Master!$J87 &amp; "","")</f>
        <v/>
      </c>
    </row>
    <row r="90" spans="1:3" x14ac:dyDescent="0.25">
      <c r="A90" t="str">
        <f>IF(Master!$N88&lt;&gt;"",Master!$E88 &amp; "","")</f>
        <v/>
      </c>
      <c r="B90" t="str">
        <f>IF(Master!$N88&lt;&gt;"",Master!$F88 &amp; "","")</f>
        <v/>
      </c>
      <c r="C90" t="str">
        <f>IF(Master!$N88&lt;&gt;"",Master!$J88 &amp; "","")</f>
        <v/>
      </c>
    </row>
    <row r="91" spans="1:3" x14ac:dyDescent="0.25">
      <c r="A91" t="str">
        <f>IF(Master!$N89&lt;&gt;"",Master!$E89 &amp; "","")</f>
        <v>Marilyn Hatfield</v>
      </c>
      <c r="B91" t="str">
        <f>IF(Master!$N89&lt;&gt;"",Master!$F89 &amp; "","")</f>
        <v>356 High Street</v>
      </c>
      <c r="C91" t="str">
        <f>IF(Master!$N89&lt;&gt;"",Master!$J89 &amp; "","")</f>
        <v>Wilmington, OH 45177</v>
      </c>
    </row>
    <row r="92" spans="1:3" x14ac:dyDescent="0.25">
      <c r="A92" t="str">
        <f>IF(Master!$N90&lt;&gt;"",Master!$E90 &amp; "","")</f>
        <v>Neil Heller</v>
      </c>
      <c r="B92" t="str">
        <f>IF(Master!$N90&lt;&gt;"",Master!$F90 &amp; "","")</f>
        <v>1148 Cloverfield Ave</v>
      </c>
      <c r="C92" t="str">
        <f>IF(Master!$N90&lt;&gt;"",Master!$J90 &amp; "","")</f>
        <v>Kettering, OH 45429</v>
      </c>
    </row>
    <row r="93" spans="1:3" x14ac:dyDescent="0.25">
      <c r="A93" t="str">
        <f>IF(Master!$N91&lt;&gt;"",Master!$E91 &amp; "","")</f>
        <v>Cody Heyne</v>
      </c>
      <c r="B93" t="str">
        <f>IF(Master!$N91&lt;&gt;"",Master!$F91 &amp; "","")</f>
        <v>8282 Rhine Way</v>
      </c>
      <c r="C93" t="str">
        <f>IF(Master!$N91&lt;&gt;"",Master!$J91 &amp; "","")</f>
        <v>Centerville, OH 45458</v>
      </c>
    </row>
    <row r="94" spans="1:3" x14ac:dyDescent="0.25">
      <c r="A94" t="str">
        <f>IF(Master!$N93&lt;&gt;"",Master!$E93 &amp; "","")</f>
        <v>Nicolas Heyne</v>
      </c>
      <c r="B94" t="str">
        <f>IF(Master!$N93&lt;&gt;"",Master!$F93 &amp; "","")</f>
        <v>8282 Rhine Way</v>
      </c>
      <c r="C94" t="str">
        <f>IF(Master!$N93&lt;&gt;"",Master!$J93 &amp; "","")</f>
        <v>Centerville, OH 45458</v>
      </c>
    </row>
    <row r="95" spans="1:3" x14ac:dyDescent="0.25">
      <c r="A95" t="str">
        <f>IF(Master!$N94&lt;&gt;"",Master!$E94 &amp; "","")</f>
        <v/>
      </c>
      <c r="B95" t="str">
        <f>IF(Master!$N94&lt;&gt;"",Master!$F94 &amp; "","")</f>
        <v/>
      </c>
      <c r="C95" t="str">
        <f>IF(Master!$N94&lt;&gt;"",Master!$J94 &amp; "","")</f>
        <v/>
      </c>
    </row>
    <row r="96" spans="1:3" x14ac:dyDescent="0.25">
      <c r="A96" t="str">
        <f>IF(Master!$N95&lt;&gt;"",Master!$E95 &amp; "","")</f>
        <v>Kenley Holtz</v>
      </c>
      <c r="B96" t="str">
        <f>IF(Master!$N95&lt;&gt;"",Master!$F95 &amp; "","")</f>
        <v>197 Poinciana Dr</v>
      </c>
      <c r="C96" t="str">
        <f>IF(Master!$N95&lt;&gt;"",Master!$J95 &amp; "","")</f>
        <v>Centerville, OH 45459</v>
      </c>
    </row>
    <row r="97" spans="1:3" x14ac:dyDescent="0.25">
      <c r="A97" t="str">
        <f>IF(Master!$N96&lt;&gt;"",Master!$E96 &amp; "","")</f>
        <v>Carlee Honius</v>
      </c>
      <c r="B97" t="str">
        <f>IF(Master!$N96&lt;&gt;"",Master!$F96 &amp; "","")</f>
        <v>1220 McKinley Ct</v>
      </c>
      <c r="C97" t="str">
        <f>IF(Master!$N96&lt;&gt;"",Master!$J96 &amp; "","")</f>
        <v>Miamisburg, OH 45342</v>
      </c>
    </row>
    <row r="98" spans="1:3" x14ac:dyDescent="0.25">
      <c r="A98" t="str">
        <f>IF(Master!$N97&lt;&gt;"",Master!$E97 &amp; "","")</f>
        <v/>
      </c>
      <c r="B98" t="str">
        <f>IF(Master!$N97&lt;&gt;"",Master!$F97 &amp; "","")</f>
        <v/>
      </c>
      <c r="C98" t="str">
        <f>IF(Master!$N97&lt;&gt;"",Master!$J97 &amp; "","")</f>
        <v/>
      </c>
    </row>
    <row r="99" spans="1:3" x14ac:dyDescent="0.25">
      <c r="A99" t="str">
        <f>IF(Master!$N98&lt;&gt;"",Master!$E98 &amp; "","")</f>
        <v/>
      </c>
      <c r="B99" t="str">
        <f>IF(Master!$N98&lt;&gt;"",Master!$F98 &amp; "","")</f>
        <v/>
      </c>
      <c r="C99" t="str">
        <f>IF(Master!$N98&lt;&gt;"",Master!$J98 &amp; "","")</f>
        <v/>
      </c>
    </row>
    <row r="100" spans="1:3" x14ac:dyDescent="0.25">
      <c r="A100" t="str">
        <f>IF(Master!$N99&lt;&gt;"",Master!$E99 &amp; "","")</f>
        <v>Alexander Horton</v>
      </c>
      <c r="B100" t="str">
        <f>IF(Master!$N99&lt;&gt;"",Master!$F99 &amp; "","")</f>
        <v>1362 Hickoryview</v>
      </c>
      <c r="C100" t="str">
        <f>IF(Master!$N99&lt;&gt;"",Master!$J99 &amp; "","")</f>
        <v>Dayton, OH 45458</v>
      </c>
    </row>
    <row r="101" spans="1:3" x14ac:dyDescent="0.25">
      <c r="A101" t="str">
        <f>IF(Master!$N100&lt;&gt;"",Master!$E100 &amp; "","")</f>
        <v/>
      </c>
      <c r="B101" t="str">
        <f>IF(Master!$N100&lt;&gt;"",Master!$F100 &amp; "","")</f>
        <v/>
      </c>
      <c r="C101" t="str">
        <f>IF(Master!$N100&lt;&gt;"",Master!$J100 &amp; "","")</f>
        <v/>
      </c>
    </row>
    <row r="102" spans="1:3" x14ac:dyDescent="0.25">
      <c r="A102" t="str">
        <f>IF(Master!$N101&lt;&gt;"",Master!$E101 &amp; "","")</f>
        <v/>
      </c>
      <c r="B102" t="str">
        <f>IF(Master!$N101&lt;&gt;"",Master!$F101 &amp; "","")</f>
        <v/>
      </c>
      <c r="C102" t="str">
        <f>IF(Master!$N101&lt;&gt;"",Master!$J101 &amp; "","")</f>
        <v/>
      </c>
    </row>
    <row r="103" spans="1:3" x14ac:dyDescent="0.25">
      <c r="A103" t="str">
        <f>IF(Master!$N102&lt;&gt;"",Master!$E102 &amp; "","")</f>
        <v>Corey Hume</v>
      </c>
      <c r="B103" t="str">
        <f>IF(Master!$N102&lt;&gt;"",Master!$F102 &amp; "","")</f>
        <v>2161 Hedge Gate Blvd</v>
      </c>
      <c r="C103" t="str">
        <f>IF(Master!$N102&lt;&gt;"",Master!$J102 &amp; "","")</f>
        <v>Beavercreek, OH 45431</v>
      </c>
    </row>
    <row r="104" spans="1:3" x14ac:dyDescent="0.25">
      <c r="A104" t="str">
        <f>IF(Master!$N103&lt;&gt;"",Master!$E103 &amp; "","")</f>
        <v>Skylar Hurley</v>
      </c>
      <c r="B104" t="str">
        <f>IF(Master!$N103&lt;&gt;"",Master!$F103 &amp; "","")</f>
        <v>110 Aspen Woods Sdrive</v>
      </c>
      <c r="C104" t="str">
        <f>IF(Master!$N103&lt;&gt;"",Master!$J103 &amp; "","")</f>
        <v>Springboro, OH 45066</v>
      </c>
    </row>
    <row r="105" spans="1:3" x14ac:dyDescent="0.25">
      <c r="A105" t="str">
        <f>IF(Master!$N104&lt;&gt;"",Master!$E104 &amp; "","")</f>
        <v/>
      </c>
      <c r="B105" t="str">
        <f>IF(Master!$N104&lt;&gt;"",Master!$F104 &amp; "","")</f>
        <v/>
      </c>
      <c r="C105" t="str">
        <f>IF(Master!$N104&lt;&gt;"",Master!$J104 &amp; "","")</f>
        <v/>
      </c>
    </row>
    <row r="106" spans="1:3" x14ac:dyDescent="0.25">
      <c r="A106" t="str">
        <f>IF(Master!$N105&lt;&gt;"",Master!$E105 &amp; "","")</f>
        <v>Sophie Jackson</v>
      </c>
      <c r="B106" t="str">
        <f>IF(Master!$N105&lt;&gt;"",Master!$F105 &amp; "","")</f>
        <v>1303 Adams Way</v>
      </c>
      <c r="C106" t="str">
        <f>IF(Master!$N105&lt;&gt;"",Master!$J105 &amp; "","")</f>
        <v>Beavercreek, OH 45434</v>
      </c>
    </row>
    <row r="107" spans="1:3" x14ac:dyDescent="0.25">
      <c r="A107" t="str">
        <f>IF(Master!$N106&lt;&gt;"",Master!$E106 &amp; "","")</f>
        <v/>
      </c>
      <c r="B107" t="str">
        <f>IF(Master!$N106&lt;&gt;"",Master!$F106 &amp; "","")</f>
        <v/>
      </c>
      <c r="C107" t="str">
        <f>IF(Master!$N106&lt;&gt;"",Master!$J106 &amp; "","")</f>
        <v/>
      </c>
    </row>
    <row r="108" spans="1:3" x14ac:dyDescent="0.25">
      <c r="A108" t="str">
        <f>IF(Master!$N107&lt;&gt;"",Master!$E107 &amp; "","")</f>
        <v>Annie Jansen</v>
      </c>
      <c r="B108" t="str">
        <f>IF(Master!$N107&lt;&gt;"",Master!$F107 &amp; "","")</f>
        <v>606 Loxwood Dr</v>
      </c>
      <c r="C108" t="str">
        <f>IF(Master!$N107&lt;&gt;"",Master!$J107 &amp; "","")</f>
        <v>Centerville, OH 45458</v>
      </c>
    </row>
    <row r="109" spans="1:3" x14ac:dyDescent="0.25">
      <c r="A109" t="str">
        <f>IF(Master!$N108&lt;&gt;"",Master!$E108 &amp; "","")</f>
        <v/>
      </c>
      <c r="B109" t="str">
        <f>IF(Master!$N108&lt;&gt;"",Master!$F108 &amp; "","")</f>
        <v/>
      </c>
      <c r="C109" t="str">
        <f>IF(Master!$N108&lt;&gt;"",Master!$J108 &amp; "","")</f>
        <v/>
      </c>
    </row>
    <row r="110" spans="1:3" x14ac:dyDescent="0.25">
      <c r="A110" t="str">
        <f>IF(Master!$N109&lt;&gt;"",Master!$E109 &amp; "","")</f>
        <v/>
      </c>
      <c r="B110" t="str">
        <f>IF(Master!$N109&lt;&gt;"",Master!$F109 &amp; "","")</f>
        <v/>
      </c>
      <c r="C110" t="str">
        <f>IF(Master!$N109&lt;&gt;"",Master!$J109 &amp; "","")</f>
        <v/>
      </c>
    </row>
    <row r="111" spans="1:3" x14ac:dyDescent="0.25">
      <c r="A111" t="str">
        <f>IF(Master!$N110&lt;&gt;"",Master!$E110 &amp; "","")</f>
        <v/>
      </c>
      <c r="B111" t="str">
        <f>IF(Master!$N110&lt;&gt;"",Master!$F110 &amp; "","")</f>
        <v/>
      </c>
      <c r="C111" t="str">
        <f>IF(Master!$N110&lt;&gt;"",Master!$J110 &amp; "","")</f>
        <v/>
      </c>
    </row>
    <row r="112" spans="1:3" x14ac:dyDescent="0.25">
      <c r="A112" t="str">
        <f>IF(Master!$N111&lt;&gt;"",Master!$E111 &amp; "","")</f>
        <v>Everett Jones</v>
      </c>
      <c r="B112" t="str">
        <f>IF(Master!$N111&lt;&gt;"",Master!$F111 &amp; "","")</f>
        <v/>
      </c>
      <c r="C112" t="str">
        <f>IF(Master!$N111&lt;&gt;"",Master!$J111 &amp; "","")</f>
        <v/>
      </c>
    </row>
    <row r="113" spans="1:3" x14ac:dyDescent="0.25">
      <c r="A113" t="str">
        <f>IF(Master!$N112&lt;&gt;"",Master!$E112 &amp; "","")</f>
        <v xml:space="preserve">Korey Joseph </v>
      </c>
      <c r="B113" t="str">
        <f>IF(Master!$N112&lt;&gt;"",Master!$F112 &amp; "","")</f>
        <v>1116 Oxford State Rd</v>
      </c>
      <c r="C113" t="str">
        <f>IF(Master!$N112&lt;&gt;"",Master!$J112 &amp; "","")</f>
        <v>Middletown, OH 45044</v>
      </c>
    </row>
    <row r="114" spans="1:3" x14ac:dyDescent="0.25">
      <c r="A114" t="str">
        <f>IF(Master!$N113&lt;&gt;"",Master!$E113 &amp; "","")</f>
        <v/>
      </c>
      <c r="B114" t="str">
        <f>IF(Master!$N113&lt;&gt;"",Master!$F113 &amp; "","")</f>
        <v/>
      </c>
      <c r="C114" t="str">
        <f>IF(Master!$N113&lt;&gt;"",Master!$J113 &amp; "","")</f>
        <v/>
      </c>
    </row>
    <row r="115" spans="1:3" x14ac:dyDescent="0.25">
      <c r="A115" t="str">
        <f>IF(Master!$N114&lt;&gt;"",Master!$E114 &amp; "","")</f>
        <v/>
      </c>
      <c r="B115" t="str">
        <f>IF(Master!$N114&lt;&gt;"",Master!$F114 &amp; "","")</f>
        <v/>
      </c>
      <c r="C115" t="str">
        <f>IF(Master!$N114&lt;&gt;"",Master!$J114 &amp; "","")</f>
        <v/>
      </c>
    </row>
    <row r="116" spans="1:3" x14ac:dyDescent="0.25">
      <c r="A116" t="str">
        <f>IF(Master!$N115&lt;&gt;"",Master!$E115 &amp; "","")</f>
        <v>Diane Georgia Kesner</v>
      </c>
      <c r="B116" t="str">
        <f>IF(Master!$N115&lt;&gt;"",Master!$F115 &amp; "","")</f>
        <v/>
      </c>
      <c r="C116" t="str">
        <f>IF(Master!$N115&lt;&gt;"",Master!$J115 &amp; "","")</f>
        <v/>
      </c>
    </row>
    <row r="117" spans="1:3" x14ac:dyDescent="0.25">
      <c r="A117" t="str">
        <f>IF(Master!$N116&lt;&gt;"",Master!$E116 &amp; "","")</f>
        <v/>
      </c>
      <c r="B117" t="str">
        <f>IF(Master!$N116&lt;&gt;"",Master!$F116 &amp; "","")</f>
        <v/>
      </c>
      <c r="C117" t="str">
        <f>IF(Master!$N116&lt;&gt;"",Master!$J116 &amp; "","")</f>
        <v/>
      </c>
    </row>
    <row r="118" spans="1:3" x14ac:dyDescent="0.25">
      <c r="A118" t="str">
        <f>IF(Master!$N117&lt;&gt;"",Master!$E117 &amp; "","")</f>
        <v/>
      </c>
      <c r="B118" t="str">
        <f>IF(Master!$N117&lt;&gt;"",Master!$F117 &amp; "","")</f>
        <v/>
      </c>
      <c r="C118" t="str">
        <f>IF(Master!$N117&lt;&gt;"",Master!$J117 &amp; "","")</f>
        <v/>
      </c>
    </row>
    <row r="119" spans="1:3" x14ac:dyDescent="0.25">
      <c r="A119" t="str">
        <f>IF(Master!$N118&lt;&gt;"",Master!$E118 &amp; "","")</f>
        <v>Keaton Kinney</v>
      </c>
      <c r="B119" t="str">
        <f>IF(Master!$N118&lt;&gt;"",Master!$F118 &amp; "","")</f>
        <v/>
      </c>
      <c r="C119" t="str">
        <f>IF(Master!$N118&lt;&gt;"",Master!$J118 &amp; "","")</f>
        <v/>
      </c>
    </row>
    <row r="120" spans="1:3" x14ac:dyDescent="0.25">
      <c r="A120" t="str">
        <f>IF(Master!$N119&lt;&gt;"",Master!$E119 &amp; "","")</f>
        <v/>
      </c>
      <c r="B120" t="str">
        <f>IF(Master!$N119&lt;&gt;"",Master!$F119 &amp; "","")</f>
        <v/>
      </c>
      <c r="C120" t="str">
        <f>IF(Master!$N119&lt;&gt;"",Master!$J119 &amp; "","")</f>
        <v/>
      </c>
    </row>
    <row r="121" spans="1:3" x14ac:dyDescent="0.25">
      <c r="A121" t="str">
        <f>IF(Master!$N120&lt;&gt;"",Master!$E120 &amp; "","")</f>
        <v/>
      </c>
      <c r="B121" t="str">
        <f>IF(Master!$N120&lt;&gt;"",Master!$F120 &amp; "","")</f>
        <v/>
      </c>
      <c r="C121" t="str">
        <f>IF(Master!$N120&lt;&gt;"",Master!$J120 &amp; "","")</f>
        <v/>
      </c>
    </row>
    <row r="122" spans="1:3" x14ac:dyDescent="0.25">
      <c r="A122" t="str">
        <f>IF(Master!$N121&lt;&gt;"",Master!$E121 &amp; "","")</f>
        <v/>
      </c>
      <c r="B122" t="str">
        <f>IF(Master!$N121&lt;&gt;"",Master!$F121 &amp; "","")</f>
        <v/>
      </c>
      <c r="C122" t="str">
        <f>IF(Master!$N121&lt;&gt;"",Master!$J121 &amp; "","")</f>
        <v/>
      </c>
    </row>
    <row r="123" spans="1:3" x14ac:dyDescent="0.25">
      <c r="A123" t="str">
        <f>IF(Master!$N122&lt;&gt;"",Master!$E122 &amp; "","")</f>
        <v/>
      </c>
      <c r="B123" t="str">
        <f>IF(Master!$N122&lt;&gt;"",Master!$F122 &amp; "","")</f>
        <v/>
      </c>
      <c r="C123" t="str">
        <f>IF(Master!$N122&lt;&gt;"",Master!$J122 &amp; "","")</f>
        <v/>
      </c>
    </row>
    <row r="124" spans="1:3" x14ac:dyDescent="0.25">
      <c r="A124" t="str">
        <f>IF(Master!$N123&lt;&gt;"",Master!$E123 &amp; "","")</f>
        <v/>
      </c>
      <c r="B124" t="str">
        <f>IF(Master!$N123&lt;&gt;"",Master!$F123 &amp; "","")</f>
        <v/>
      </c>
      <c r="C124" t="str">
        <f>IF(Master!$N123&lt;&gt;"",Master!$J123 &amp; "","")</f>
        <v/>
      </c>
    </row>
    <row r="125" spans="1:3" x14ac:dyDescent="0.25">
      <c r="A125" t="str">
        <f>IF(Master!$N124&lt;&gt;"",Master!$E124 &amp; "","")</f>
        <v>Elliot Ladd</v>
      </c>
      <c r="B125" t="str">
        <f>IF(Master!$N124&lt;&gt;"",Master!$F124 &amp; "","")</f>
        <v>290 Pinecone Dr</v>
      </c>
      <c r="C125" t="str">
        <f>IF(Master!$N124&lt;&gt;"",Master!$J124 &amp; "","")</f>
        <v>Springboro, OH 45066</v>
      </c>
    </row>
    <row r="126" spans="1:3" x14ac:dyDescent="0.25">
      <c r="A126" t="str">
        <f>IF(Master!$N125&lt;&gt;"",Master!$E125 &amp; "","")</f>
        <v>Cade LaFontsee</v>
      </c>
      <c r="B126" t="str">
        <f>IF(Master!$N125&lt;&gt;"",Master!$F125 &amp; "","")</f>
        <v/>
      </c>
      <c r="C126" t="str">
        <f>IF(Master!$N125&lt;&gt;"",Master!$J125 &amp; "","")</f>
        <v/>
      </c>
    </row>
    <row r="127" spans="1:3" x14ac:dyDescent="0.25">
      <c r="A127" t="str">
        <f>IF(Master!$N127&lt;&gt;"",Master!$E127 &amp; "","")</f>
        <v/>
      </c>
      <c r="B127" t="str">
        <f>IF(Master!$N127&lt;&gt;"",Master!$F127 &amp; "","")</f>
        <v/>
      </c>
      <c r="C127" t="str">
        <f>IF(Master!$N127&lt;&gt;"",Master!$J127 &amp; "","")</f>
        <v/>
      </c>
    </row>
    <row r="128" spans="1:3" x14ac:dyDescent="0.25">
      <c r="A128" t="str">
        <f>IF(Master!$N128&lt;&gt;"",Master!$E128 &amp; "","")</f>
        <v>Mariah Lane</v>
      </c>
      <c r="B128" t="str">
        <f>IF(Master!$N128&lt;&gt;"",Master!$F128 &amp; "","")</f>
        <v/>
      </c>
      <c r="C128" t="str">
        <f>IF(Master!$N128&lt;&gt;"",Master!$J128 &amp; "","")</f>
        <v/>
      </c>
    </row>
    <row r="129" spans="1:3" x14ac:dyDescent="0.25">
      <c r="A129" t="str">
        <f>IF(Master!$N129&lt;&gt;"",Master!$E129 &amp; "","")</f>
        <v>Mason Lane</v>
      </c>
      <c r="B129" t="str">
        <f>IF(Master!$N129&lt;&gt;"",Master!$F129 &amp; "","")</f>
        <v/>
      </c>
      <c r="C129" t="str">
        <f>IF(Master!$N129&lt;&gt;"",Master!$J129 &amp; "","")</f>
        <v/>
      </c>
    </row>
    <row r="130" spans="1:3" x14ac:dyDescent="0.25">
      <c r="A130" t="str">
        <f>IF(Master!$N130&lt;&gt;"",Master!$E130 &amp; "","")</f>
        <v/>
      </c>
      <c r="B130" t="str">
        <f>IF(Master!$N130&lt;&gt;"",Master!$F130 &amp; "","")</f>
        <v/>
      </c>
      <c r="C130" t="str">
        <f>IF(Master!$N130&lt;&gt;"",Master!$J130 &amp; "","")</f>
        <v/>
      </c>
    </row>
    <row r="131" spans="1:3" x14ac:dyDescent="0.25">
      <c r="A131" t="str">
        <f>IF(Master!$N131&lt;&gt;"",Master!$E131 &amp; "","")</f>
        <v/>
      </c>
      <c r="B131" t="str">
        <f>IF(Master!$N131&lt;&gt;"",Master!$F131 &amp; "","")</f>
        <v/>
      </c>
      <c r="C131" t="str">
        <f>IF(Master!$N131&lt;&gt;"",Master!$J131 &amp; "","")</f>
        <v/>
      </c>
    </row>
    <row r="132" spans="1:3" x14ac:dyDescent="0.25">
      <c r="A132" t="str">
        <f>IF(Master!$N132&lt;&gt;"",Master!$E132 &amp; "","")</f>
        <v>Isabella Leonard</v>
      </c>
      <c r="B132" t="str">
        <f>IF(Master!$N132&lt;&gt;"",Master!$F132 &amp; "","")</f>
        <v/>
      </c>
      <c r="C132" t="str">
        <f>IF(Master!$N132&lt;&gt;"",Master!$J132 &amp; "","")</f>
        <v/>
      </c>
    </row>
    <row r="133" spans="1:3" x14ac:dyDescent="0.25">
      <c r="A133" t="str">
        <f>IF(Master!$N133&lt;&gt;"",Master!$E133 &amp; "","")</f>
        <v>Lochlan Leonard</v>
      </c>
      <c r="B133" t="str">
        <f>IF(Master!$N133&lt;&gt;"",Master!$F133 &amp; "","")</f>
        <v>208 Hollyhock St.</v>
      </c>
      <c r="C133" t="str">
        <f>IF(Master!$N133&lt;&gt;"",Master!$J133 &amp; "","")</f>
        <v>Franklin, OH 45005</v>
      </c>
    </row>
    <row r="134" spans="1:3" x14ac:dyDescent="0.25">
      <c r="A134" t="str">
        <f>IF(Master!$N134&lt;&gt;"",Master!$E134 &amp; "","")</f>
        <v/>
      </c>
      <c r="B134" t="str">
        <f>IF(Master!$N134&lt;&gt;"",Master!$F134 &amp; "","")</f>
        <v/>
      </c>
      <c r="C134" t="str">
        <f>IF(Master!$N134&lt;&gt;"",Master!$J134 &amp; "","")</f>
        <v/>
      </c>
    </row>
    <row r="135" spans="1:3" x14ac:dyDescent="0.25">
      <c r="A135" t="str">
        <f>IF(Master!$N135&lt;&gt;"",Master!$E135 &amp; "","")</f>
        <v/>
      </c>
      <c r="B135" t="str">
        <f>IF(Master!$N135&lt;&gt;"",Master!$F135 &amp; "","")</f>
        <v/>
      </c>
      <c r="C135" t="str">
        <f>IF(Master!$N135&lt;&gt;"",Master!$J135 &amp; "","")</f>
        <v/>
      </c>
    </row>
    <row r="136" spans="1:3" x14ac:dyDescent="0.25">
      <c r="A136" t="str">
        <f>IF(Master!$N136&lt;&gt;"",Master!$E136 &amp; "","")</f>
        <v>Bodey Maher</v>
      </c>
      <c r="B136" t="str">
        <f>IF(Master!$N136&lt;&gt;"",Master!$F136 &amp; "","")</f>
        <v/>
      </c>
      <c r="C136" t="str">
        <f>IF(Master!$N136&lt;&gt;"",Master!$J136 &amp; "","")</f>
        <v/>
      </c>
    </row>
    <row r="137" spans="1:3" x14ac:dyDescent="0.25">
      <c r="A137" t="str">
        <f>IF(Master!$N137&lt;&gt;"",Master!$E137 &amp; "","")</f>
        <v/>
      </c>
      <c r="B137" t="str">
        <f>IF(Master!$N137&lt;&gt;"",Master!$F137 &amp; "","")</f>
        <v/>
      </c>
      <c r="C137" t="str">
        <f>IF(Master!$N137&lt;&gt;"",Master!$J137 &amp; "","")</f>
        <v/>
      </c>
    </row>
    <row r="138" spans="1:3" x14ac:dyDescent="0.25">
      <c r="A138" t="str">
        <f>IF(Master!$N138&lt;&gt;"",Master!$E138 &amp; "","")</f>
        <v/>
      </c>
      <c r="B138" t="str">
        <f>IF(Master!$N138&lt;&gt;"",Master!$F138 &amp; "","")</f>
        <v/>
      </c>
      <c r="C138" t="str">
        <f>IF(Master!$N138&lt;&gt;"",Master!$J138 &amp; "","")</f>
        <v/>
      </c>
    </row>
    <row r="139" spans="1:3" x14ac:dyDescent="0.25">
      <c r="A139" t="str">
        <f>IF(Master!$N139&lt;&gt;"",Master!$E139 &amp; "","")</f>
        <v>Drake Marks</v>
      </c>
      <c r="B139" t="str">
        <f>IF(Master!$N139&lt;&gt;"",Master!$F139 &amp; "","")</f>
        <v/>
      </c>
      <c r="C139" t="str">
        <f>IF(Master!$N139&lt;&gt;"",Master!$J139 &amp; "","")</f>
        <v/>
      </c>
    </row>
    <row r="140" spans="1:3" x14ac:dyDescent="0.25">
      <c r="A140" t="str">
        <f>IF(Master!$N140&lt;&gt;"",Master!$E140 &amp; "","")</f>
        <v>Kaely Marks</v>
      </c>
      <c r="B140" t="str">
        <f>IF(Master!$N140&lt;&gt;"",Master!$F140 &amp; "","")</f>
        <v/>
      </c>
      <c r="C140" t="str">
        <f>IF(Master!$N140&lt;&gt;"",Master!$J140 &amp; "","")</f>
        <v/>
      </c>
    </row>
    <row r="141" spans="1:3" x14ac:dyDescent="0.25">
      <c r="A141" t="str">
        <f>IF(Master!$N141&lt;&gt;"",Master!$E141 &amp; "","")</f>
        <v/>
      </c>
      <c r="B141" t="str">
        <f>IF(Master!$N141&lt;&gt;"",Master!$F141 &amp; "","")</f>
        <v/>
      </c>
      <c r="C141" t="str">
        <f>IF(Master!$N141&lt;&gt;"",Master!$J141 &amp; "","")</f>
        <v/>
      </c>
    </row>
    <row r="142" spans="1:3" x14ac:dyDescent="0.25">
      <c r="A142" t="str">
        <f>IF(Master!$N142&lt;&gt;"",Master!$E142 &amp; "","")</f>
        <v>Aaron Marshall</v>
      </c>
      <c r="B142" t="str">
        <f>IF(Master!$N142&lt;&gt;"",Master!$F142 &amp; "","")</f>
        <v>1161 Yankee Woods Dr</v>
      </c>
      <c r="C142" t="str">
        <f>IF(Master!$N142&lt;&gt;"",Master!$J142 &amp; "","")</f>
        <v>Centerville, OH 45458</v>
      </c>
    </row>
    <row r="143" spans="1:3" x14ac:dyDescent="0.25">
      <c r="A143" t="str">
        <f>IF(Master!$N143&lt;&gt;"",Master!$E143 &amp; "","")</f>
        <v>Ian Mauersberg</v>
      </c>
      <c r="B143" t="str">
        <f>IF(Master!$N143&lt;&gt;"",Master!$F143 &amp; "","")</f>
        <v>1200 Oakwood Ave</v>
      </c>
      <c r="C143" t="str">
        <f>IF(Master!$N143&lt;&gt;"",Master!$J143 &amp; "","")</f>
        <v>Oakwood, OH 45419</v>
      </c>
    </row>
    <row r="144" spans="1:3" x14ac:dyDescent="0.25">
      <c r="A144" t="str">
        <f>IF(Master!$N144&lt;&gt;"",Master!$E144 &amp; "","")</f>
        <v>Carly McCall</v>
      </c>
      <c r="B144" t="str">
        <f>IF(Master!$N144&lt;&gt;"",Master!$F144 &amp; "","")</f>
        <v>4740 Eagleview Dr</v>
      </c>
      <c r="C144" t="str">
        <f>IF(Master!$N144&lt;&gt;"",Master!$J144 &amp; "","")</f>
        <v>Kettering, OH 45429</v>
      </c>
    </row>
    <row r="145" spans="1:3" x14ac:dyDescent="0.25">
      <c r="A145" t="str">
        <f>IF(Master!$N145&lt;&gt;"",Master!$E145 &amp; "","")</f>
        <v/>
      </c>
      <c r="B145" t="str">
        <f>IF(Master!$N145&lt;&gt;"",Master!$F145 &amp; "","")</f>
        <v/>
      </c>
      <c r="C145" t="str">
        <f>IF(Master!$N145&lt;&gt;"",Master!$J145 &amp; "","")</f>
        <v/>
      </c>
    </row>
    <row r="146" spans="1:3" x14ac:dyDescent="0.25">
      <c r="A146" t="str">
        <f>IF(Master!$N146&lt;&gt;"",Master!$E146 &amp; "","")</f>
        <v/>
      </c>
      <c r="B146" t="str">
        <f>IF(Master!$N146&lt;&gt;"",Master!$F146 &amp; "","")</f>
        <v/>
      </c>
      <c r="C146" t="str">
        <f>IF(Master!$N146&lt;&gt;"",Master!$J146 &amp; "","")</f>
        <v/>
      </c>
    </row>
    <row r="147" spans="1:3" x14ac:dyDescent="0.25">
      <c r="A147" t="str">
        <f>IF(Master!$N147&lt;&gt;"",Master!$E147 &amp; "","")</f>
        <v>Kayley McGovern</v>
      </c>
      <c r="B147" t="str">
        <f>IF(Master!$N147&lt;&gt;"",Master!$F147 &amp; "","")</f>
        <v>1841 Swift Pl</v>
      </c>
      <c r="C147" t="str">
        <f>IF(Master!$N147&lt;&gt;"",Master!$J147 &amp; "","")</f>
        <v>Beavercreek, OH 45431</v>
      </c>
    </row>
    <row r="148" spans="1:3" x14ac:dyDescent="0.25">
      <c r="A148" t="str">
        <f>IF(Master!$N148&lt;&gt;"",Master!$E148 &amp; "","")</f>
        <v>Charlotte McKinnson</v>
      </c>
      <c r="B148" t="str">
        <f>IF(Master!$N148&lt;&gt;"",Master!$F148 &amp; "","")</f>
        <v/>
      </c>
      <c r="C148" t="str">
        <f>IF(Master!$N148&lt;&gt;"",Master!$J148 &amp; "","")</f>
        <v/>
      </c>
    </row>
    <row r="149" spans="1:3" x14ac:dyDescent="0.25">
      <c r="A149" t="str">
        <f>IF(Master!$N149&lt;&gt;"",Master!$E149 &amp; "","")</f>
        <v>Roman Meyers</v>
      </c>
      <c r="B149" t="str">
        <f>IF(Master!$N149&lt;&gt;"",Master!$F149 &amp; "","")</f>
        <v>139 S. Hedges Street</v>
      </c>
      <c r="C149" t="str">
        <f>IF(Master!$N149&lt;&gt;"",Master!$J149 &amp; "","")</f>
        <v>Dayton, OH 45403</v>
      </c>
    </row>
    <row r="150" spans="1:3" x14ac:dyDescent="0.25">
      <c r="A150" t="str">
        <f>IF(Master!$N150&lt;&gt;"",Master!$E150 &amp; "","")</f>
        <v>Benji Mezera</v>
      </c>
      <c r="B150" t="str">
        <f>IF(Master!$N150&lt;&gt;"",Master!$F150 &amp; "","")</f>
        <v/>
      </c>
      <c r="C150" t="str">
        <f>IF(Master!$N150&lt;&gt;"",Master!$J150 &amp; "","")</f>
        <v/>
      </c>
    </row>
    <row r="151" spans="1:3" x14ac:dyDescent="0.25">
      <c r="A151" t="str">
        <f>IF(Master!$N151&lt;&gt;"",Master!$E151 &amp; "","")</f>
        <v>Hudsen Millen</v>
      </c>
      <c r="B151" t="str">
        <f>IF(Master!$N151&lt;&gt;"",Master!$F151 &amp; "","")</f>
        <v/>
      </c>
      <c r="C151" t="str">
        <f>IF(Master!$N151&lt;&gt;"",Master!$J151 &amp; "","")</f>
        <v/>
      </c>
    </row>
    <row r="152" spans="1:3" x14ac:dyDescent="0.25">
      <c r="A152" t="str">
        <f>IF(Master!$N152&lt;&gt;"",Master!$E152 &amp; "","")</f>
        <v>Jayla Miller</v>
      </c>
      <c r="B152" t="str">
        <f>IF(Master!$N152&lt;&gt;"",Master!$F152 &amp; "","")</f>
        <v/>
      </c>
      <c r="C152" t="str">
        <f>IF(Master!$N152&lt;&gt;"",Master!$J152 &amp; "","")</f>
        <v/>
      </c>
    </row>
    <row r="153" spans="1:3" x14ac:dyDescent="0.25">
      <c r="A153" t="str">
        <f>IF(Master!$N153&lt;&gt;"",Master!$E153 &amp; "","")</f>
        <v>Alan Millhouse</v>
      </c>
      <c r="B153" t="str">
        <f>IF(Master!$N153&lt;&gt;"",Master!$F153 &amp; "","")</f>
        <v>921 Ashcreek Dr</v>
      </c>
      <c r="C153" t="str">
        <f>IF(Master!$N153&lt;&gt;"",Master!$J153 &amp; "","")</f>
        <v>Centerville, OH 45458</v>
      </c>
    </row>
    <row r="154" spans="1:3" x14ac:dyDescent="0.25">
      <c r="A154" t="str">
        <f>IF(Master!$N154&lt;&gt;"",Master!$E154 &amp; "","")</f>
        <v/>
      </c>
      <c r="B154" t="str">
        <f>IF(Master!$N154&lt;&gt;"",Master!$F154 &amp; "","")</f>
        <v/>
      </c>
      <c r="C154" t="str">
        <f>IF(Master!$N154&lt;&gt;"",Master!$J154 &amp; "","")</f>
        <v/>
      </c>
    </row>
    <row r="155" spans="1:3" x14ac:dyDescent="0.25">
      <c r="A155" t="str">
        <f>IF(Master!$N155&lt;&gt;"",Master!$E155 &amp; "","")</f>
        <v/>
      </c>
      <c r="B155" t="str">
        <f>IF(Master!$N155&lt;&gt;"",Master!$F155 &amp; "","")</f>
        <v/>
      </c>
      <c r="C155" t="str">
        <f>IF(Master!$N155&lt;&gt;"",Master!$J155 &amp; "","")</f>
        <v/>
      </c>
    </row>
    <row r="156" spans="1:3" x14ac:dyDescent="0.25">
      <c r="A156" t="str">
        <f>IF(Master!$N156&lt;&gt;"",Master!$E156 &amp; "","")</f>
        <v/>
      </c>
      <c r="B156" t="str">
        <f>IF(Master!$N156&lt;&gt;"",Master!$F156 &amp; "","")</f>
        <v/>
      </c>
      <c r="C156" t="str">
        <f>IF(Master!$N156&lt;&gt;"",Master!$J156 &amp; "","")</f>
        <v/>
      </c>
    </row>
    <row r="157" spans="1:3" x14ac:dyDescent="0.25">
      <c r="A157" t="str">
        <f>IF(Master!$N157&lt;&gt;"",Master!$E157 &amp; "","")</f>
        <v>Penelope Mogollon-Faris</v>
      </c>
      <c r="B157" t="str">
        <f>IF(Master!$N157&lt;&gt;"",Master!$F157 &amp; "","")</f>
        <v>807 St. Nicholas Ave</v>
      </c>
      <c r="C157" t="str">
        <f>IF(Master!$N157&lt;&gt;"",Master!$J157 &amp; "","")</f>
        <v>Dayton, OH 45410</v>
      </c>
    </row>
    <row r="158" spans="1:3" x14ac:dyDescent="0.25">
      <c r="A158" t="str">
        <f>IF(Master!$N158&lt;&gt;"",Master!$E158 &amp; "","")</f>
        <v>Owen Moore</v>
      </c>
      <c r="B158" t="str">
        <f>IF(Master!$N158&lt;&gt;"",Master!$F158 &amp; "","")</f>
        <v>600 Grand Wood Court</v>
      </c>
      <c r="C158" t="str">
        <f>IF(Master!$N158&lt;&gt;"",Master!$J158 &amp; "","")</f>
        <v>Springboro, OH 45066</v>
      </c>
    </row>
    <row r="159" spans="1:3" x14ac:dyDescent="0.25">
      <c r="A159" t="str">
        <f>IF(Master!$N159&lt;&gt;"",Master!$E159 &amp; "","")</f>
        <v/>
      </c>
      <c r="B159" t="str">
        <f>IF(Master!$N159&lt;&gt;"",Master!$F159 &amp; "","")</f>
        <v/>
      </c>
      <c r="C159" t="str">
        <f>IF(Master!$N159&lt;&gt;"",Master!$J159 &amp; "","")</f>
        <v/>
      </c>
    </row>
    <row r="160" spans="1:3" x14ac:dyDescent="0.25">
      <c r="A160" t="str">
        <f>IF(Master!$N160&lt;&gt;"",Master!$E160 &amp; "","")</f>
        <v>Jay LaNell Myer</v>
      </c>
      <c r="B160" t="str">
        <f>IF(Master!$N160&lt;&gt;"",Master!$F160 &amp; "","")</f>
        <v/>
      </c>
      <c r="C160" t="str">
        <f>IF(Master!$N160&lt;&gt;"",Master!$J160 &amp; "","")</f>
        <v/>
      </c>
    </row>
    <row r="161" spans="1:3" x14ac:dyDescent="0.25">
      <c r="A161" t="str">
        <f>IF(Master!$N161&lt;&gt;"",Master!$E161 &amp; "","")</f>
        <v>Joe Nartker</v>
      </c>
      <c r="B161" t="str">
        <f>IF(Master!$N161&lt;&gt;"",Master!$F161 &amp; "","")</f>
        <v>1180 Club Cir</v>
      </c>
      <c r="C161" t="str">
        <f>IF(Master!$N161&lt;&gt;"",Master!$J161 &amp; "","")</f>
        <v>Centerville, OH 45459</v>
      </c>
    </row>
    <row r="162" spans="1:3" x14ac:dyDescent="0.25">
      <c r="A162" t="str">
        <f>IF(Master!$N162&lt;&gt;"",Master!$E162 &amp; "","")</f>
        <v>Sofia Neff</v>
      </c>
      <c r="B162" t="str">
        <f>IF(Master!$N162&lt;&gt;"",Master!$F162 &amp; "","")</f>
        <v>8831 Windbluff Point</v>
      </c>
      <c r="C162" t="str">
        <f>IF(Master!$N162&lt;&gt;"",Master!$J162 &amp; "","")</f>
        <v>Dayton, OH 45408</v>
      </c>
    </row>
    <row r="163" spans="1:3" x14ac:dyDescent="0.25">
      <c r="A163" t="str">
        <f>IF(Master!$N163&lt;&gt;"",Master!$E163 &amp; "","")</f>
        <v/>
      </c>
      <c r="B163" t="str">
        <f>IF(Master!$N163&lt;&gt;"",Master!$F163 &amp; "","")</f>
        <v/>
      </c>
      <c r="C163" t="str">
        <f>IF(Master!$N163&lt;&gt;"",Master!$J163 &amp; "","")</f>
        <v/>
      </c>
    </row>
    <row r="164" spans="1:3" x14ac:dyDescent="0.25">
      <c r="A164" t="str">
        <f>IF(Master!$N164&lt;&gt;"",Master!$E164 &amp; "","")</f>
        <v>Gemma Nessler</v>
      </c>
      <c r="B164" t="str">
        <f>IF(Master!$N164&lt;&gt;"",Master!$F164 &amp; "","")</f>
        <v>2968 Station House Way</v>
      </c>
      <c r="C164" t="str">
        <f>IF(Master!$N164&lt;&gt;"",Master!$J164 &amp; "","")</f>
        <v>Waynesville, OH 45068</v>
      </c>
    </row>
    <row r="165" spans="1:3" x14ac:dyDescent="0.25">
      <c r="A165" t="str">
        <f>IF(Master!$N165&lt;&gt;"",Master!$E165 &amp; "","")</f>
        <v>Shanae Nicholes</v>
      </c>
      <c r="B165" t="str">
        <f>IF(Master!$N165&lt;&gt;"",Master!$F165 &amp; "","")</f>
        <v>2011 La Grange Rd</v>
      </c>
      <c r="C165" t="str">
        <f>IF(Master!$N165&lt;&gt;"",Master!$J165 &amp; "","")</f>
        <v>Dayton, OH 45431</v>
      </c>
    </row>
    <row r="166" spans="1:3" x14ac:dyDescent="0.25">
      <c r="A166" t="str">
        <f>IF(Master!$N166&lt;&gt;"",Master!$E166 &amp; "","")</f>
        <v>Patrick O'Brien</v>
      </c>
      <c r="B166" t="str">
        <f>IF(Master!$N166&lt;&gt;"",Master!$F166 &amp; "","")</f>
        <v>192 Laurel Oak Ct</v>
      </c>
      <c r="C166" t="str">
        <f>IF(Master!$N166&lt;&gt;"",Master!$J166 &amp; "","")</f>
        <v>Centerville, OH 45459</v>
      </c>
    </row>
    <row r="167" spans="1:3" x14ac:dyDescent="0.25">
      <c r="A167" t="str">
        <f>IF(Master!$N167&lt;&gt;"",Master!$E167 &amp; "","")</f>
        <v>Raphael Ojezua</v>
      </c>
      <c r="B167" t="str">
        <f>IF(Master!$N167&lt;&gt;"",Master!$F167 &amp; "","")</f>
        <v/>
      </c>
      <c r="C167" t="str">
        <f>IF(Master!$N167&lt;&gt;"",Master!$J167 &amp; "","")</f>
        <v/>
      </c>
    </row>
    <row r="168" spans="1:3" x14ac:dyDescent="0.25">
      <c r="A168" t="str">
        <f>IF(Master!$N168&lt;&gt;"",Master!$E168 &amp; "","")</f>
        <v/>
      </c>
      <c r="B168" t="str">
        <f>IF(Master!$N168&lt;&gt;"",Master!$F168 &amp; "","")</f>
        <v/>
      </c>
      <c r="C168" t="str">
        <f>IF(Master!$N168&lt;&gt;"",Master!$J168 &amp; "","")</f>
        <v/>
      </c>
    </row>
    <row r="169" spans="1:3" x14ac:dyDescent="0.25">
      <c r="A169" t="str">
        <f>IF(Master!$N169&lt;&gt;"",Master!$E169 &amp; "","")</f>
        <v>Lindsay O'Neill</v>
      </c>
      <c r="B169" t="str">
        <f>IF(Master!$N169&lt;&gt;"",Master!$F169 &amp; "","")</f>
        <v>31 Libby Ct</v>
      </c>
      <c r="C169" t="str">
        <f>IF(Master!$N169&lt;&gt;"",Master!$J169 &amp; "","")</f>
        <v>Franklin, OH 45005</v>
      </c>
    </row>
    <row r="170" spans="1:3" x14ac:dyDescent="0.25">
      <c r="A170" t="str">
        <f>IF(Master!$N170&lt;&gt;"",Master!$E170 &amp; "","")</f>
        <v/>
      </c>
      <c r="B170" t="str">
        <f>IF(Master!$N170&lt;&gt;"",Master!$F170 &amp; "","")</f>
        <v/>
      </c>
      <c r="C170" t="str">
        <f>IF(Master!$N170&lt;&gt;"",Master!$J170 &amp; "","")</f>
        <v/>
      </c>
    </row>
    <row r="171" spans="1:3" x14ac:dyDescent="0.25">
      <c r="A171" t="str">
        <f>IF(Master!$N171&lt;&gt;"",Master!$E171 &amp; "","")</f>
        <v/>
      </c>
      <c r="B171" t="str">
        <f>IF(Master!$N171&lt;&gt;"",Master!$F171 &amp; "","")</f>
        <v/>
      </c>
      <c r="C171" t="str">
        <f>IF(Master!$N171&lt;&gt;"",Master!$J171 &amp; "","")</f>
        <v/>
      </c>
    </row>
    <row r="172" spans="1:3" x14ac:dyDescent="0.25">
      <c r="A172" t="str">
        <f>IF(Master!$N172&lt;&gt;"",Master!$E172 &amp; "","")</f>
        <v/>
      </c>
      <c r="B172" t="str">
        <f>IF(Master!$N172&lt;&gt;"",Master!$F172 &amp; "","")</f>
        <v/>
      </c>
      <c r="C172" t="str">
        <f>IF(Master!$N172&lt;&gt;"",Master!$J172 &amp; "","")</f>
        <v/>
      </c>
    </row>
    <row r="173" spans="1:3" x14ac:dyDescent="0.25">
      <c r="A173" t="str">
        <f>IF(Master!$N173&lt;&gt;"",Master!$E173 &amp; "","")</f>
        <v/>
      </c>
      <c r="B173" t="str">
        <f>IF(Master!$N173&lt;&gt;"",Master!$F173 &amp; "","")</f>
        <v/>
      </c>
      <c r="C173" t="str">
        <f>IF(Master!$N173&lt;&gt;"",Master!$J173 &amp; "","")</f>
        <v/>
      </c>
    </row>
    <row r="174" spans="1:3" x14ac:dyDescent="0.25">
      <c r="A174" t="str">
        <f>IF(Master!$N174&lt;&gt;"",Master!$E174 &amp; "","")</f>
        <v/>
      </c>
      <c r="B174" t="str">
        <f>IF(Master!$N174&lt;&gt;"",Master!$F174 &amp; "","")</f>
        <v/>
      </c>
      <c r="C174" t="str">
        <f>IF(Master!$N174&lt;&gt;"",Master!$J174 &amp; "","")</f>
        <v/>
      </c>
    </row>
    <row r="175" spans="1:3" x14ac:dyDescent="0.25">
      <c r="A175" t="str">
        <f>IF(Master!$N175&lt;&gt;"",Master!$E175 &amp; "","")</f>
        <v/>
      </c>
      <c r="B175" t="str">
        <f>IF(Master!$N175&lt;&gt;"",Master!$F175 &amp; "","")</f>
        <v/>
      </c>
      <c r="C175" t="str">
        <f>IF(Master!$N175&lt;&gt;"",Master!$J175 &amp; "","")</f>
        <v/>
      </c>
    </row>
    <row r="176" spans="1:3" x14ac:dyDescent="0.25">
      <c r="A176" t="str">
        <f>IF(Master!$N176&lt;&gt;"",Master!$E176 &amp; "","")</f>
        <v>Kylie Peters</v>
      </c>
      <c r="B176" t="str">
        <f>IF(Master!$N176&lt;&gt;"",Master!$F176 &amp; "","")</f>
        <v>8847 Washington Colony Dr</v>
      </c>
      <c r="C176" t="str">
        <f>IF(Master!$N176&lt;&gt;"",Master!$J176 &amp; "","")</f>
        <v>Centerville, OH 45458</v>
      </c>
    </row>
    <row r="177" spans="1:3" x14ac:dyDescent="0.25">
      <c r="A177" t="str">
        <f>IF(Master!$N177&lt;&gt;"",Master!$E177 &amp; "","")</f>
        <v/>
      </c>
      <c r="B177" t="str">
        <f>IF(Master!$N177&lt;&gt;"",Master!$F177 &amp; "","")</f>
        <v/>
      </c>
      <c r="C177" t="str">
        <f>IF(Master!$N177&lt;&gt;"",Master!$J177 &amp; "","")</f>
        <v/>
      </c>
    </row>
    <row r="178" spans="1:3" x14ac:dyDescent="0.25">
      <c r="A178" t="str">
        <f>IF(Master!$N178&lt;&gt;"",Master!$E178 &amp; "","")</f>
        <v>Lukas Pickett</v>
      </c>
      <c r="B178" t="str">
        <f>IF(Master!$N178&lt;&gt;"",Master!$F178 &amp; "","")</f>
        <v>108 N. 9th Street</v>
      </c>
      <c r="C178" t="str">
        <f>IF(Master!$N178&lt;&gt;"",Master!$J178 &amp; "","")</f>
        <v>Miamisburg, OH 45342</v>
      </c>
    </row>
    <row r="179" spans="1:3" x14ac:dyDescent="0.25">
      <c r="A179" t="str">
        <f>IF(Master!$N179&lt;&gt;"",Master!$E179 &amp; "","")</f>
        <v/>
      </c>
      <c r="B179" t="str">
        <f>IF(Master!$N179&lt;&gt;"",Master!$F179 &amp; "","")</f>
        <v/>
      </c>
      <c r="C179" t="str">
        <f>IF(Master!$N179&lt;&gt;"",Master!$J179 &amp; "","")</f>
        <v/>
      </c>
    </row>
    <row r="180" spans="1:3" x14ac:dyDescent="0.25">
      <c r="A180" t="str">
        <f>IF(Master!$N180&lt;&gt;"",Master!$E180 &amp; "","")</f>
        <v>Priya Pinkerton</v>
      </c>
      <c r="B180" t="str">
        <f>IF(Master!$N180&lt;&gt;"",Master!$F180 &amp; "","")</f>
        <v/>
      </c>
      <c r="C180" t="str">
        <f>IF(Master!$N180&lt;&gt;"",Master!$J180 &amp; "","")</f>
        <v/>
      </c>
    </row>
    <row r="181" spans="1:3" x14ac:dyDescent="0.25">
      <c r="A181" t="str">
        <f>IF(Master!$N181&lt;&gt;"",Master!$E181 &amp; "","")</f>
        <v>Fallon Poellnitz</v>
      </c>
      <c r="B181" t="str">
        <f>IF(Master!$N181&lt;&gt;"",Master!$F181 &amp; "","")</f>
        <v/>
      </c>
      <c r="C181" t="str">
        <f>IF(Master!$N181&lt;&gt;"",Master!$J181 &amp; "","")</f>
        <v/>
      </c>
    </row>
    <row r="182" spans="1:3" x14ac:dyDescent="0.25">
      <c r="A182" t="str">
        <f>IF(Master!$N182&lt;&gt;"",Master!$E182 &amp; "","")</f>
        <v/>
      </c>
      <c r="B182" t="str">
        <f>IF(Master!$N182&lt;&gt;"",Master!$F182 &amp; "","")</f>
        <v/>
      </c>
      <c r="C182" t="str">
        <f>IF(Master!$N182&lt;&gt;"",Master!$J182 &amp; "","")</f>
        <v/>
      </c>
    </row>
    <row r="183" spans="1:3" x14ac:dyDescent="0.25">
      <c r="A183" t="str">
        <f>IF(Master!$N183&lt;&gt;"",Master!$E183 &amp; "","")</f>
        <v/>
      </c>
      <c r="B183" t="str">
        <f>IF(Master!$N183&lt;&gt;"",Master!$F183 &amp; "","")</f>
        <v/>
      </c>
      <c r="C183" t="str">
        <f>IF(Master!$N183&lt;&gt;"",Master!$J183 &amp; "","")</f>
        <v/>
      </c>
    </row>
    <row r="184" spans="1:3" x14ac:dyDescent="0.25">
      <c r="A184" t="str">
        <f>IF(Master!$N184&lt;&gt;"",Master!$E184 &amp; "","")</f>
        <v>Patrick Powell</v>
      </c>
      <c r="B184" t="str">
        <f>IF(Master!$N184&lt;&gt;"",Master!$F184 &amp; "","")</f>
        <v/>
      </c>
      <c r="C184" t="str">
        <f>IF(Master!$N184&lt;&gt;"",Master!$J184 &amp; "","")</f>
        <v/>
      </c>
    </row>
    <row r="185" spans="1:3" x14ac:dyDescent="0.25">
      <c r="A185" t="str">
        <f>IF(Master!$N186&lt;&gt;"",Master!$E186 &amp; "","")</f>
        <v>Levi Pullins</v>
      </c>
      <c r="B185" t="str">
        <f>IF(Master!$N186&lt;&gt;"",Master!$F186 &amp; "","")</f>
        <v/>
      </c>
      <c r="C185" t="str">
        <f>IF(Master!$N186&lt;&gt;"",Master!$J186 &amp; "","")</f>
        <v/>
      </c>
    </row>
    <row r="186" spans="1:3" x14ac:dyDescent="0.25">
      <c r="A186" t="str">
        <f>IF(Master!$N187&lt;&gt;"",Master!$E187 &amp; "","")</f>
        <v/>
      </c>
      <c r="B186" t="str">
        <f>IF(Master!$N187&lt;&gt;"",Master!$F187 &amp; "","")</f>
        <v/>
      </c>
      <c r="C186" t="str">
        <f>IF(Master!$N187&lt;&gt;"",Master!$J187 &amp; "","")</f>
        <v/>
      </c>
    </row>
    <row r="187" spans="1:3" x14ac:dyDescent="0.25">
      <c r="A187" t="str">
        <f>IF(Master!$N188&lt;&gt;"",Master!$E188 &amp; "","")</f>
        <v/>
      </c>
      <c r="B187" t="str">
        <f>IF(Master!$N188&lt;&gt;"",Master!$F188 &amp; "","")</f>
        <v/>
      </c>
      <c r="C187" t="str">
        <f>IF(Master!$N188&lt;&gt;"",Master!$J188 &amp; "","")</f>
        <v/>
      </c>
    </row>
    <row r="188" spans="1:3" x14ac:dyDescent="0.25">
      <c r="A188" t="str">
        <f>IF(Master!$N189&lt;&gt;"",Master!$E189 &amp; "","")</f>
        <v/>
      </c>
      <c r="B188" t="str">
        <f>IF(Master!$N189&lt;&gt;"",Master!$F189 &amp; "","")</f>
        <v/>
      </c>
      <c r="C188" t="str">
        <f>IF(Master!$N189&lt;&gt;"",Master!$J189 &amp; "","")</f>
        <v/>
      </c>
    </row>
    <row r="189" spans="1:3" x14ac:dyDescent="0.25">
      <c r="A189" t="str">
        <f>IF(Master!$N190&lt;&gt;"",Master!$E190 &amp; "","")</f>
        <v>Nathan Richardson</v>
      </c>
      <c r="B189" t="str">
        <f>IF(Master!$N190&lt;&gt;"",Master!$F190 &amp; "","")</f>
        <v/>
      </c>
      <c r="C189" t="str">
        <f>IF(Master!$N190&lt;&gt;"",Master!$J190 &amp; "","")</f>
        <v/>
      </c>
    </row>
    <row r="190" spans="1:3" x14ac:dyDescent="0.25">
      <c r="A190" t="str">
        <f>IF(Master!$N191&lt;&gt;"",Master!$E191 &amp; "","")</f>
        <v>Keira Richison</v>
      </c>
      <c r="B190" t="str">
        <f>IF(Master!$N191&lt;&gt;"",Master!$F191 &amp; "","")</f>
        <v>4631 ozark ave</v>
      </c>
      <c r="C190" t="str">
        <f>IF(Master!$N191&lt;&gt;"",Master!$J191 &amp; "","")</f>
        <v>Dayton, OH 45432</v>
      </c>
    </row>
    <row r="191" spans="1:3" x14ac:dyDescent="0.25">
      <c r="A191" t="str">
        <f>IF(Master!$N192&lt;&gt;"",Master!$E192 &amp; "","")</f>
        <v/>
      </c>
      <c r="B191" t="str">
        <f>IF(Master!$N192&lt;&gt;"",Master!$F192 &amp; "","")</f>
        <v/>
      </c>
      <c r="C191" t="str">
        <f>IF(Master!$N192&lt;&gt;"",Master!$J192 &amp; "","")</f>
        <v/>
      </c>
    </row>
    <row r="192" spans="1:3" x14ac:dyDescent="0.25">
      <c r="A192" t="str">
        <f>IF(Master!$N193&lt;&gt;"",Master!$E193 &amp; "","")</f>
        <v/>
      </c>
      <c r="B192" t="str">
        <f>IF(Master!$N193&lt;&gt;"",Master!$F193 &amp; "","")</f>
        <v/>
      </c>
      <c r="C192" t="str">
        <f>IF(Master!$N193&lt;&gt;"",Master!$J193 &amp; "","")</f>
        <v/>
      </c>
    </row>
    <row r="193" spans="1:3" x14ac:dyDescent="0.25">
      <c r="A193" t="str">
        <f>IF(Master!$N194&lt;&gt;"",Master!$E194 &amp; "","")</f>
        <v/>
      </c>
      <c r="B193" t="str">
        <f>IF(Master!$N194&lt;&gt;"",Master!$F194 &amp; "","")</f>
        <v/>
      </c>
      <c r="C193" t="str">
        <f>IF(Master!$N194&lt;&gt;"",Master!$J194 &amp; "","")</f>
        <v/>
      </c>
    </row>
    <row r="194" spans="1:3" x14ac:dyDescent="0.25">
      <c r="A194" t="str">
        <f>IF(Master!$N195&lt;&gt;"",Master!$E195 &amp; "","")</f>
        <v>Kemper Robinson</v>
      </c>
      <c r="B194" t="str">
        <f>IF(Master!$N195&lt;&gt;"",Master!$F195 &amp; "","")</f>
        <v/>
      </c>
      <c r="C194" t="str">
        <f>IF(Master!$N195&lt;&gt;"",Master!$J195 &amp; "","")</f>
        <v/>
      </c>
    </row>
    <row r="195" spans="1:3" x14ac:dyDescent="0.25">
      <c r="A195" t="str">
        <f>IF(Master!$N196&lt;&gt;"",Master!$E196 &amp; "","")</f>
        <v/>
      </c>
      <c r="B195" t="str">
        <f>IF(Master!$N196&lt;&gt;"",Master!$F196 &amp; "","")</f>
        <v/>
      </c>
      <c r="C195" t="str">
        <f>IF(Master!$N196&lt;&gt;"",Master!$J196 &amp; "","")</f>
        <v/>
      </c>
    </row>
    <row r="196" spans="1:3" x14ac:dyDescent="0.25">
      <c r="A196" t="str">
        <f>IF(Master!$N197&lt;&gt;"",Master!$E197 &amp; "","")</f>
        <v>Noah Rose</v>
      </c>
      <c r="B196" t="str">
        <f>IF(Master!$N197&lt;&gt;"",Master!$F197 &amp; "","")</f>
        <v/>
      </c>
      <c r="C196" t="str">
        <f>IF(Master!$N197&lt;&gt;"",Master!$J197 &amp; "","")</f>
        <v/>
      </c>
    </row>
    <row r="197" spans="1:3" x14ac:dyDescent="0.25">
      <c r="A197" t="str">
        <f>IF(Master!$N198&lt;&gt;"",Master!$E198 &amp; "","")</f>
        <v/>
      </c>
      <c r="B197" t="str">
        <f>IF(Master!$N198&lt;&gt;"",Master!$F198 &amp; "","")</f>
        <v/>
      </c>
      <c r="C197" t="str">
        <f>IF(Master!$N198&lt;&gt;"",Master!$J198 &amp; "","")</f>
        <v/>
      </c>
    </row>
    <row r="198" spans="1:3" x14ac:dyDescent="0.25">
      <c r="A198" t="str">
        <f>IF(Master!$N199&lt;&gt;"",Master!$E199 &amp; "","")</f>
        <v/>
      </c>
      <c r="B198" t="str">
        <f>IF(Master!$N199&lt;&gt;"",Master!$F199 &amp; "","")</f>
        <v/>
      </c>
      <c r="C198" t="str">
        <f>IF(Master!$N199&lt;&gt;"",Master!$J199 &amp; "","")</f>
        <v/>
      </c>
    </row>
    <row r="199" spans="1:3" x14ac:dyDescent="0.25">
      <c r="A199" t="str">
        <f>IF(Master!$N200&lt;&gt;"",Master!$E200 &amp; "","")</f>
        <v/>
      </c>
      <c r="B199" t="str">
        <f>IF(Master!$N200&lt;&gt;"",Master!$F200 &amp; "","")</f>
        <v/>
      </c>
      <c r="C199" t="str">
        <f>IF(Master!$N200&lt;&gt;"",Master!$J200 &amp; "","")</f>
        <v/>
      </c>
    </row>
    <row r="200" spans="1:3" x14ac:dyDescent="0.25">
      <c r="A200" t="str">
        <f>IF(Master!$N201&lt;&gt;"",Master!$E201 &amp; "","")</f>
        <v>Aaryan Sagvekar</v>
      </c>
      <c r="B200" t="str">
        <f>IF(Master!$N201&lt;&gt;"",Master!$F201 &amp; "","")</f>
        <v/>
      </c>
      <c r="C200" t="str">
        <f>IF(Master!$N201&lt;&gt;"",Master!$J201 &amp; "","")</f>
        <v/>
      </c>
    </row>
    <row r="201" spans="1:3" x14ac:dyDescent="0.25">
      <c r="A201" t="str">
        <f>IF(Master!$N202&lt;&gt;"",Master!$E202 &amp; "","")</f>
        <v/>
      </c>
      <c r="B201" t="str">
        <f>IF(Master!$N202&lt;&gt;"",Master!$F202 &amp; "","")</f>
        <v/>
      </c>
      <c r="C201" t="str">
        <f>IF(Master!$N202&lt;&gt;"",Master!$J202 &amp; "","")</f>
        <v/>
      </c>
    </row>
    <row r="202" spans="1:3" x14ac:dyDescent="0.25">
      <c r="A202" t="str">
        <f>IF(Master!$N203&lt;&gt;"",Master!$E203 &amp; "","")</f>
        <v/>
      </c>
      <c r="B202" t="str">
        <f>IF(Master!$N203&lt;&gt;"",Master!$F203 &amp; "","")</f>
        <v/>
      </c>
      <c r="C202" t="str">
        <f>IF(Master!$N203&lt;&gt;"",Master!$J203 &amp; "","")</f>
        <v/>
      </c>
    </row>
    <row r="203" spans="1:3" x14ac:dyDescent="0.25">
      <c r="A203" t="str">
        <f>IF(Master!$N205&lt;&gt;"",Master!$E205 &amp; "","")</f>
        <v/>
      </c>
      <c r="B203" t="str">
        <f>IF(Master!$N205&lt;&gt;"",Master!$F205 &amp; "","")</f>
        <v/>
      </c>
      <c r="C203" t="str">
        <f>IF(Master!$N205&lt;&gt;"",Master!$J205 &amp; "","")</f>
        <v/>
      </c>
    </row>
    <row r="204" spans="1:3" x14ac:dyDescent="0.25">
      <c r="A204" t="str">
        <f>IF(Master!$N206&lt;&gt;"",Master!$E206 &amp; "","")</f>
        <v>Jessica Savage</v>
      </c>
      <c r="B204" t="str">
        <f>IF(Master!$N206&lt;&gt;"",Master!$F206 &amp; "","")</f>
        <v/>
      </c>
      <c r="C204" t="str">
        <f>IF(Master!$N206&lt;&gt;"",Master!$J206 &amp; "","")</f>
        <v/>
      </c>
    </row>
    <row r="205" spans="1:3" x14ac:dyDescent="0.25">
      <c r="A205" t="str">
        <f>IF(Master!$N207&lt;&gt;"",Master!$E207 &amp; "","")</f>
        <v>Crislyn Sayger</v>
      </c>
      <c r="B205" t="str">
        <f>IF(Master!$N207&lt;&gt;"",Master!$F207 &amp; "","")</f>
        <v>1695 N Belleview Dr</v>
      </c>
      <c r="C205" t="str">
        <f>IF(Master!$N207&lt;&gt;"",Master!$J207 &amp; "","")</f>
        <v>Bellbrook, OH 45305</v>
      </c>
    </row>
    <row r="206" spans="1:3" x14ac:dyDescent="0.25">
      <c r="A206" t="str">
        <f>IF(Master!$N208&lt;&gt;"",Master!$E208 &amp; "","")</f>
        <v/>
      </c>
      <c r="B206" t="str">
        <f>IF(Master!$N208&lt;&gt;"",Master!$F208 &amp; "","")</f>
        <v/>
      </c>
      <c r="C206" t="str">
        <f>IF(Master!$N208&lt;&gt;"",Master!$J208 &amp; "","")</f>
        <v/>
      </c>
    </row>
    <row r="207" spans="1:3" x14ac:dyDescent="0.25">
      <c r="A207" t="str">
        <f>IF(Master!$N209&lt;&gt;"",Master!$E209 &amp; "","")</f>
        <v>Calvin Schneider</v>
      </c>
      <c r="B207" t="str">
        <f>IF(Master!$N209&lt;&gt;"",Master!$F209 &amp; "","")</f>
        <v>6524 Staverton Dr</v>
      </c>
      <c r="C207" t="str">
        <f>IF(Master!$N209&lt;&gt;"",Master!$J209 &amp; "","")</f>
        <v>Centerville, OH 45459</v>
      </c>
    </row>
    <row r="208" spans="1:3" x14ac:dyDescent="0.25">
      <c r="A208" t="str">
        <f>IF(Master!$N210&lt;&gt;"",Master!$E210 &amp; "","")</f>
        <v>Nate Schreck</v>
      </c>
      <c r="B208" t="str">
        <f>IF(Master!$N210&lt;&gt;"",Master!$F210 &amp; "","")</f>
        <v/>
      </c>
      <c r="C208" t="str">
        <f>IF(Master!$N210&lt;&gt;"",Master!$J210 &amp; "","")</f>
        <v/>
      </c>
    </row>
    <row r="209" spans="1:3" x14ac:dyDescent="0.25">
      <c r="A209" t="str">
        <f>IF(Master!$N211&lt;&gt;"",Master!$E211 &amp; "","")</f>
        <v/>
      </c>
      <c r="B209" t="str">
        <f>IF(Master!$N211&lt;&gt;"",Master!$F211 &amp; "","")</f>
        <v/>
      </c>
      <c r="C209" t="str">
        <f>IF(Master!$N211&lt;&gt;"",Master!$J211 &amp; "","")</f>
        <v/>
      </c>
    </row>
    <row r="210" spans="1:3" x14ac:dyDescent="0.25">
      <c r="A210" t="str">
        <f>IF(Master!$N212&lt;&gt;"",Master!$E212 &amp; "","")</f>
        <v/>
      </c>
      <c r="B210" t="str">
        <f>IF(Master!$N212&lt;&gt;"",Master!$F212 &amp; "","")</f>
        <v/>
      </c>
      <c r="C210" t="str">
        <f>IF(Master!$N212&lt;&gt;"",Master!$J212 &amp; "","")</f>
        <v/>
      </c>
    </row>
    <row r="211" spans="1:3" x14ac:dyDescent="0.25">
      <c r="A211" t="str">
        <f>IF(Master!$N213&lt;&gt;"",Master!$E213 &amp; "","")</f>
        <v>Yusuf Shah</v>
      </c>
      <c r="B211" t="str">
        <f>IF(Master!$N213&lt;&gt;"",Master!$F213 &amp; "","")</f>
        <v>930 Aaron Nut Dr</v>
      </c>
      <c r="C211" t="str">
        <f>IF(Master!$N213&lt;&gt;"",Master!$J213 &amp; "","")</f>
        <v>Centerville, OH 45458</v>
      </c>
    </row>
    <row r="212" spans="1:3" x14ac:dyDescent="0.25">
      <c r="A212" t="str">
        <f>IF(Master!$N214&lt;&gt;"",Master!$E214 &amp; "","")</f>
        <v/>
      </c>
      <c r="B212" t="str">
        <f>IF(Master!$N214&lt;&gt;"",Master!$F214 &amp; "","")</f>
        <v/>
      </c>
      <c r="C212" t="str">
        <f>IF(Master!$N214&lt;&gt;"",Master!$J214 &amp; "","")</f>
        <v/>
      </c>
    </row>
    <row r="213" spans="1:3" x14ac:dyDescent="0.25">
      <c r="A213" t="str">
        <f>IF(Master!$N215&lt;&gt;"",Master!$E215 &amp; "","")</f>
        <v>Ryan  Shockley</v>
      </c>
      <c r="B213" t="str">
        <f>IF(Master!$N215&lt;&gt;"",Master!$F215 &amp; "","")</f>
        <v>1320 Glen Jean Ct</v>
      </c>
      <c r="C213" t="str">
        <f>IF(Master!$N215&lt;&gt;"",Master!$J215 &amp; "","")</f>
        <v>Dayton, OH 45459</v>
      </c>
    </row>
    <row r="214" spans="1:3" x14ac:dyDescent="0.25">
      <c r="A214" t="str">
        <f>IF(Master!$N216&lt;&gt;"",Master!$E216 &amp; "","")</f>
        <v/>
      </c>
      <c r="B214" t="str">
        <f>IF(Master!$N216&lt;&gt;"",Master!$F216 &amp; "","")</f>
        <v/>
      </c>
      <c r="C214" t="str">
        <f>IF(Master!$N216&lt;&gt;"",Master!$J216 &amp; "","")</f>
        <v/>
      </c>
    </row>
    <row r="215" spans="1:3" x14ac:dyDescent="0.25">
      <c r="A215" t="str">
        <f>IF(Master!$N217&lt;&gt;"",Master!$E217 &amp; "","")</f>
        <v>Jonathan Sibole</v>
      </c>
      <c r="B215" t="str">
        <f>IF(Master!$N217&lt;&gt;"",Master!$F217 &amp; "","")</f>
        <v/>
      </c>
      <c r="C215" t="str">
        <f>IF(Master!$N217&lt;&gt;"",Master!$J217 &amp; "","")</f>
        <v/>
      </c>
    </row>
    <row r="216" spans="1:3" x14ac:dyDescent="0.25">
      <c r="A216" t="str">
        <f>IF(Master!$N218&lt;&gt;"",Master!$E218 &amp; "","")</f>
        <v>Erik Sink</v>
      </c>
      <c r="B216" t="str">
        <f>IF(Master!$N218&lt;&gt;"",Master!$F218 &amp; "","")</f>
        <v>3218 Sunny Crest Ln</v>
      </c>
      <c r="C216" t="str">
        <f>IF(Master!$N218&lt;&gt;"",Master!$J218 &amp; "","")</f>
        <v>Kettering, OH 45419</v>
      </c>
    </row>
    <row r="217" spans="1:3" x14ac:dyDescent="0.25">
      <c r="A217" t="str">
        <f>IF(Master!$N219&lt;&gt;"",Master!$E219 &amp; "","")</f>
        <v/>
      </c>
      <c r="B217" t="str">
        <f>IF(Master!$N219&lt;&gt;"",Master!$F219 &amp; "","")</f>
        <v/>
      </c>
      <c r="C217" t="str">
        <f>IF(Master!$N219&lt;&gt;"",Master!$J219 &amp; "","")</f>
        <v/>
      </c>
    </row>
    <row r="218" spans="1:3" x14ac:dyDescent="0.25">
      <c r="A218" t="str">
        <f>IF(Master!$N220&lt;&gt;"",Master!$E220 &amp; "","")</f>
        <v>Brianne Slusher</v>
      </c>
      <c r="B218" t="str">
        <f>IF(Master!$N220&lt;&gt;"",Master!$F220 &amp; "","")</f>
        <v/>
      </c>
      <c r="C218" t="str">
        <f>IF(Master!$N220&lt;&gt;"",Master!$J220 &amp; "","")</f>
        <v/>
      </c>
    </row>
    <row r="219" spans="1:3" x14ac:dyDescent="0.25">
      <c r="A219" t="str">
        <f>IF(Master!$N221&lt;&gt;"",Master!$E221 &amp; "","")</f>
        <v>Ava Smith</v>
      </c>
      <c r="B219" t="str">
        <f>IF(Master!$N221&lt;&gt;"",Master!$F221 &amp; "","")</f>
        <v>4404 Grayson Street</v>
      </c>
      <c r="C219" t="str">
        <f>IF(Master!$N221&lt;&gt;"",Master!$J221 &amp; "","")</f>
        <v>Dayton, OH 45429</v>
      </c>
    </row>
    <row r="220" spans="1:3" x14ac:dyDescent="0.25">
      <c r="A220" t="str">
        <f>IF(Master!$N222&lt;&gt;"",Master!$E222 &amp; "","")</f>
        <v/>
      </c>
      <c r="B220" t="str">
        <f>IF(Master!$N222&lt;&gt;"",Master!$F222 &amp; "","")</f>
        <v/>
      </c>
      <c r="C220" t="str">
        <f>IF(Master!$N222&lt;&gt;"",Master!$J222 &amp; "","")</f>
        <v/>
      </c>
    </row>
    <row r="221" spans="1:3" x14ac:dyDescent="0.25">
      <c r="A221" t="str">
        <f>IF(Master!$N223&lt;&gt;"",Master!$E223 &amp; "","")</f>
        <v>John Smith</v>
      </c>
      <c r="B221" t="str">
        <f>IF(Master!$N223&lt;&gt;"",Master!$F223 &amp; "","")</f>
        <v>10236 Washington Church Rd</v>
      </c>
      <c r="C221" t="str">
        <f>IF(Master!$N223&lt;&gt;"",Master!$J223 &amp; "","")</f>
        <v>Miamisburg, OH 45342</v>
      </c>
    </row>
    <row r="222" spans="1:3" x14ac:dyDescent="0.25">
      <c r="A222" t="str">
        <f>IF(Master!$N224&lt;&gt;"",Master!$E224 &amp; "","")</f>
        <v>Stormie Smith</v>
      </c>
      <c r="B222" t="str">
        <f>IF(Master!$N224&lt;&gt;"",Master!$F224 &amp; "","")</f>
        <v/>
      </c>
      <c r="C222" t="str">
        <f>IF(Master!$N224&lt;&gt;"",Master!$J224 &amp; "","")</f>
        <v/>
      </c>
    </row>
    <row r="223" spans="1:3" x14ac:dyDescent="0.25">
      <c r="A223" t="str">
        <f>IF(Master!$N225&lt;&gt;"",Master!$E225 &amp; "","")</f>
        <v>Zac Sparks</v>
      </c>
      <c r="B223" t="str">
        <f>IF(Master!$N225&lt;&gt;"",Master!$F225 &amp; "","")</f>
        <v>7625 Cloverbrook Park Dr</v>
      </c>
      <c r="C223" t="str">
        <f>IF(Master!$N225&lt;&gt;"",Master!$J225 &amp; "","")</f>
        <v>Centerville, OH 45459</v>
      </c>
    </row>
    <row r="224" spans="1:3" x14ac:dyDescent="0.25">
      <c r="A224" t="str">
        <f>IF(Master!$N226&lt;&gt;"",Master!$E226 &amp; "","")</f>
        <v>Leondo Stanziano</v>
      </c>
      <c r="B224" t="str">
        <f>IF(Master!$N226&lt;&gt;"",Master!$F226 &amp; "","")</f>
        <v>607 Uplands Camp Rd</v>
      </c>
      <c r="C224" t="str">
        <f>IF(Master!$N226&lt;&gt;"",Master!$J226 &amp; "","")</f>
        <v>Kettering, OH 45419</v>
      </c>
    </row>
    <row r="225" spans="1:3" x14ac:dyDescent="0.25">
      <c r="A225" t="str">
        <f>IF(Master!$N227&lt;&gt;"",Master!$E227 &amp; "","")</f>
        <v/>
      </c>
      <c r="B225" t="str">
        <f>IF(Master!$N227&lt;&gt;"",Master!$F227 &amp; "","")</f>
        <v/>
      </c>
      <c r="C225" t="str">
        <f>IF(Master!$N227&lt;&gt;"",Master!$J227 &amp; "","")</f>
        <v/>
      </c>
    </row>
    <row r="226" spans="1:3" x14ac:dyDescent="0.25">
      <c r="A226" t="str">
        <f>IF(Master!$N228&lt;&gt;"",Master!$E228 &amp; "","")</f>
        <v/>
      </c>
      <c r="B226" t="str">
        <f>IF(Master!$N228&lt;&gt;"",Master!$F228 &amp; "","")</f>
        <v/>
      </c>
      <c r="C226" t="str">
        <f>IF(Master!$N228&lt;&gt;"",Master!$J228 &amp; "","")</f>
        <v/>
      </c>
    </row>
    <row r="227" spans="1:3" x14ac:dyDescent="0.25">
      <c r="A227" t="str">
        <f>IF(Master!$N229&lt;&gt;"",Master!$E229 &amp; "","")</f>
        <v>Luke Stingley</v>
      </c>
      <c r="B227" t="str">
        <f>IF(Master!$N229&lt;&gt;"",Master!$F229 &amp; "","")</f>
        <v>3590 Haines Rd</v>
      </c>
      <c r="C227" t="str">
        <f>IF(Master!$N229&lt;&gt;"",Master!$J229 &amp; "","")</f>
        <v>Waynesville, OH 45068</v>
      </c>
    </row>
    <row r="228" spans="1:3" x14ac:dyDescent="0.25">
      <c r="A228" t="str">
        <f>IF(Master!$N230&lt;&gt;"",Master!$E230 &amp; "","")</f>
        <v>Luke Struble</v>
      </c>
      <c r="B228" t="str">
        <f>IF(Master!$N230&lt;&gt;"",Master!$F230 &amp; "","")</f>
        <v>1270 Patriot Way</v>
      </c>
      <c r="C228" t="str">
        <f>IF(Master!$N230&lt;&gt;"",Master!$J230 &amp; "","")</f>
        <v>Beavercreek, OH 45434</v>
      </c>
    </row>
    <row r="229" spans="1:3" x14ac:dyDescent="0.25">
      <c r="A229" t="str">
        <f>IF(Master!$N231&lt;&gt;"",Master!$E231 &amp; "","")</f>
        <v>Xavier Telemaque</v>
      </c>
      <c r="B229" t="str">
        <f>IF(Master!$N231&lt;&gt;"",Master!$F231 &amp; "","")</f>
        <v/>
      </c>
      <c r="C229" t="str">
        <f>IF(Master!$N231&lt;&gt;"",Master!$J231 &amp; "","")</f>
        <v/>
      </c>
    </row>
    <row r="230" spans="1:3" x14ac:dyDescent="0.25">
      <c r="A230" t="str">
        <f>IF(Master!$N232&lt;&gt;"",Master!$E232 &amp; "","")</f>
        <v>Payton Thomas</v>
      </c>
      <c r="B230" t="str">
        <f>IF(Master!$N232&lt;&gt;"",Master!$F232 &amp; "","")</f>
        <v>824 Santa Cruz Ave</v>
      </c>
      <c r="C230" t="str">
        <f>IF(Master!$N232&lt;&gt;"",Master!$J232 &amp; "","")</f>
        <v>Dayton, OH 45410</v>
      </c>
    </row>
    <row r="231" spans="1:3" x14ac:dyDescent="0.25">
      <c r="A231" t="str">
        <f>IF(Master!$N233&lt;&gt;"",Master!$E233 &amp; "","")</f>
        <v/>
      </c>
      <c r="B231" t="str">
        <f>IF(Master!$N233&lt;&gt;"",Master!$F233 &amp; "","")</f>
        <v/>
      </c>
      <c r="C231" t="str">
        <f>IF(Master!$N233&lt;&gt;"",Master!$J233 &amp; "","")</f>
        <v/>
      </c>
    </row>
    <row r="232" spans="1:3" x14ac:dyDescent="0.25">
      <c r="A232" t="str">
        <f>IF(Master!$N234&lt;&gt;"",Master!$E234 &amp; "","")</f>
        <v>Jack Tittle</v>
      </c>
      <c r="B232" t="str">
        <f>IF(Master!$N234&lt;&gt;"",Master!$F234 &amp; "","")</f>
        <v>1040 Berryhill Rd</v>
      </c>
      <c r="C232" t="str">
        <f>IF(Master!$N234&lt;&gt;"",Master!$J234 &amp; "","")</f>
        <v>Bellbrook, OH 45305</v>
      </c>
    </row>
    <row r="233" spans="1:3" x14ac:dyDescent="0.25">
      <c r="A233" t="str">
        <f>IF(Master!$N235&lt;&gt;"",Master!$E235 &amp; "","")</f>
        <v>Avery Tompkins</v>
      </c>
      <c r="B233" t="str">
        <f>IF(Master!$N235&lt;&gt;"",Master!$F235 &amp; "","")</f>
        <v/>
      </c>
      <c r="C233" t="str">
        <f>IF(Master!$N235&lt;&gt;"",Master!$J235 &amp; "","")</f>
        <v/>
      </c>
    </row>
    <row r="234" spans="1:3" x14ac:dyDescent="0.25">
      <c r="A234" t="str">
        <f>IF(Master!$N236&lt;&gt;"",Master!$E236 &amp; "","")</f>
        <v/>
      </c>
      <c r="B234" t="str">
        <f>IF(Master!$N236&lt;&gt;"",Master!$F236 &amp; "","")</f>
        <v/>
      </c>
      <c r="C234" t="str">
        <f>IF(Master!$N236&lt;&gt;"",Master!$J236 &amp; "","")</f>
        <v/>
      </c>
    </row>
    <row r="235" spans="1:3" x14ac:dyDescent="0.25">
      <c r="A235" t="str">
        <f>IF(Master!$N237&lt;&gt;"",Master!$E237 &amp; "","")</f>
        <v>Katie Turner</v>
      </c>
      <c r="B235" t="str">
        <f>IF(Master!$N237&lt;&gt;"",Master!$F237 &amp; "","")</f>
        <v>2312 Delvue Dr</v>
      </c>
      <c r="C235" t="str">
        <f>IF(Master!$N237&lt;&gt;"",Master!$J237 &amp; "","")</f>
        <v>Dayton, OH 45459</v>
      </c>
    </row>
    <row r="236" spans="1:3" x14ac:dyDescent="0.25">
      <c r="A236" t="str">
        <f>IF(Master!$N238&lt;&gt;"",Master!$E238 &amp; "","")</f>
        <v/>
      </c>
      <c r="B236" t="str">
        <f>IF(Master!$N238&lt;&gt;"",Master!$F238 &amp; "","")</f>
        <v/>
      </c>
      <c r="C236" t="str">
        <f>IF(Master!$N238&lt;&gt;"",Master!$J238 &amp; "","")</f>
        <v/>
      </c>
    </row>
    <row r="237" spans="1:3" x14ac:dyDescent="0.25">
      <c r="A237" t="str">
        <f>IF(Master!$N239&lt;&gt;"",Master!$E239 &amp; "","")</f>
        <v/>
      </c>
      <c r="B237" t="str">
        <f>IF(Master!$N239&lt;&gt;"",Master!$F239 &amp; "","")</f>
        <v/>
      </c>
      <c r="C237" t="str">
        <f>IF(Master!$N239&lt;&gt;"",Master!$J239 &amp; "","")</f>
        <v/>
      </c>
    </row>
    <row r="238" spans="1:3" x14ac:dyDescent="0.25">
      <c r="A238" t="str">
        <f>IF(Master!$N240&lt;&gt;"",Master!$E240 &amp; "","")</f>
        <v>Vincent Van Zant</v>
      </c>
      <c r="B238" t="str">
        <f>IF(Master!$N240&lt;&gt;"",Master!$F240 &amp; "","")</f>
        <v>1900 Courtland Ave</v>
      </c>
      <c r="C238" t="str">
        <f>IF(Master!$N240&lt;&gt;"",Master!$J240 &amp; "","")</f>
        <v>Kettering, OH 45420</v>
      </c>
    </row>
    <row r="239" spans="1:3" x14ac:dyDescent="0.25">
      <c r="A239" t="str">
        <f>IF(Master!$N241&lt;&gt;"",Master!$E241 &amp; "","")</f>
        <v/>
      </c>
      <c r="B239" t="str">
        <f>IF(Master!$N241&lt;&gt;"",Master!$F241 &amp; "","")</f>
        <v/>
      </c>
      <c r="C239" t="str">
        <f>IF(Master!$N241&lt;&gt;"",Master!$J241 &amp; "","")</f>
        <v/>
      </c>
    </row>
    <row r="240" spans="1:3" x14ac:dyDescent="0.25">
      <c r="A240" t="str">
        <f>IF(Master!$N242&lt;&gt;"",Master!$E242 &amp; "","")</f>
        <v>Lyra Vinande</v>
      </c>
      <c r="B240" t="str">
        <f>IF(Master!$N242&lt;&gt;"",Master!$F242 &amp; "","")</f>
        <v/>
      </c>
      <c r="C240" t="str">
        <f>IF(Master!$N242&lt;&gt;"",Master!$J242 &amp; "","")</f>
        <v/>
      </c>
    </row>
    <row r="241" spans="1:3" x14ac:dyDescent="0.25">
      <c r="A241" t="str">
        <f>IF(Master!$N243&lt;&gt;"",Master!$E243 &amp; "","")</f>
        <v>Dominic Vorrasi</v>
      </c>
      <c r="B241" t="str">
        <f>IF(Master!$N243&lt;&gt;"",Master!$F243 &amp; "","")</f>
        <v>266 Woodstream Dr</v>
      </c>
      <c r="C241" t="str">
        <f>IF(Master!$N243&lt;&gt;"",Master!$J243 &amp; "","")</f>
        <v>Springboro, OH 45066</v>
      </c>
    </row>
    <row r="242" spans="1:3" x14ac:dyDescent="0.25">
      <c r="A242" t="str">
        <f>IF(Master!$N244&lt;&gt;"",Master!$E244 &amp; "","")</f>
        <v/>
      </c>
      <c r="B242" t="str">
        <f>IF(Master!$N244&lt;&gt;"",Master!$F244 &amp; "","")</f>
        <v/>
      </c>
      <c r="C242" t="str">
        <f>IF(Master!$N244&lt;&gt;"",Master!$J244 &amp; "","")</f>
        <v/>
      </c>
    </row>
    <row r="243" spans="1:3" x14ac:dyDescent="0.25">
      <c r="A243" t="str">
        <f>IF(Master!$N245&lt;&gt;"",Master!$E245 &amp; "","")</f>
        <v>Jacob Wagenbach</v>
      </c>
      <c r="B243" t="str">
        <f>IF(Master!$N245&lt;&gt;"",Master!$F245 &amp; "","")</f>
        <v>2903 Chalmar Dr</v>
      </c>
      <c r="C243" t="str">
        <f>IF(Master!$N245&lt;&gt;"",Master!$J245 &amp; "","")</f>
        <v>Beavercreek, OH 45431</v>
      </c>
    </row>
    <row r="244" spans="1:3" x14ac:dyDescent="0.25">
      <c r="A244" t="str">
        <f>IF(Master!$N246&lt;&gt;"",Master!$E246 &amp; "","")</f>
        <v/>
      </c>
      <c r="B244" t="str">
        <f>IF(Master!$N246&lt;&gt;"",Master!$F246 &amp; "","")</f>
        <v/>
      </c>
      <c r="C244" t="str">
        <f>IF(Master!$N246&lt;&gt;"",Master!$J246 &amp; "","")</f>
        <v/>
      </c>
    </row>
    <row r="245" spans="1:3" x14ac:dyDescent="0.25">
      <c r="A245" t="str">
        <f>IF(Master!$N247&lt;&gt;"",Master!$E247 &amp; "","")</f>
        <v/>
      </c>
      <c r="B245" t="str">
        <f>IF(Master!$N247&lt;&gt;"",Master!$F247 &amp; "","")</f>
        <v/>
      </c>
      <c r="C245" t="str">
        <f>IF(Master!$N247&lt;&gt;"",Master!$J247 &amp; "","")</f>
        <v/>
      </c>
    </row>
    <row r="246" spans="1:3" x14ac:dyDescent="0.25">
      <c r="A246" t="str">
        <f>IF(Master!$N248&lt;&gt;"",Master!$E248 &amp; "","")</f>
        <v/>
      </c>
      <c r="B246" t="str">
        <f>IF(Master!$N248&lt;&gt;"",Master!$F248 &amp; "","")</f>
        <v/>
      </c>
      <c r="C246" t="str">
        <f>IF(Master!$N248&lt;&gt;"",Master!$J248 &amp; "","")</f>
        <v/>
      </c>
    </row>
    <row r="247" spans="1:3" x14ac:dyDescent="0.25">
      <c r="A247" t="str">
        <f>IF(Master!$N249&lt;&gt;"",Master!$E249 &amp; "","")</f>
        <v>Noah Webb</v>
      </c>
      <c r="B247" t="str">
        <f>IF(Master!$N249&lt;&gt;"",Master!$F249 &amp; "","")</f>
        <v/>
      </c>
      <c r="C247" t="str">
        <f>IF(Master!$N249&lt;&gt;"",Master!$J249 &amp; "","")</f>
        <v/>
      </c>
    </row>
    <row r="248" spans="1:3" x14ac:dyDescent="0.25">
      <c r="A248" t="str">
        <f>IF(Master!$N250&lt;&gt;"",Master!$E250 &amp; "","")</f>
        <v xml:space="preserve">Gigi West </v>
      </c>
      <c r="B248" t="str">
        <f>IF(Master!$N250&lt;&gt;"",Master!$F250 &amp; "","")</f>
        <v>284 West Schantz Ave</v>
      </c>
      <c r="C248" t="str">
        <f>IF(Master!$N250&lt;&gt;"",Master!$J250 &amp; "","")</f>
        <v>Dayton, OH 45409</v>
      </c>
    </row>
    <row r="249" spans="1:3" x14ac:dyDescent="0.25">
      <c r="A249" t="str">
        <f>IF(Master!$N251&lt;&gt;"",Master!$E251 &amp; "","")</f>
        <v>Anthony Whitaker</v>
      </c>
      <c r="B249" t="str">
        <f>IF(Master!$N251&lt;&gt;"",Master!$F251 &amp; "","")</f>
        <v>1510 Grange Hall Road</v>
      </c>
      <c r="C249" t="str">
        <f>IF(Master!$N251&lt;&gt;"",Master!$J251 &amp; "","")</f>
        <v>Beavercreek, OH 45432</v>
      </c>
    </row>
    <row r="250" spans="1:3" x14ac:dyDescent="0.25">
      <c r="A250" t="str">
        <f>IF(Master!$N252&lt;&gt;"",Master!$E252 &amp; "","")</f>
        <v/>
      </c>
      <c r="B250" t="str">
        <f>IF(Master!$N252&lt;&gt;"",Master!$F252 &amp; "","")</f>
        <v/>
      </c>
      <c r="C250" t="str">
        <f>IF(Master!$N252&lt;&gt;"",Master!$J252 &amp; "","")</f>
        <v/>
      </c>
    </row>
    <row r="251" spans="1:3" x14ac:dyDescent="0.25">
      <c r="A251" t="str">
        <f>IF(Master!$N253&lt;&gt;"",Master!$E253 &amp; "","")</f>
        <v/>
      </c>
      <c r="B251" t="str">
        <f>IF(Master!$N253&lt;&gt;"",Master!$F253 &amp; "","")</f>
        <v/>
      </c>
      <c r="C251" t="str">
        <f>IF(Master!$N253&lt;&gt;"",Master!$J253 &amp; "","")</f>
        <v/>
      </c>
    </row>
    <row r="252" spans="1:3" x14ac:dyDescent="0.25">
      <c r="A252" t="str">
        <f>IF(Master!$N254&lt;&gt;"",Master!$E254 &amp; "","")</f>
        <v/>
      </c>
      <c r="B252" t="str">
        <f>IF(Master!$N254&lt;&gt;"",Master!$F254 &amp; "","")</f>
        <v/>
      </c>
      <c r="C252" t="str">
        <f>IF(Master!$N254&lt;&gt;"",Master!$J254 &amp; "","")</f>
        <v/>
      </c>
    </row>
    <row r="253" spans="1:3" x14ac:dyDescent="0.25">
      <c r="A253" t="str">
        <f>IF(Master!$N255&lt;&gt;"",Master!$E255 &amp; "","")</f>
        <v>Charlie Wilson</v>
      </c>
      <c r="B253" t="str">
        <f>IF(Master!$N255&lt;&gt;"",Master!$F255 &amp; "","")</f>
        <v/>
      </c>
      <c r="C253" t="str">
        <f>IF(Master!$N255&lt;&gt;"",Master!$J255 &amp; "","")</f>
        <v/>
      </c>
    </row>
    <row r="254" spans="1:3" x14ac:dyDescent="0.25">
      <c r="A254" t="str">
        <f>IF(Master!$N256&lt;&gt;"",Master!$E256 &amp; "","")</f>
        <v>Tommy Winslow</v>
      </c>
      <c r="B254" t="str">
        <f>IF(Master!$N256&lt;&gt;"",Master!$F256 &amp; "","")</f>
        <v/>
      </c>
      <c r="C254" t="str">
        <f>IF(Master!$N256&lt;&gt;"",Master!$J256 &amp; "","")</f>
        <v/>
      </c>
    </row>
    <row r="255" spans="1:3" x14ac:dyDescent="0.25">
      <c r="A255" t="str">
        <f>IF(Master!$N257&lt;&gt;"",Master!$E257 &amp; "","")</f>
        <v>Paul Wittberg</v>
      </c>
      <c r="B255" t="str">
        <f>IF(Master!$N257&lt;&gt;"",Master!$F257 &amp; "","")</f>
        <v>813 Gainsborough Rd</v>
      </c>
      <c r="C255" t="str">
        <f>IF(Master!$N257&lt;&gt;"",Master!$J257 &amp; "","")</f>
        <v>Dayton, OH 45419</v>
      </c>
    </row>
    <row r="256" spans="1:3" x14ac:dyDescent="0.25">
      <c r="A256" t="str">
        <f>IF(Master!$N258&lt;&gt;"",Master!$E258 &amp; "","")</f>
        <v>Ian Witucky</v>
      </c>
      <c r="B256" t="str">
        <f>IF(Master!$N258&lt;&gt;"",Master!$F258 &amp; "","")</f>
        <v/>
      </c>
      <c r="C256" t="str">
        <f>IF(Master!$N258&lt;&gt;"",Master!$J258 &amp; "","")</f>
        <v/>
      </c>
    </row>
    <row r="257" spans="1:3" x14ac:dyDescent="0.25">
      <c r="A257" t="str">
        <f>IF(Master!$N259&lt;&gt;"",Master!$E259 &amp; "","")</f>
        <v>Nick Woeste</v>
      </c>
      <c r="B257" t="str">
        <f>IF(Master!$N259&lt;&gt;"",Master!$F259 &amp; "","")</f>
        <v>9047 S Normandy Ln</v>
      </c>
      <c r="C257" t="str">
        <f>IF(Master!$N259&lt;&gt;"",Master!$J259 &amp; "","")</f>
        <v>Centerville , OH 45458</v>
      </c>
    </row>
    <row r="258" spans="1:3" x14ac:dyDescent="0.25">
      <c r="A258" t="str">
        <f>IF(Master!$N260&lt;&gt;"",Master!$E260 &amp; "","")</f>
        <v/>
      </c>
      <c r="B258" t="str">
        <f>IF(Master!$N260&lt;&gt;"",Master!$F260 &amp; "","")</f>
        <v/>
      </c>
      <c r="C258" t="str">
        <f>IF(Master!$N260&lt;&gt;"",Master!$J260 &amp; "","")</f>
        <v/>
      </c>
    </row>
    <row r="259" spans="1:3" x14ac:dyDescent="0.25">
      <c r="A259" t="str">
        <f>IF(Master!$N261&lt;&gt;"",Master!$E261 &amp; "","")</f>
        <v/>
      </c>
      <c r="B259" t="str">
        <f>IF(Master!$N261&lt;&gt;"",Master!$F261 &amp; "","")</f>
        <v/>
      </c>
      <c r="C259" t="str">
        <f>IF(Master!$N261&lt;&gt;"",Master!$J261 &amp; "","")</f>
        <v/>
      </c>
    </row>
    <row r="260" spans="1:3" x14ac:dyDescent="0.25">
      <c r="A260" t="str">
        <f>IF(Master!$N262&lt;&gt;"",Master!$E262 &amp; "","")</f>
        <v>Jeremy Wysong</v>
      </c>
      <c r="B260" t="str">
        <f>IF(Master!$N262&lt;&gt;"",Master!$F262 &amp; "","")</f>
        <v>105 McVey Pl</v>
      </c>
      <c r="C260" t="str">
        <f>IF(Master!$N262&lt;&gt;"",Master!$J262 &amp; "","")</f>
        <v>Springboro, OH 45066</v>
      </c>
    </row>
    <row r="261" spans="1:3" x14ac:dyDescent="0.25">
      <c r="A261" t="str">
        <f>IF(Master!$N263&lt;&gt;"",Master!$E263 &amp; "","")</f>
        <v>Javon Yoakum</v>
      </c>
      <c r="B261" t="str">
        <f>IF(Master!$N263&lt;&gt;"",Master!$F263 &amp; "","")</f>
        <v>4347 Willow Run Dr</v>
      </c>
      <c r="C261" t="str">
        <f>IF(Master!$N263&lt;&gt;"",Master!$J263 &amp; "","")</f>
        <v>Beavercreek, OH 45430</v>
      </c>
    </row>
    <row r="262" spans="1:3" x14ac:dyDescent="0.25">
      <c r="A262" t="str">
        <f>IF(Master!$N264&lt;&gt;"",Master!$E264 &amp; "","")</f>
        <v>Karron Yoakum</v>
      </c>
      <c r="B262" t="str">
        <f>IF(Master!$N264&lt;&gt;"",Master!$F264 &amp; "","")</f>
        <v>4347 Willow Run Dr</v>
      </c>
      <c r="C262" t="str">
        <f>IF(Master!$N264&lt;&gt;"",Master!$J264 &amp; "","")</f>
        <v>Beavercreek, OH 45430</v>
      </c>
    </row>
    <row r="263" spans="1:3" x14ac:dyDescent="0.25">
      <c r="A263" t="str">
        <f>IF(Master!$N265&lt;&gt;"",Master!$E265 &amp; "","")</f>
        <v>Andrew Zecchini</v>
      </c>
      <c r="B263" t="str">
        <f>IF(Master!$N265&lt;&gt;"",Master!$F265 &amp; "","")</f>
        <v>9794 Scotchpine Dr</v>
      </c>
      <c r="C263" t="str">
        <f>IF(Master!$N265&lt;&gt;"",Master!$J265 &amp; "","")</f>
        <v>Springboro, OH 45066</v>
      </c>
    </row>
    <row r="264" spans="1:3" x14ac:dyDescent="0.25">
      <c r="A264" t="str">
        <f>IF(Master!$N266&lt;&gt;"",Master!$E266 &amp; "","")</f>
        <v>Jessica Zimmerman</v>
      </c>
      <c r="B264" t="str">
        <f>IF(Master!$N266&lt;&gt;"",Master!$F266 &amp; "","")</f>
        <v>3204 Sudbury Dr</v>
      </c>
      <c r="C264" t="str">
        <f>IF(Master!$N266&lt;&gt;"",Master!$J266 &amp; "","")</f>
        <v>Kettering, OH 45420</v>
      </c>
    </row>
    <row r="265" spans="1:3" x14ac:dyDescent="0.25">
      <c r="A265" t="str">
        <f>IF(Master!$N267&lt;&gt;"",Master!$E267 &amp; "","")</f>
        <v/>
      </c>
      <c r="B265" t="str">
        <f>IF(Master!$N267&lt;&gt;"",Master!$F267 &amp; "","")</f>
        <v/>
      </c>
      <c r="C265" t="str">
        <f>IF(Master!$N267&lt;&gt;"",Master!$J267 &amp; "","")</f>
        <v/>
      </c>
    </row>
    <row r="266" spans="1:3" x14ac:dyDescent="0.25">
      <c r="A266" t="str">
        <f>IF(Master!$N268&lt;&gt;"",Master!$E268 &amp; "","")</f>
        <v/>
      </c>
      <c r="B266" t="str">
        <f>IF(Master!$N268&lt;&gt;"",Master!$F268 &amp; "","")</f>
        <v/>
      </c>
      <c r="C266" t="str">
        <f>IF(Master!$N268&lt;&gt;"",Master!$J268 &amp; "","")</f>
        <v/>
      </c>
    </row>
    <row r="267" spans="1:3" x14ac:dyDescent="0.25">
      <c r="A267" t="str">
        <f>IF(Master!$N269&lt;&gt;"",Master!$E269 &amp; "","")</f>
        <v/>
      </c>
      <c r="B267" t="str">
        <f>IF(Master!$N269&lt;&gt;"",Master!$F269 &amp; "","")</f>
        <v/>
      </c>
      <c r="C267" t="str">
        <f>IF(Master!$N269&lt;&gt;"",Master!$J269 &amp; "","")</f>
        <v/>
      </c>
    </row>
    <row r="268" spans="1:3" x14ac:dyDescent="0.25">
      <c r="A268" t="str">
        <f>IF(Master!$N270&lt;&gt;"",Master!$E270 &amp; "","")</f>
        <v/>
      </c>
      <c r="B268" t="str">
        <f>IF(Master!$N270&lt;&gt;"",Master!$F270 &amp; "","")</f>
        <v/>
      </c>
      <c r="C268" t="str">
        <f>IF(Master!$N270&lt;&gt;"",Master!$J270 &amp; "","")</f>
        <v/>
      </c>
    </row>
    <row r="269" spans="1:3" x14ac:dyDescent="0.25">
      <c r="A269" t="str">
        <f>IF(Master!$N271&lt;&gt;"",Master!$E271 &amp; "","")</f>
        <v/>
      </c>
      <c r="B269" t="str">
        <f>IF(Master!$N271&lt;&gt;"",Master!$F271 &amp; "","")</f>
        <v/>
      </c>
      <c r="C269" t="str">
        <f>IF(Master!$N271&lt;&gt;"",Master!$J271 &amp; "","")</f>
        <v/>
      </c>
    </row>
    <row r="270" spans="1:3" x14ac:dyDescent="0.25">
      <c r="A270" t="str">
        <f>IF(Master!$N272&lt;&gt;"",Master!$E272 &amp; "","")</f>
        <v/>
      </c>
      <c r="B270" t="str">
        <f>IF(Master!$N272&lt;&gt;"",Master!$F272 &amp; "","")</f>
        <v/>
      </c>
      <c r="C270" t="str">
        <f>IF(Master!$N272&lt;&gt;"",Master!$J272 &amp; "","")</f>
        <v/>
      </c>
    </row>
  </sheetData>
  <sheetProtection algorithmName="SHA-512" hashValue="wvOSsNJeQraZIM5jOR9PIrLpPyhwRBFBjcA1kNmnItOvv94dIPVPJ1rU6vpyKtmpS2rM9NRGhM8mKIXbm7id/A==" saltValue="KgNT9XOCDFFNAZjt0XaI2Q==" spinCount="100000" sheet="1" objects="1" scenarios="1"/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F270"/>
  <sheetViews>
    <sheetView workbookViewId="0"/>
  </sheetViews>
  <sheetFormatPr defaultRowHeight="15" x14ac:dyDescent="0.25"/>
  <cols>
    <col min="1" max="1" width="14.5703125" customWidth="1"/>
    <col min="2" max="2" width="16.5703125" customWidth="1"/>
    <col min="3" max="3" width="11.42578125" customWidth="1"/>
    <col min="4" max="4" width="8.5703125" customWidth="1"/>
    <col min="5" max="6" width="8.5703125" hidden="1" customWidth="1"/>
    <col min="7" max="7" width="2.5703125" customWidth="1"/>
    <col min="8" max="8" width="18.140625" customWidth="1"/>
  </cols>
  <sheetData>
    <row r="1" spans="1:6" ht="15.75" x14ac:dyDescent="0.25">
      <c r="A1" s="44" t="s">
        <v>103</v>
      </c>
      <c r="B1" s="44" t="s">
        <v>104</v>
      </c>
      <c r="C1" s="44" t="s">
        <v>485</v>
      </c>
      <c r="D1" s="45" t="s">
        <v>494</v>
      </c>
      <c r="E1" s="45" t="s">
        <v>87</v>
      </c>
      <c r="F1" s="45" t="s">
        <v>495</v>
      </c>
    </row>
    <row r="2" spans="1:6" x14ac:dyDescent="0.25">
      <c r="A2" s="8" t="str">
        <f>IF(Master!$M12&lt;&gt;"",Master!$C12,"")</f>
        <v>Leila</v>
      </c>
      <c r="B2" s="8" t="str">
        <f>IF(Master!$M12&lt;&gt;"",Master!$D12,"")</f>
        <v>Binkley</v>
      </c>
      <c r="C2" s="8" t="str">
        <f>IF(Master!$M12&lt;&gt;"",Master!$M12,"")</f>
        <v>Hotwheels</v>
      </c>
      <c r="D2" s="7" t="str">
        <f>IF(Master!$M12&lt;&gt;"",Master!$S12 &amp; "", "")</f>
        <v>AS</v>
      </c>
      <c r="E2" s="7" t="str">
        <f>IF(Master!$M12&lt;&gt;"",Master!$T12 &amp; "", "")</f>
        <v>YS</v>
      </c>
      <c r="F2" s="7" t="str">
        <f>IF(Master!$M12&lt;&gt;"",Master!$U12 &amp; "", "")</f>
        <v>M</v>
      </c>
    </row>
    <row r="3" spans="1:6" x14ac:dyDescent="0.25">
      <c r="A3" s="8" t="str">
        <f>IF(Master!$M13&lt;&gt;"",Master!$C13,"")</f>
        <v>Naomi</v>
      </c>
      <c r="B3" s="8" t="str">
        <f>IF(Master!$M13&lt;&gt;"",Master!$D13,"")</f>
        <v>Black</v>
      </c>
      <c r="C3" s="8" t="str">
        <f>IF(Master!$M13&lt;&gt;"",Master!$M13,"")</f>
        <v>Hotwheels</v>
      </c>
      <c r="D3" s="7" t="str">
        <f>IF(Master!$M13&lt;&gt;"",Master!$S13 &amp; "", "")</f>
        <v>YL</v>
      </c>
      <c r="E3" s="7" t="str">
        <f>IF(Master!$M13&lt;&gt;"",Master!$T13 &amp; "", "")</f>
        <v>YL</v>
      </c>
      <c r="F3" s="7" t="str">
        <f>IF(Master!$M13&lt;&gt;"",Master!$U13 &amp; "", "")</f>
        <v/>
      </c>
    </row>
    <row r="4" spans="1:6" x14ac:dyDescent="0.25">
      <c r="A4" s="8" t="str">
        <f>IF(Master!$M18&lt;&gt;"",Master!$C18,"")</f>
        <v>Hannah</v>
      </c>
      <c r="B4" s="8" t="str">
        <f>IF(Master!$M18&lt;&gt;"",Master!$D18,"")</f>
        <v>Borton</v>
      </c>
      <c r="C4" s="8" t="str">
        <f>IF(Master!$M18&lt;&gt;"",Master!$M18,"")</f>
        <v>Hotwheels</v>
      </c>
      <c r="D4" s="7" t="str">
        <f>IF(Master!$M18&lt;&gt;"",Master!$S18 &amp; "", "")</f>
        <v>AM</v>
      </c>
      <c r="E4" s="7" t="str">
        <f>IF(Master!$M18&lt;&gt;"",Master!$T18 &amp; "", "")</f>
        <v/>
      </c>
      <c r="F4" s="7" t="str">
        <f>IF(Master!$M18&lt;&gt;"",Master!$U18 &amp; "", "")</f>
        <v/>
      </c>
    </row>
    <row r="5" spans="1:6" x14ac:dyDescent="0.25">
      <c r="A5" s="8" t="str">
        <f>IF(Master!$M24&lt;&gt;"",Master!$C24,"")</f>
        <v>Gretchen</v>
      </c>
      <c r="B5" s="8" t="str">
        <f>IF(Master!$M24&lt;&gt;"",Master!$D24,"")</f>
        <v>Braun</v>
      </c>
      <c r="C5" s="8" t="str">
        <f>IF(Master!$M24&lt;&gt;"",Master!$M24,"")</f>
        <v>Hotwheels</v>
      </c>
      <c r="D5" s="7" t="str">
        <f>IF(Master!$M24&lt;&gt;"",Master!$S24 &amp; "", "")</f>
        <v>YL</v>
      </c>
      <c r="E5" s="7" t="str">
        <f>IF(Master!$M24&lt;&gt;"",Master!$T24 &amp; "", "")</f>
        <v>YM</v>
      </c>
      <c r="F5" s="7" t="str">
        <f>IF(Master!$M24&lt;&gt;"",Master!$U24 &amp; "", "")</f>
        <v>L</v>
      </c>
    </row>
    <row r="6" spans="1:6" x14ac:dyDescent="0.25">
      <c r="A6" s="8" t="str">
        <f>IF(Master!$M27&lt;&gt;"",Master!$C27,"")</f>
        <v>Janice</v>
      </c>
      <c r="B6" s="8" t="str">
        <f>IF(Master!$M27&lt;&gt;"",Master!$D27,"")</f>
        <v>Brun</v>
      </c>
      <c r="C6" s="8" t="str">
        <f>IF(Master!$M27&lt;&gt;"",Master!$M27,"")</f>
        <v>Hotwheels</v>
      </c>
      <c r="D6" s="7" t="str">
        <f>IF(Master!$M27&lt;&gt;"",Master!$S27 &amp; "", "")</f>
        <v>AM</v>
      </c>
      <c r="E6" s="7" t="str">
        <f>IF(Master!$M27&lt;&gt;"",Master!$T27 &amp; "", "")</f>
        <v>AM</v>
      </c>
      <c r="F6" s="7" t="str">
        <f>IF(Master!$M27&lt;&gt;"",Master!$U27 &amp; "", "")</f>
        <v/>
      </c>
    </row>
    <row r="7" spans="1:6" x14ac:dyDescent="0.25">
      <c r="A7" s="8" t="str">
        <f>IF(Master!$M28&lt;&gt;"",Master!$C28,"")</f>
        <v>Niklaus</v>
      </c>
      <c r="B7" s="8" t="str">
        <f>IF(Master!$M28&lt;&gt;"",Master!$D28,"")</f>
        <v>Burtnett</v>
      </c>
      <c r="C7" s="8" t="str">
        <f>IF(Master!$M28&lt;&gt;"",Master!$M28,"")</f>
        <v>Hotwheels</v>
      </c>
      <c r="D7" s="7" t="str">
        <f>IF(Master!$M28&lt;&gt;"",Master!$S28 &amp; "", "")</f>
        <v>YM</v>
      </c>
      <c r="E7" s="7" t="str">
        <f>IF(Master!$M28&lt;&gt;"",Master!$T28 &amp; "", "")</f>
        <v>YS</v>
      </c>
      <c r="F7" s="7" t="str">
        <f>IF(Master!$M28&lt;&gt;"",Master!$U28 &amp; "", "")</f>
        <v>S</v>
      </c>
    </row>
    <row r="8" spans="1:6" x14ac:dyDescent="0.25">
      <c r="A8" s="8" t="str">
        <f>IF(Master!$M43&lt;&gt;"",Master!$C43,"")</f>
        <v>Carter</v>
      </c>
      <c r="B8" s="8" t="str">
        <f>IF(Master!$M43&lt;&gt;"",Master!$D43,"")</f>
        <v>Cornell</v>
      </c>
      <c r="C8" s="8" t="str">
        <f>IF(Master!$M43&lt;&gt;"",Master!$M43,"")</f>
        <v>Hotwheels</v>
      </c>
      <c r="D8" s="7" t="str">
        <f>IF(Master!$M43&lt;&gt;"",Master!$S43 &amp; "", "")</f>
        <v>YXL</v>
      </c>
      <c r="E8" s="7" t="str">
        <f>IF(Master!$M43&lt;&gt;"",Master!$T43 &amp; "", "")</f>
        <v>YM</v>
      </c>
      <c r="F8" s="7" t="str">
        <f>IF(Master!$M43&lt;&gt;"",Master!$U43 &amp; "", "")</f>
        <v>S</v>
      </c>
    </row>
    <row r="9" spans="1:6" x14ac:dyDescent="0.25">
      <c r="A9" s="8" t="str">
        <f>IF(Master!$M45&lt;&gt;"",Master!$C45,"")</f>
        <v>Noah</v>
      </c>
      <c r="B9" s="8" t="str">
        <f>IF(Master!$M45&lt;&gt;"",Master!$D45,"")</f>
        <v>Curtis</v>
      </c>
      <c r="C9" s="8" t="str">
        <f>IF(Master!$M45&lt;&gt;"",Master!$M45,"")</f>
        <v>Hotwheels</v>
      </c>
      <c r="D9" s="7" t="str">
        <f>IF(Master!$M45&lt;&gt;"",Master!$S45 &amp; "", "")</f>
        <v>YM</v>
      </c>
      <c r="E9" s="7" t="str">
        <f>IF(Master!$M45&lt;&gt;"",Master!$T45 &amp; "", "")</f>
        <v>YS</v>
      </c>
      <c r="F9" s="7" t="str">
        <f>IF(Master!$M45&lt;&gt;"",Master!$U45 &amp; "", "")</f>
        <v>S</v>
      </c>
    </row>
    <row r="10" spans="1:6" x14ac:dyDescent="0.25">
      <c r="A10" s="8" t="str">
        <f>IF(Master!$M53&lt;&gt;"",Master!$C53,"")</f>
        <v>Brandon</v>
      </c>
      <c r="B10" s="8" t="str">
        <f>IF(Master!$M53&lt;&gt;"",Master!$D53,"")</f>
        <v>Dietsch</v>
      </c>
      <c r="C10" s="8" t="str">
        <f>IF(Master!$M53&lt;&gt;"",Master!$M53,"")</f>
        <v>Hotwheels</v>
      </c>
      <c r="D10" s="7" t="str">
        <f>IF(Master!$M53&lt;&gt;"",Master!$S53 &amp; "", "")</f>
        <v>YM</v>
      </c>
      <c r="E10" s="7" t="str">
        <f>IF(Master!$M53&lt;&gt;"",Master!$T53 &amp; "", "")</f>
        <v xml:space="preserve"> </v>
      </c>
      <c r="F10" s="7" t="str">
        <f>IF(Master!$M53&lt;&gt;"",Master!$U53 &amp; "", "")</f>
        <v xml:space="preserve"> </v>
      </c>
    </row>
    <row r="11" spans="1:6" x14ac:dyDescent="0.25">
      <c r="A11" s="8" t="str">
        <f>IF(Master!$M75&lt;&gt;"",Master!$C75,"")</f>
        <v>Julianne</v>
      </c>
      <c r="B11" s="8" t="str">
        <f>IF(Master!$M75&lt;&gt;"",Master!$D75,"")</f>
        <v>Gillespie</v>
      </c>
      <c r="C11" s="8" t="str">
        <f>IF(Master!$M75&lt;&gt;"",Master!$M75,"")</f>
        <v>Hotwheels</v>
      </c>
      <c r="D11" s="7" t="str">
        <f>IF(Master!$M75&lt;&gt;"",Master!$S75 &amp; "", "")</f>
        <v>AM</v>
      </c>
      <c r="E11" s="7" t="str">
        <f>IF(Master!$M75&lt;&gt;"",Master!$T75 &amp; "", "")</f>
        <v/>
      </c>
      <c r="F11" s="7" t="str">
        <f>IF(Master!$M75&lt;&gt;"",Master!$U75 &amp; "", "")</f>
        <v/>
      </c>
    </row>
    <row r="12" spans="1:6" x14ac:dyDescent="0.25">
      <c r="A12" s="8" t="str">
        <f>IF(Master!$M90&lt;&gt;"",Master!$C90,"")</f>
        <v>Neil</v>
      </c>
      <c r="B12" s="8" t="str">
        <f>IF(Master!$M90&lt;&gt;"",Master!$D90,"")</f>
        <v>Heller</v>
      </c>
      <c r="C12" s="8" t="str">
        <f>IF(Master!$M90&lt;&gt;"",Master!$M90,"")</f>
        <v>Hotwheels</v>
      </c>
      <c r="D12" s="7" t="str">
        <f>IF(Master!$M90&lt;&gt;"",Master!$S90 &amp; "", "")</f>
        <v>AS</v>
      </c>
      <c r="E12" s="7" t="str">
        <f>IF(Master!$M90&lt;&gt;"",Master!$T90 &amp; "", "")</f>
        <v>YM</v>
      </c>
      <c r="F12" s="7" t="str">
        <f>IF(Master!$M90&lt;&gt;"",Master!$U90 &amp; "", "")</f>
        <v>S</v>
      </c>
    </row>
    <row r="13" spans="1:6" x14ac:dyDescent="0.25">
      <c r="A13" s="8" t="str">
        <f>IF(Master!$M102&lt;&gt;"",Master!$C102,"")</f>
        <v>Corey</v>
      </c>
      <c r="B13" s="8" t="str">
        <f>IF(Master!$M102&lt;&gt;"",Master!$D102,"")</f>
        <v>Hume</v>
      </c>
      <c r="C13" s="8" t="str">
        <f>IF(Master!$M102&lt;&gt;"",Master!$M102,"")</f>
        <v>Hotwheels</v>
      </c>
      <c r="D13" s="7" t="str">
        <f>IF(Master!$M102&lt;&gt;"",Master!$S102 &amp; "", "")</f>
        <v>AS</v>
      </c>
      <c r="E13" s="7" t="str">
        <f>IF(Master!$M102&lt;&gt;"",Master!$T102 &amp; "", "")</f>
        <v/>
      </c>
      <c r="F13" s="7" t="str">
        <f>IF(Master!$M102&lt;&gt;"",Master!$U102 &amp; "", "")</f>
        <v/>
      </c>
    </row>
    <row r="14" spans="1:6" x14ac:dyDescent="0.25">
      <c r="A14" s="8" t="str">
        <f>IF(Master!$M103&lt;&gt;"",Master!$C103,"")</f>
        <v>Skylar</v>
      </c>
      <c r="B14" s="8" t="str">
        <f>IF(Master!$M103&lt;&gt;"",Master!$D103,"")</f>
        <v>Hurley</v>
      </c>
      <c r="C14" s="8" t="str">
        <f>IF(Master!$M103&lt;&gt;"",Master!$M103,"")</f>
        <v>Hotwheels</v>
      </c>
      <c r="D14" s="7" t="str">
        <f>IF(Master!$M103&lt;&gt;"",Master!$S103 &amp; "", "")</f>
        <v>YM</v>
      </c>
      <c r="E14" s="7" t="str">
        <f>IF(Master!$M103&lt;&gt;"",Master!$T103 &amp; "", "")</f>
        <v>YS</v>
      </c>
      <c r="F14" s="7" t="str">
        <f>IF(Master!$M103&lt;&gt;"",Master!$U103 &amp; "", "")</f>
        <v>S</v>
      </c>
    </row>
    <row r="15" spans="1:6" x14ac:dyDescent="0.25">
      <c r="A15" s="8" t="str">
        <f>IF(Master!$M112&lt;&gt;"",Master!$C112,"")</f>
        <v>Korey</v>
      </c>
      <c r="B15" s="8" t="str">
        <f>IF(Master!$M112&lt;&gt;"",Master!$D112,"")</f>
        <v xml:space="preserve">Joseph </v>
      </c>
      <c r="C15" s="8" t="str">
        <f>IF(Master!$M112&lt;&gt;"",Master!$M112,"")</f>
        <v>Hotwheels</v>
      </c>
      <c r="D15" s="7" t="str">
        <f>IF(Master!$M112&lt;&gt;"",Master!$S112 &amp; "", "")</f>
        <v>AXL</v>
      </c>
      <c r="E15" s="7" t="str">
        <f>IF(Master!$M112&lt;&gt;"",Master!$T112 &amp; "", "")</f>
        <v>AM</v>
      </c>
      <c r="F15" s="7" t="str">
        <f>IF(Master!$M112&lt;&gt;"",Master!$U112 &amp; "", "")</f>
        <v>M</v>
      </c>
    </row>
    <row r="16" spans="1:6" x14ac:dyDescent="0.25">
      <c r="A16" s="8" t="str">
        <f>IF(Master!$M114&lt;&gt;"",Master!$C114,"")</f>
        <v>Trent</v>
      </c>
      <c r="B16" s="8" t="str">
        <f>IF(Master!$M114&lt;&gt;"",Master!$D114,"")</f>
        <v>Kapfhammer</v>
      </c>
      <c r="C16" s="8" t="str">
        <f>IF(Master!$M114&lt;&gt;"",Master!$M114,"")</f>
        <v>Hotwheels</v>
      </c>
      <c r="D16" s="7" t="str">
        <f>IF(Master!$M114&lt;&gt;"",Master!$S114 &amp; "", "")</f>
        <v>YM</v>
      </c>
      <c r="E16" s="7" t="str">
        <f>IF(Master!$M114&lt;&gt;"",Master!$T114 &amp; "", "")</f>
        <v/>
      </c>
      <c r="F16" s="7" t="str">
        <f>IF(Master!$M114&lt;&gt;"",Master!$U114 &amp; "", "")</f>
        <v/>
      </c>
    </row>
    <row r="17" spans="1:6" x14ac:dyDescent="0.25">
      <c r="A17" s="8" t="str">
        <f>IF(Master!$M152&lt;&gt;"",Master!$C152,"")</f>
        <v>Jayla</v>
      </c>
      <c r="B17" s="8" t="str">
        <f>IF(Master!$M152&lt;&gt;"",Master!$D152,"")</f>
        <v>Miller</v>
      </c>
      <c r="C17" s="8" t="str">
        <f>IF(Master!$M152&lt;&gt;"",Master!$M152,"")</f>
        <v>Hotwheels</v>
      </c>
      <c r="D17" s="7" t="str">
        <f>IF(Master!$M152&lt;&gt;"",Master!$S152 &amp; "", "")</f>
        <v>AXL</v>
      </c>
      <c r="E17" s="7" t="str">
        <f>IF(Master!$M152&lt;&gt;"",Master!$T152 &amp; "", "")</f>
        <v>AM</v>
      </c>
      <c r="F17" s="7" t="str">
        <f>IF(Master!$M152&lt;&gt;"",Master!$U152 &amp; "", "")</f>
        <v>S</v>
      </c>
    </row>
    <row r="18" spans="1:6" x14ac:dyDescent="0.25">
      <c r="A18" s="8" t="str">
        <f>IF(Master!$M158&lt;&gt;"",Master!$C158,"")</f>
        <v>Owen</v>
      </c>
      <c r="B18" s="8" t="str">
        <f>IF(Master!$M158&lt;&gt;"",Master!$D158,"")</f>
        <v>Moore</v>
      </c>
      <c r="C18" s="8" t="str">
        <f>IF(Master!$M158&lt;&gt;"",Master!$M158,"")</f>
        <v>Hotwheels</v>
      </c>
      <c r="D18" s="7" t="str">
        <f>IF(Master!$M158&lt;&gt;"",Master!$S158 &amp; "", "")</f>
        <v>YM</v>
      </c>
      <c r="E18" s="7" t="str">
        <f>IF(Master!$M158&lt;&gt;"",Master!$T158 &amp; "", "")</f>
        <v xml:space="preserve"> </v>
      </c>
      <c r="F18" s="7" t="str">
        <f>IF(Master!$M158&lt;&gt;"",Master!$U158 &amp; "", "")</f>
        <v>S</v>
      </c>
    </row>
    <row r="19" spans="1:6" x14ac:dyDescent="0.25">
      <c r="A19" s="8" t="str">
        <f>IF(Master!$M174&lt;&gt;"",Master!$C174,"")</f>
        <v>Jaiven</v>
      </c>
      <c r="B19" s="8" t="str">
        <f>IF(Master!$M174&lt;&gt;"",Master!$D174,"")</f>
        <v>Pattson</v>
      </c>
      <c r="C19" s="8" t="str">
        <f>IF(Master!$M174&lt;&gt;"",Master!$M174,"")</f>
        <v>Hotwheels</v>
      </c>
      <c r="D19" s="7" t="str">
        <f>IF(Master!$M174&lt;&gt;"",Master!$S174 &amp; "", "")</f>
        <v>YL</v>
      </c>
      <c r="E19" s="7" t="str">
        <f>IF(Master!$M174&lt;&gt;"",Master!$T174 &amp; "", "")</f>
        <v/>
      </c>
      <c r="F19" s="7" t="str">
        <f>IF(Master!$M174&lt;&gt;"",Master!$U174 &amp; "", "")</f>
        <v/>
      </c>
    </row>
    <row r="20" spans="1:6" x14ac:dyDescent="0.25">
      <c r="A20" s="8" t="str">
        <f>IF(Master!$M205&lt;&gt;"",Master!$C205,"")</f>
        <v>David</v>
      </c>
      <c r="B20" s="8" t="str">
        <f>IF(Master!$M205&lt;&gt;"",Master!$D205,"")</f>
        <v>Sauer</v>
      </c>
      <c r="C20" s="8" t="str">
        <f>IF(Master!$M205&lt;&gt;"",Master!$M205,"")</f>
        <v>Hotwheels</v>
      </c>
      <c r="D20" s="7" t="str">
        <f>IF(Master!$M205&lt;&gt;"",Master!$S205 &amp; "", "")</f>
        <v>AS</v>
      </c>
      <c r="E20" s="7" t="str">
        <f>IF(Master!$M205&lt;&gt;"",Master!$T205 &amp; "", "")</f>
        <v/>
      </c>
      <c r="F20" s="7" t="str">
        <f>IF(Master!$M205&lt;&gt;"",Master!$U205 &amp; "", "")</f>
        <v/>
      </c>
    </row>
    <row r="21" spans="1:6" x14ac:dyDescent="0.25">
      <c r="A21" s="8" t="str">
        <f>IF(Master!$M206&lt;&gt;"",Master!$C206,"")</f>
        <v>Jessica</v>
      </c>
      <c r="B21" s="8" t="str">
        <f>IF(Master!$M206&lt;&gt;"",Master!$D206,"")</f>
        <v>Savage</v>
      </c>
      <c r="C21" s="8" t="str">
        <f>IF(Master!$M206&lt;&gt;"",Master!$M206,"")</f>
        <v>Hotwheels</v>
      </c>
      <c r="D21" s="7" t="str">
        <f>IF(Master!$M206&lt;&gt;"",Master!$S206 &amp; "", "")</f>
        <v>YXL</v>
      </c>
      <c r="E21" s="7" t="str">
        <f>IF(Master!$M206&lt;&gt;"",Master!$T206 &amp; "", "")</f>
        <v>YL</v>
      </c>
      <c r="F21" s="7" t="str">
        <f>IF(Master!$M206&lt;&gt;"",Master!$U206 &amp; "", "")</f>
        <v>S</v>
      </c>
    </row>
    <row r="22" spans="1:6" x14ac:dyDescent="0.25">
      <c r="A22" s="8" t="str">
        <f>IF(Master!$M215&lt;&gt;"",Master!$C215,"")</f>
        <v xml:space="preserve">Ryan </v>
      </c>
      <c r="B22" s="8" t="str">
        <f>IF(Master!$M215&lt;&gt;"",Master!$D215,"")</f>
        <v>Shockley</v>
      </c>
      <c r="C22" s="8" t="str">
        <f>IF(Master!$M215&lt;&gt;"",Master!$M215,"")</f>
        <v>Hotwheels</v>
      </c>
      <c r="D22" s="7" t="str">
        <f>IF(Master!$M215&lt;&gt;"",Master!$S215 &amp; "", "")</f>
        <v>AL</v>
      </c>
      <c r="E22" s="7" t="str">
        <f>IF(Master!$M215&lt;&gt;"",Master!$T215 &amp; "", "")</f>
        <v/>
      </c>
      <c r="F22" s="7" t="str">
        <f>IF(Master!$M215&lt;&gt;"",Master!$U215 &amp; "", "")</f>
        <v/>
      </c>
    </row>
    <row r="23" spans="1:6" x14ac:dyDescent="0.25">
      <c r="A23" s="8" t="str">
        <f>IF(Master!$M224&lt;&gt;"",Master!$C224,"")</f>
        <v>Stormie</v>
      </c>
      <c r="B23" s="8" t="str">
        <f>IF(Master!$M224&lt;&gt;"",Master!$D224,"")</f>
        <v>Smith</v>
      </c>
      <c r="C23" s="8" t="str">
        <f>IF(Master!$M224&lt;&gt;"",Master!$M224,"")</f>
        <v>Hotwheels</v>
      </c>
      <c r="D23" s="7" t="str">
        <f>IF(Master!$M224&lt;&gt;"",Master!$S224 &amp; "", "")</f>
        <v>AL</v>
      </c>
      <c r="E23" s="7" t="str">
        <f>IF(Master!$M224&lt;&gt;"",Master!$T224 &amp; "", "")</f>
        <v/>
      </c>
      <c r="F23" s="7" t="str">
        <f>IF(Master!$M224&lt;&gt;"",Master!$U224 &amp; "", "")</f>
        <v/>
      </c>
    </row>
    <row r="24" spans="1:6" x14ac:dyDescent="0.25">
      <c r="A24" s="8" t="str">
        <f>IF(Master!$M226&lt;&gt;"",Master!$C226,"")</f>
        <v>Leondo</v>
      </c>
      <c r="B24" s="8" t="str">
        <f>IF(Master!$M226&lt;&gt;"",Master!$D226,"")</f>
        <v>Stanziano</v>
      </c>
      <c r="C24" s="8" t="str">
        <f>IF(Master!$M226&lt;&gt;"",Master!$M226,"")</f>
        <v>Hotwheels</v>
      </c>
      <c r="D24" s="7" t="str">
        <f>IF(Master!$M226&lt;&gt;"",Master!$S226 &amp; "", "")</f>
        <v>AM</v>
      </c>
      <c r="E24" s="7" t="str">
        <f>IF(Master!$M226&lt;&gt;"",Master!$T226 &amp; "", "")</f>
        <v>AM</v>
      </c>
      <c r="F24" s="7" t="str">
        <f>IF(Master!$M226&lt;&gt;"",Master!$U226 &amp; "", "")</f>
        <v>S</v>
      </c>
    </row>
    <row r="25" spans="1:6" x14ac:dyDescent="0.25">
      <c r="A25" s="8" t="str">
        <f>IF(Master!$M232&lt;&gt;"",Master!$C232,"")</f>
        <v>Payton</v>
      </c>
      <c r="B25" s="8" t="str">
        <f>IF(Master!$M232&lt;&gt;"",Master!$D232,"")</f>
        <v>Thomas</v>
      </c>
      <c r="C25" s="8" t="str">
        <f>IF(Master!$M232&lt;&gt;"",Master!$M232,"")</f>
        <v>Hotwheels</v>
      </c>
      <c r="D25" s="7" t="str">
        <f>IF(Master!$M232&lt;&gt;"",Master!$S232 &amp; "", "")</f>
        <v>YL</v>
      </c>
      <c r="E25" s="7" t="str">
        <f>IF(Master!$M232&lt;&gt;"",Master!$T232 &amp; "", "")</f>
        <v>YL</v>
      </c>
      <c r="F25" s="7" t="str">
        <f>IF(Master!$M232&lt;&gt;"",Master!$U232 &amp; "", "")</f>
        <v>M</v>
      </c>
    </row>
    <row r="26" spans="1:6" x14ac:dyDescent="0.25">
      <c r="A26" s="8" t="str">
        <f>IF(Master!$M9&lt;&gt;"",Master!$C9,"")</f>
        <v>Elena</v>
      </c>
      <c r="B26" s="8" t="str">
        <f>IF(Master!$M9&lt;&gt;"",Master!$D9,"")</f>
        <v>Back</v>
      </c>
      <c r="C26" s="8" t="str">
        <f>IF(Master!$M9&lt;&gt;"",Master!$M9,"")</f>
        <v>Dribblers</v>
      </c>
      <c r="D26" s="7" t="str">
        <f>IF(Master!$M9&lt;&gt;"",Master!$S9 &amp; "", "")</f>
        <v>YM</v>
      </c>
      <c r="E26" s="7" t="str">
        <f>IF(Master!$M9&lt;&gt;"",Master!$T9 &amp; "", "")</f>
        <v/>
      </c>
      <c r="F26" s="7" t="str">
        <f>IF(Master!$M9&lt;&gt;"",Master!$U9 &amp; "", "")</f>
        <v/>
      </c>
    </row>
    <row r="27" spans="1:6" x14ac:dyDescent="0.25">
      <c r="A27" s="8" t="str">
        <f>IF(Master!$M23&lt;&gt;"",Master!$C23,"")</f>
        <v>Everette</v>
      </c>
      <c r="B27" s="8" t="str">
        <f>IF(Master!$M23&lt;&gt;"",Master!$D23,"")</f>
        <v>Bowman</v>
      </c>
      <c r="C27" s="8" t="str">
        <f>IF(Master!$M23&lt;&gt;"",Master!$M23,"")</f>
        <v>Dribblers</v>
      </c>
      <c r="D27" s="7" t="str">
        <f>IF(Master!$M23&lt;&gt;"",Master!$S23 &amp; "", "")</f>
        <v>YM</v>
      </c>
      <c r="E27" s="7" t="str">
        <f>IF(Master!$M23&lt;&gt;"",Master!$T23 &amp; "", "")</f>
        <v/>
      </c>
      <c r="F27" s="7" t="str">
        <f>IF(Master!$M23&lt;&gt;"",Master!$U23 &amp; "", "")</f>
        <v/>
      </c>
    </row>
    <row r="28" spans="1:6" x14ac:dyDescent="0.25">
      <c r="A28" s="8" t="str">
        <f>IF(Master!$M50&lt;&gt;"",Master!$C50,"")</f>
        <v>Nolan</v>
      </c>
      <c r="B28" s="8" t="str">
        <f>IF(Master!$M50&lt;&gt;"",Master!$D50,"")</f>
        <v>DeGrazia</v>
      </c>
      <c r="C28" s="8" t="str">
        <f>IF(Master!$M50&lt;&gt;"",Master!$M50,"")</f>
        <v>Dribblers</v>
      </c>
      <c r="D28" s="7" t="str">
        <f>IF(Master!$M50&lt;&gt;"",Master!$S50 &amp; "", "")</f>
        <v>YS</v>
      </c>
      <c r="E28" s="7" t="str">
        <f>IF(Master!$M50&lt;&gt;"",Master!$T50 &amp; "", "")</f>
        <v/>
      </c>
      <c r="F28" s="7" t="str">
        <f>IF(Master!$M50&lt;&gt;"",Master!$U50 &amp; "", "")</f>
        <v/>
      </c>
    </row>
    <row r="29" spans="1:6" x14ac:dyDescent="0.25">
      <c r="A29" s="8" t="str">
        <f>IF(Master!$M97&lt;&gt;"",Master!$C97,"")</f>
        <v>Mikey</v>
      </c>
      <c r="B29" s="8" t="str">
        <f>IF(Master!$M97&lt;&gt;"",Master!$D97,"")</f>
        <v>Hoptry</v>
      </c>
      <c r="C29" s="8" t="str">
        <f>IF(Master!$M97&lt;&gt;"",Master!$M97,"")</f>
        <v>Dribblers</v>
      </c>
      <c r="D29" s="7" t="str">
        <f>IF(Master!$M97&lt;&gt;"",Master!$S97 &amp; "", "")</f>
        <v>YS</v>
      </c>
      <c r="E29" s="7" t="str">
        <f>IF(Master!$M97&lt;&gt;"",Master!$T97 &amp; "", "")</f>
        <v>YS</v>
      </c>
      <c r="F29" s="7" t="str">
        <f>IF(Master!$M97&lt;&gt;"",Master!$U97 &amp; "", "")</f>
        <v>S</v>
      </c>
    </row>
    <row r="30" spans="1:6" x14ac:dyDescent="0.25">
      <c r="A30" s="8" t="str">
        <f>IF(Master!$M124&lt;&gt;"",Master!$C124,"")</f>
        <v>Elliot</v>
      </c>
      <c r="B30" s="8" t="str">
        <f>IF(Master!$M124&lt;&gt;"",Master!$D124,"")</f>
        <v>Ladd</v>
      </c>
      <c r="C30" s="8" t="str">
        <f>IF(Master!$M124&lt;&gt;"",Master!$M124,"")</f>
        <v>Dribblers</v>
      </c>
      <c r="D30" s="7" t="str">
        <f>IF(Master!$M124&lt;&gt;"",Master!$S124 &amp; "", "")</f>
        <v>YS</v>
      </c>
      <c r="E30" s="7" t="str">
        <f>IF(Master!$M124&lt;&gt;"",Master!$T124 &amp; "", "")</f>
        <v>YS</v>
      </c>
      <c r="F30" s="7" t="str">
        <f>IF(Master!$M124&lt;&gt;"",Master!$U124 &amp; "", "")</f>
        <v>S</v>
      </c>
    </row>
    <row r="31" spans="1:6" x14ac:dyDescent="0.25">
      <c r="A31" s="8" t="str">
        <f>IF(Master!$M125&lt;&gt;"",Master!$C125,"")</f>
        <v>Cade</v>
      </c>
      <c r="B31" s="8" t="str">
        <f>IF(Master!$M125&lt;&gt;"",Master!$D125,"")</f>
        <v>LaFontsee</v>
      </c>
      <c r="C31" s="8" t="str">
        <f>IF(Master!$M125&lt;&gt;"",Master!$M125,"")</f>
        <v>Dribblers</v>
      </c>
      <c r="D31" s="7" t="str">
        <f>IF(Master!$M125&lt;&gt;"",Master!$S125 &amp; "", "")</f>
        <v>YS</v>
      </c>
      <c r="E31" s="7" t="str">
        <f>IF(Master!$M125&lt;&gt;"",Master!$T125 &amp; "", "")</f>
        <v/>
      </c>
      <c r="F31" s="7" t="str">
        <f>IF(Master!$M125&lt;&gt;"",Master!$U125 &amp; "", "")</f>
        <v/>
      </c>
    </row>
    <row r="32" spans="1:6" x14ac:dyDescent="0.25">
      <c r="A32" s="8" t="str">
        <f>IF(Master!$M150&lt;&gt;"",Master!$C150,"")</f>
        <v>Benji</v>
      </c>
      <c r="B32" s="8" t="str">
        <f>IF(Master!$M150&lt;&gt;"",Master!$D150,"")</f>
        <v>Mezera</v>
      </c>
      <c r="C32" s="8" t="str">
        <f>IF(Master!$M150&lt;&gt;"",Master!$M150,"")</f>
        <v>Dribblers</v>
      </c>
      <c r="D32" s="7" t="str">
        <f>IF(Master!$M150&lt;&gt;"",Master!$S150 &amp; "", "")</f>
        <v>AS</v>
      </c>
      <c r="E32" s="7" t="str">
        <f>IF(Master!$M150&lt;&gt;"",Master!$T150 &amp; "", "")</f>
        <v/>
      </c>
      <c r="F32" s="7" t="str">
        <f>IF(Master!$M150&lt;&gt;"",Master!$U150 &amp; "", "")</f>
        <v/>
      </c>
    </row>
    <row r="33" spans="1:6" x14ac:dyDescent="0.25">
      <c r="A33" s="8" t="str">
        <f>IF(Master!$M155&lt;&gt;"",Master!$C155,"")</f>
        <v>Dalton</v>
      </c>
      <c r="B33" s="8" t="str">
        <f>IF(Master!$M155&lt;&gt;"",Master!$D155,"")</f>
        <v>Mitchell</v>
      </c>
      <c r="C33" s="8" t="str">
        <f>IF(Master!$M155&lt;&gt;"",Master!$M155,"")</f>
        <v>Dribblers</v>
      </c>
      <c r="D33" s="7" t="str">
        <f>IF(Master!$M155&lt;&gt;"",Master!$S155 &amp; "", "")</f>
        <v>YXL</v>
      </c>
      <c r="E33" s="7" t="str">
        <f>IF(Master!$M155&lt;&gt;"",Master!$T155 &amp; "", "")</f>
        <v/>
      </c>
      <c r="F33" s="7" t="str">
        <f>IF(Master!$M155&lt;&gt;"",Master!$U155 &amp; "", "")</f>
        <v/>
      </c>
    </row>
    <row r="34" spans="1:6" x14ac:dyDescent="0.25">
      <c r="A34" s="8" t="str">
        <f>IF(Master!$M172&lt;&gt;"",Master!$C172,"")</f>
        <v>Benny</v>
      </c>
      <c r="B34" s="8" t="str">
        <f>IF(Master!$M172&lt;&gt;"",Master!$D172,"")</f>
        <v>Pate</v>
      </c>
      <c r="C34" s="8" t="str">
        <f>IF(Master!$M172&lt;&gt;"",Master!$M172,"")</f>
        <v>Dribblers</v>
      </c>
      <c r="D34" s="7" t="str">
        <f>IF(Master!$M172&lt;&gt;"",Master!$S172 &amp; "", "")</f>
        <v>YXL</v>
      </c>
      <c r="E34" s="7" t="str">
        <f>IF(Master!$M172&lt;&gt;"",Master!$T172 &amp; "", "")</f>
        <v/>
      </c>
      <c r="F34" s="7" t="str">
        <f>IF(Master!$M172&lt;&gt;"",Master!$U172 &amp; "", "")</f>
        <v/>
      </c>
    </row>
    <row r="35" spans="1:6" x14ac:dyDescent="0.25">
      <c r="A35" s="8" t="str">
        <f>IF(Master!$M187&lt;&gt;"",Master!$C187,"")</f>
        <v>Isa</v>
      </c>
      <c r="B35" s="8" t="str">
        <f>IF(Master!$M187&lt;&gt;"",Master!$D187,"")</f>
        <v>Rasheed</v>
      </c>
      <c r="C35" s="8" t="str">
        <f>IF(Master!$M187&lt;&gt;"",Master!$M187,"")</f>
        <v>Dribblers</v>
      </c>
      <c r="D35" s="7" t="str">
        <f>IF(Master!$M187&lt;&gt;"",Master!$S187 &amp; "", "")</f>
        <v>YS</v>
      </c>
      <c r="E35" s="7" t="str">
        <f>IF(Master!$M187&lt;&gt;"",Master!$T187 &amp; "", "")</f>
        <v/>
      </c>
      <c r="F35" s="7" t="str">
        <f>IF(Master!$M187&lt;&gt;"",Master!$U187 &amp; "", "")</f>
        <v/>
      </c>
    </row>
    <row r="36" spans="1:6" x14ac:dyDescent="0.25">
      <c r="A36" s="8" t="str">
        <f>IF(Master!$M188&lt;&gt;"",Master!$C188,"")</f>
        <v>Mason</v>
      </c>
      <c r="B36" s="8" t="str">
        <f>IF(Master!$M188&lt;&gt;"",Master!$D188,"")</f>
        <v>Reed</v>
      </c>
      <c r="C36" s="8" t="str">
        <f>IF(Master!$M188&lt;&gt;"",Master!$M188,"")</f>
        <v>Dribblers</v>
      </c>
      <c r="D36" s="7" t="str">
        <f>IF(Master!$M188&lt;&gt;"",Master!$S188 &amp; "", "")</f>
        <v>YL</v>
      </c>
      <c r="E36" s="7" t="str">
        <f>IF(Master!$M188&lt;&gt;"",Master!$T188 &amp; "", "")</f>
        <v/>
      </c>
      <c r="F36" s="7" t="str">
        <f>IF(Master!$M188&lt;&gt;"",Master!$U188 &amp; "", "")</f>
        <v/>
      </c>
    </row>
    <row r="37" spans="1:6" x14ac:dyDescent="0.25">
      <c r="A37" s="8" t="str">
        <f>IF(Master!$M197&lt;&gt;"",Master!$C197,"")</f>
        <v>Noah</v>
      </c>
      <c r="B37" s="8" t="str">
        <f>IF(Master!$M197&lt;&gt;"",Master!$D197,"")</f>
        <v>Rose</v>
      </c>
      <c r="C37" s="8" t="str">
        <f>IF(Master!$M197&lt;&gt;"",Master!$M197,"")</f>
        <v>Dribblers</v>
      </c>
      <c r="D37" s="7" t="str">
        <f>IF(Master!$M197&lt;&gt;"",Master!$S197 &amp; "", "")</f>
        <v>YS</v>
      </c>
      <c r="E37" s="7" t="str">
        <f>IF(Master!$M197&lt;&gt;"",Master!$T197 &amp; "", "")</f>
        <v/>
      </c>
      <c r="F37" s="7" t="str">
        <f>IF(Master!$M197&lt;&gt;"",Master!$U197 &amp; "", "")</f>
        <v/>
      </c>
    </row>
    <row r="38" spans="1:6" x14ac:dyDescent="0.25">
      <c r="A38" s="8" t="str">
        <f>IF(Master!$M217&lt;&gt;"",Master!$C217,"")</f>
        <v>Jonathan</v>
      </c>
      <c r="B38" s="8" t="str">
        <f>IF(Master!$M217&lt;&gt;"",Master!$D217,"")</f>
        <v>Sibole</v>
      </c>
      <c r="C38" s="8" t="str">
        <f>IF(Master!$M217&lt;&gt;"",Master!$M217,"")</f>
        <v>Dribblers</v>
      </c>
      <c r="D38" s="7" t="str">
        <f>IF(Master!$M217&lt;&gt;"",Master!$S217 &amp; "", "")</f>
        <v>YL</v>
      </c>
      <c r="E38" s="7" t="str">
        <f>IF(Master!$M217&lt;&gt;"",Master!$T217 &amp; "", "")</f>
        <v>YM</v>
      </c>
      <c r="F38" s="7" t="str">
        <f>IF(Master!$M217&lt;&gt;"",Master!$U217 &amp; "", "")</f>
        <v>M</v>
      </c>
    </row>
    <row r="39" spans="1:6" x14ac:dyDescent="0.25">
      <c r="A39" s="8" t="str">
        <f>IF(Master!$M258&lt;&gt;"",Master!$C258,"")</f>
        <v>Ian</v>
      </c>
      <c r="B39" s="8" t="str">
        <f>IF(Master!$M258&lt;&gt;"",Master!$D258,"")</f>
        <v>Witucky</v>
      </c>
      <c r="C39" s="8" t="str">
        <f>IF(Master!$M258&lt;&gt;"",Master!$M258,"")</f>
        <v>Dribblers</v>
      </c>
      <c r="D39" s="7" t="str">
        <f>IF(Master!$M258&lt;&gt;"",Master!$S258 &amp; "", "")</f>
        <v>YS</v>
      </c>
      <c r="E39" s="7" t="str">
        <f>IF(Master!$M258&lt;&gt;"",Master!$T258 &amp; "", "")</f>
        <v/>
      </c>
      <c r="F39" s="7" t="str">
        <f>IF(Master!$M258&lt;&gt;"",Master!$U258 &amp; "", "")</f>
        <v/>
      </c>
    </row>
    <row r="40" spans="1:6" x14ac:dyDescent="0.25">
      <c r="A40" s="8" t="str">
        <f>IF(Master!$M267&lt;&gt;"",Master!$C267,"")</f>
        <v>Lucas</v>
      </c>
      <c r="B40" s="8" t="str">
        <f>IF(Master!$M267&lt;&gt;"",Master!$D267,"")</f>
        <v>Zwiers</v>
      </c>
      <c r="C40" s="8" t="str">
        <f>IF(Master!$M267&lt;&gt;"",Master!$M267,"")</f>
        <v>Dribblers</v>
      </c>
      <c r="D40" s="7" t="str">
        <f>IF(Master!$M267&lt;&gt;"",Master!$S267 &amp; "", "")</f>
        <v>YS</v>
      </c>
      <c r="E40" s="7" t="str">
        <f>IF(Master!$M267&lt;&gt;"",Master!$T267 &amp; "", "")</f>
        <v xml:space="preserve"> </v>
      </c>
      <c r="F40" s="7" t="str">
        <f>IF(Master!$M267&lt;&gt;"",Master!$U267 &amp; "", "")</f>
        <v xml:space="preserve"> </v>
      </c>
    </row>
    <row r="41" spans="1:6" x14ac:dyDescent="0.25">
      <c r="A41" s="8" t="str">
        <f>IF(Master!$M29&lt;&gt;"",Master!$C29,"")</f>
        <v>Noah</v>
      </c>
      <c r="B41" s="8" t="str">
        <f>IF(Master!$M29&lt;&gt;"",Master!$D29,"")</f>
        <v>Bush</v>
      </c>
      <c r="C41" s="8" t="str">
        <f>IF(Master!$M29&lt;&gt;"",Master!$M29,"")</f>
        <v>Shooters</v>
      </c>
      <c r="D41" s="7" t="str">
        <f>IF(Master!$M29&lt;&gt;"",Master!$S29 &amp; "", "")</f>
        <v>YS</v>
      </c>
      <c r="E41" s="7" t="str">
        <f>IF(Master!$M29&lt;&gt;"",Master!$T29 &amp; "", "")</f>
        <v/>
      </c>
      <c r="F41" s="7" t="str">
        <f>IF(Master!$M29&lt;&gt;"",Master!$U29 &amp; "", "")</f>
        <v/>
      </c>
    </row>
    <row r="42" spans="1:6" x14ac:dyDescent="0.25">
      <c r="A42" s="8" t="str">
        <f>IF(Master!$M46&lt;&gt;"",Master!$C46,"")</f>
        <v>Vada</v>
      </c>
      <c r="B42" s="8" t="str">
        <f>IF(Master!$M46&lt;&gt;"",Master!$D46,"")</f>
        <v>Daniels</v>
      </c>
      <c r="C42" s="8" t="str">
        <f>IF(Master!$M46&lt;&gt;"",Master!$M46,"")</f>
        <v>Shooters</v>
      </c>
      <c r="D42" s="7" t="str">
        <f>IF(Master!$M46&lt;&gt;"",Master!$S46 &amp; "", "")</f>
        <v>YL</v>
      </c>
      <c r="E42" s="7" t="str">
        <f>IF(Master!$M46&lt;&gt;"",Master!$T46 &amp; "", "")</f>
        <v>YM</v>
      </c>
      <c r="F42" s="7" t="str">
        <f>IF(Master!$M46&lt;&gt;"",Master!$U46 &amp; "", "")</f>
        <v>S</v>
      </c>
    </row>
    <row r="43" spans="1:6" x14ac:dyDescent="0.25">
      <c r="A43" s="8" t="str">
        <f>IF(Master!$M49&lt;&gt;"",Master!$C49,"")</f>
        <v>Payson</v>
      </c>
      <c r="B43" s="8" t="str">
        <f>IF(Master!$M49&lt;&gt;"",Master!$D49,"")</f>
        <v>Davis</v>
      </c>
      <c r="C43" s="8" t="str">
        <f>IF(Master!$M49&lt;&gt;"",Master!$M49,"")</f>
        <v>Shooters</v>
      </c>
      <c r="D43" s="7" t="str">
        <f>IF(Master!$M49&lt;&gt;"",Master!$S49 &amp; "", "")</f>
        <v>AS</v>
      </c>
      <c r="E43" s="7" t="str">
        <f>IF(Master!$M49&lt;&gt;"",Master!$T49 &amp; "", "")</f>
        <v xml:space="preserve"> </v>
      </c>
      <c r="F43" s="7" t="str">
        <f>IF(Master!$M49&lt;&gt;"",Master!$U49 &amp; "", "")</f>
        <v xml:space="preserve"> </v>
      </c>
    </row>
    <row r="44" spans="1:6" x14ac:dyDescent="0.25">
      <c r="A44" s="8" t="str">
        <f>IF(Master!$M83&lt;&gt;"",Master!$C83,"")</f>
        <v>Nora</v>
      </c>
      <c r="B44" s="8" t="str">
        <f>IF(Master!$M83&lt;&gt;"",Master!$D83,"")</f>
        <v>Grimsley</v>
      </c>
      <c r="C44" s="8" t="str">
        <f>IF(Master!$M83&lt;&gt;"",Master!$M83,"")</f>
        <v>Shooters</v>
      </c>
      <c r="D44" s="7" t="str">
        <f>IF(Master!$M83&lt;&gt;"",Master!$S83 &amp; "", "")</f>
        <v>YM</v>
      </c>
      <c r="E44" s="7" t="str">
        <f>IF(Master!$M83&lt;&gt;"",Master!$T83 &amp; "", "")</f>
        <v/>
      </c>
      <c r="F44" s="7" t="str">
        <f>IF(Master!$M83&lt;&gt;"",Master!$U83 &amp; "", "")</f>
        <v/>
      </c>
    </row>
    <row r="45" spans="1:6" x14ac:dyDescent="0.25">
      <c r="A45" s="8" t="str">
        <f>IF(Master!$M85&lt;&gt;"",Master!$C85,"")</f>
        <v>Zayn</v>
      </c>
      <c r="B45" s="8" t="str">
        <f>IF(Master!$M85&lt;&gt;"",Master!$D85,"")</f>
        <v>Hahn</v>
      </c>
      <c r="C45" s="8" t="str">
        <f>IF(Master!$M85&lt;&gt;"",Master!$M85,"")</f>
        <v>Shooters</v>
      </c>
      <c r="D45" s="7" t="str">
        <f>IF(Master!$M85&lt;&gt;"",Master!$S85 &amp; "", "")</f>
        <v>YM</v>
      </c>
      <c r="E45" s="7" t="str">
        <f>IF(Master!$M85&lt;&gt;"",Master!$T85 &amp; "", "")</f>
        <v>YS</v>
      </c>
      <c r="F45" s="7" t="str">
        <f>IF(Master!$M85&lt;&gt;"",Master!$U85 &amp; "", "")</f>
        <v>S</v>
      </c>
    </row>
    <row r="46" spans="1:6" x14ac:dyDescent="0.25">
      <c r="A46" s="8" t="str">
        <f>IF(Master!$M104&lt;&gt;"",Master!$C104,"")</f>
        <v>Jeffery</v>
      </c>
      <c r="B46" s="8" t="str">
        <f>IF(Master!$M104&lt;&gt;"",Master!$D104,"")</f>
        <v>Isbell</v>
      </c>
      <c r="C46" s="8" t="str">
        <f>IF(Master!$M104&lt;&gt;"",Master!$M104,"")</f>
        <v>Shooters</v>
      </c>
      <c r="D46" s="7" t="str">
        <f>IF(Master!$M104&lt;&gt;"",Master!$S104 &amp; "", "")</f>
        <v>YM</v>
      </c>
      <c r="E46" s="7" t="str">
        <f>IF(Master!$M104&lt;&gt;"",Master!$T104 &amp; "", "")</f>
        <v/>
      </c>
      <c r="F46" s="7" t="str">
        <f>IF(Master!$M104&lt;&gt;"",Master!$U104 &amp; "", "")</f>
        <v/>
      </c>
    </row>
    <row r="47" spans="1:6" x14ac:dyDescent="0.25">
      <c r="A47" s="8" t="str">
        <f>IF(Master!$M108&lt;&gt;"",Master!$C108,"")</f>
        <v>Micah</v>
      </c>
      <c r="B47" s="8" t="str">
        <f>IF(Master!$M108&lt;&gt;"",Master!$D108,"")</f>
        <v>Jegede</v>
      </c>
      <c r="C47" s="8" t="str">
        <f>IF(Master!$M108&lt;&gt;"",Master!$M108,"")</f>
        <v>Shooters</v>
      </c>
      <c r="D47" s="7" t="str">
        <f>IF(Master!$M108&lt;&gt;"",Master!$S108 &amp; "", "")</f>
        <v>YL</v>
      </c>
      <c r="E47" s="7" t="str">
        <f>IF(Master!$M108&lt;&gt;"",Master!$T108 &amp; "", "")</f>
        <v/>
      </c>
      <c r="F47" s="7" t="str">
        <f>IF(Master!$M108&lt;&gt;"",Master!$U108 &amp; "", "")</f>
        <v/>
      </c>
    </row>
    <row r="48" spans="1:6" x14ac:dyDescent="0.25">
      <c r="A48" s="8" t="str">
        <f>IF(Master!$M118&lt;&gt;"",Master!$C118,"")</f>
        <v>Keaton</v>
      </c>
      <c r="B48" s="8" t="str">
        <f>IF(Master!$M118&lt;&gt;"",Master!$D118,"")</f>
        <v>Kinney</v>
      </c>
      <c r="C48" s="8" t="str">
        <f>IF(Master!$M118&lt;&gt;"",Master!$M118,"")</f>
        <v>Shooters</v>
      </c>
      <c r="D48" s="7" t="str">
        <f>IF(Master!$M118&lt;&gt;"",Master!$S118 &amp; "", "")</f>
        <v>YL</v>
      </c>
      <c r="E48" s="7" t="str">
        <f>IF(Master!$M118&lt;&gt;"",Master!$T118 &amp; "", "")</f>
        <v>YM</v>
      </c>
      <c r="F48" s="7" t="str">
        <f>IF(Master!$M118&lt;&gt;"",Master!$U118 &amp; "", "")</f>
        <v>S</v>
      </c>
    </row>
    <row r="49" spans="1:6" x14ac:dyDescent="0.25">
      <c r="A49" s="8" t="str">
        <f>IF(Master!$M148&lt;&gt;"",Master!$C148,"")</f>
        <v>Charlotte</v>
      </c>
      <c r="B49" s="8" t="str">
        <f>IF(Master!$M148&lt;&gt;"",Master!$D148,"")</f>
        <v>McKinnson</v>
      </c>
      <c r="C49" s="8" t="str">
        <f>IF(Master!$M148&lt;&gt;"",Master!$M148,"")</f>
        <v>Shooters</v>
      </c>
      <c r="D49" s="7" t="str">
        <f>IF(Master!$M148&lt;&gt;"",Master!$S148 &amp; "", "")</f>
        <v>YL</v>
      </c>
      <c r="E49" s="7" t="str">
        <f>IF(Master!$M148&lt;&gt;"",Master!$T148 &amp; "", "")</f>
        <v/>
      </c>
      <c r="F49" s="7" t="str">
        <f>IF(Master!$M148&lt;&gt;"",Master!$U148 &amp; "", "")</f>
        <v/>
      </c>
    </row>
    <row r="50" spans="1:6" x14ac:dyDescent="0.25">
      <c r="A50" s="8" t="str">
        <f>IF(Master!$M186&lt;&gt;"",Master!$C186,"")</f>
        <v>Levi</v>
      </c>
      <c r="B50" s="8" t="str">
        <f>IF(Master!$M186&lt;&gt;"",Master!$D186,"")</f>
        <v>Pullins</v>
      </c>
      <c r="C50" s="8" t="str">
        <f>IF(Master!$M186&lt;&gt;"",Master!$M186,"")</f>
        <v>Shooters</v>
      </c>
      <c r="D50" s="7" t="str">
        <f>IF(Master!$M186&lt;&gt;"",Master!$S186 &amp; "", "")</f>
        <v>YM</v>
      </c>
      <c r="E50" s="7" t="str">
        <f>IF(Master!$M186&lt;&gt;"",Master!$T186 &amp; "", "")</f>
        <v/>
      </c>
      <c r="F50" s="7" t="str">
        <f>IF(Master!$M186&lt;&gt;"",Master!$U186 &amp; "", "")</f>
        <v/>
      </c>
    </row>
    <row r="51" spans="1:6" x14ac:dyDescent="0.25">
      <c r="A51" s="8" t="str">
        <f>IF(Master!$M194&lt;&gt;"",Master!$C194,"")</f>
        <v>Isaac</v>
      </c>
      <c r="B51" s="8" t="str">
        <f>IF(Master!$M194&lt;&gt;"",Master!$D194,"")</f>
        <v>Robertson</v>
      </c>
      <c r="C51" s="8" t="str">
        <f>IF(Master!$M194&lt;&gt;"",Master!$M194,"")</f>
        <v>Shooters</v>
      </c>
      <c r="D51" s="7" t="str">
        <f>IF(Master!$M194&lt;&gt;"",Master!$S194 &amp; "", "")</f>
        <v>YM</v>
      </c>
      <c r="E51" s="7" t="str">
        <f>IF(Master!$M194&lt;&gt;"",Master!$T194 &amp; "", "")</f>
        <v/>
      </c>
      <c r="F51" s="7" t="str">
        <f>IF(Master!$M194&lt;&gt;"",Master!$U194 &amp; "", "")</f>
        <v/>
      </c>
    </row>
    <row r="52" spans="1:6" x14ac:dyDescent="0.25">
      <c r="A52" s="8" t="str">
        <f>IF(Master!$M201&lt;&gt;"",Master!$C201,"")</f>
        <v>Aaryan</v>
      </c>
      <c r="B52" s="8" t="str">
        <f>IF(Master!$M201&lt;&gt;"",Master!$D201,"")</f>
        <v>Sagvekar</v>
      </c>
      <c r="C52" s="8" t="str">
        <f>IF(Master!$M201&lt;&gt;"",Master!$M201,"")</f>
        <v>Shooters</v>
      </c>
      <c r="D52" s="7" t="str">
        <f>IF(Master!$M201&lt;&gt;"",Master!$S201 &amp; "", "")</f>
        <v>YM</v>
      </c>
      <c r="E52" s="7" t="str">
        <f>IF(Master!$M201&lt;&gt;"",Master!$T201 &amp; "", "")</f>
        <v>YS</v>
      </c>
      <c r="F52" s="7" t="str">
        <f>IF(Master!$M201&lt;&gt;"",Master!$U201 &amp; "", "")</f>
        <v>S</v>
      </c>
    </row>
    <row r="53" spans="1:6" x14ac:dyDescent="0.25">
      <c r="A53" s="8" t="str">
        <f>IF(Master!$M204&lt;&gt;"",Master!$C204,"")</f>
        <v>Aaryan</v>
      </c>
      <c r="B53" s="8" t="str">
        <f>IF(Master!$M204&lt;&gt;"",Master!$D204,"")</f>
        <v>Satish</v>
      </c>
      <c r="C53" s="8" t="str">
        <f>IF(Master!$M204&lt;&gt;"",Master!$M204,"")</f>
        <v>Shooters</v>
      </c>
      <c r="D53" s="7" t="str">
        <f>IF(Master!$M204&lt;&gt;"",Master!$S204 &amp; "", "")</f>
        <v>YM</v>
      </c>
      <c r="E53" s="7" t="str">
        <f>IF(Master!$M204&lt;&gt;"",Master!$T204 &amp; "", "")</f>
        <v/>
      </c>
      <c r="F53" s="7" t="str">
        <f>IF(Master!$M204&lt;&gt;"",Master!$U204 &amp; "", "")</f>
        <v/>
      </c>
    </row>
    <row r="54" spans="1:6" x14ac:dyDescent="0.25">
      <c r="A54" s="8" t="str">
        <f>IF(Master!$M208&lt;&gt;"",Master!$C208,"")</f>
        <v>Hoyt</v>
      </c>
      <c r="B54" s="8" t="str">
        <f>IF(Master!$M208&lt;&gt;"",Master!$D208,"")</f>
        <v>Schaaf</v>
      </c>
      <c r="C54" s="8" t="str">
        <f>IF(Master!$M208&lt;&gt;"",Master!$M208,"")</f>
        <v>Shooters</v>
      </c>
      <c r="D54" s="7" t="str">
        <f>IF(Master!$M208&lt;&gt;"",Master!$S208 &amp; "", "")</f>
        <v>YM</v>
      </c>
      <c r="E54" s="7" t="str">
        <f>IF(Master!$M208&lt;&gt;"",Master!$T208 &amp; "", "")</f>
        <v/>
      </c>
      <c r="F54" s="7" t="str">
        <f>IF(Master!$M208&lt;&gt;"",Master!$U208 &amp; "", "")</f>
        <v/>
      </c>
    </row>
    <row r="55" spans="1:6" x14ac:dyDescent="0.25">
      <c r="A55" s="8" t="str">
        <f>IF(Master!$M228&lt;&gt;"",Master!$C228,"")</f>
        <v>Otto</v>
      </c>
      <c r="B55" s="8" t="str">
        <f>IF(Master!$M228&lt;&gt;"",Master!$D228,"")</f>
        <v>Stieger</v>
      </c>
      <c r="C55" s="8" t="str">
        <f>IF(Master!$M228&lt;&gt;"",Master!$M228,"")</f>
        <v>Shooters</v>
      </c>
      <c r="D55" s="7" t="str">
        <f>IF(Master!$M228&lt;&gt;"",Master!$S228 &amp; "", "")</f>
        <v>AM</v>
      </c>
      <c r="E55" s="7" t="str">
        <f>IF(Master!$M228&lt;&gt;"",Master!$T228 &amp; "", "")</f>
        <v/>
      </c>
      <c r="F55" s="7" t="str">
        <f>IF(Master!$M228&lt;&gt;"",Master!$U228 &amp; "", "")</f>
        <v/>
      </c>
    </row>
    <row r="56" spans="1:6" x14ac:dyDescent="0.25">
      <c r="A56" s="8" t="str">
        <f>IF(Master!$M229&lt;&gt;"",Master!$C229,"")</f>
        <v>Luke</v>
      </c>
      <c r="B56" s="8" t="str">
        <f>IF(Master!$M229&lt;&gt;"",Master!$D229,"")</f>
        <v>Stingley</v>
      </c>
      <c r="C56" s="8" t="str">
        <f>IF(Master!$M229&lt;&gt;"",Master!$M229,"")</f>
        <v>Shooters</v>
      </c>
      <c r="D56" s="7" t="str">
        <f>IF(Master!$M229&lt;&gt;"",Master!$S229 &amp; "", "")</f>
        <v>YL</v>
      </c>
      <c r="E56" s="7" t="str">
        <f>IF(Master!$M229&lt;&gt;"",Master!$T229 &amp; "", "")</f>
        <v xml:space="preserve"> </v>
      </c>
      <c r="F56" s="7" t="str">
        <f>IF(Master!$M229&lt;&gt;"",Master!$U229 &amp; "", "")</f>
        <v xml:space="preserve"> </v>
      </c>
    </row>
    <row r="57" spans="1:6" x14ac:dyDescent="0.25">
      <c r="A57" s="8" t="str">
        <f>IF(Master!$M249&lt;&gt;"",Master!$C249,"")</f>
        <v>Noah</v>
      </c>
      <c r="B57" s="8" t="str">
        <f>IF(Master!$M249&lt;&gt;"",Master!$D249,"")</f>
        <v>Webb</v>
      </c>
      <c r="C57" s="8" t="str">
        <f>IF(Master!$M249&lt;&gt;"",Master!$M249,"")</f>
        <v>Shooters</v>
      </c>
      <c r="D57" s="7" t="str">
        <f>IF(Master!$M249&lt;&gt;"",Master!$S249 &amp; "", "")</f>
        <v>YS</v>
      </c>
      <c r="E57" s="7" t="str">
        <f>IF(Master!$M249&lt;&gt;"",Master!$T249 &amp; "", "")</f>
        <v>YS</v>
      </c>
      <c r="F57" s="7" t="str">
        <f>IF(Master!$M249&lt;&gt;"",Master!$U249 &amp; "", "")</f>
        <v>S</v>
      </c>
    </row>
    <row r="58" spans="1:6" x14ac:dyDescent="0.25">
      <c r="A58" s="8" t="str">
        <f>IF(Master!$M2&lt;&gt;"",Master!$C2,"")</f>
        <v>Avery</v>
      </c>
      <c r="B58" s="8" t="str">
        <f>IF(Master!$M2&lt;&gt;"",Master!$D2,"")</f>
        <v>Abshear</v>
      </c>
      <c r="C58" s="8" t="str">
        <f>IF(Master!$M2&lt;&gt;"",Master!$M2,"")</f>
        <v>Wings</v>
      </c>
      <c r="D58" s="7" t="str">
        <f>IF(Master!$M2&lt;&gt;"",Master!$S2 &amp; "", "")</f>
        <v>AM</v>
      </c>
      <c r="E58" s="7" t="str">
        <f>IF(Master!$M2&lt;&gt;"",Master!$T2 &amp; "", "")</f>
        <v>YL</v>
      </c>
      <c r="F58" s="7" t="str">
        <f>IF(Master!$M2&lt;&gt;"",Master!$U2 &amp; "", "")</f>
        <v>M</v>
      </c>
    </row>
    <row r="59" spans="1:6" x14ac:dyDescent="0.25">
      <c r="A59" s="8" t="str">
        <f>IF(Master!$M3&lt;&gt;"",Master!$C3,"")</f>
        <v>Jackson</v>
      </c>
      <c r="B59" s="8" t="str">
        <f>IF(Master!$M3&lt;&gt;"",Master!$D3,"")</f>
        <v>Abshear</v>
      </c>
      <c r="C59" s="8" t="str">
        <f>IF(Master!$M3&lt;&gt;"",Master!$M3,"")</f>
        <v>Wings</v>
      </c>
      <c r="D59" s="7" t="str">
        <f>IF(Master!$M3&lt;&gt;"",Master!$S3 &amp; "", "")</f>
        <v>AM</v>
      </c>
      <c r="E59" s="7" t="str">
        <f>IF(Master!$M3&lt;&gt;"",Master!$T3 &amp; "", "")</f>
        <v>YL</v>
      </c>
      <c r="F59" s="7" t="str">
        <f>IF(Master!$M3&lt;&gt;"",Master!$U3 &amp; "", "")</f>
        <v>M</v>
      </c>
    </row>
    <row r="60" spans="1:6" x14ac:dyDescent="0.25">
      <c r="A60" s="8" t="str">
        <f>IF(Master!$M77&lt;&gt;"",Master!$C77,"")</f>
        <v>Ella</v>
      </c>
      <c r="B60" s="8" t="str">
        <f>IF(Master!$M77&lt;&gt;"",Master!$D77,"")</f>
        <v>Gillette</v>
      </c>
      <c r="C60" s="8" t="str">
        <f>IF(Master!$M77&lt;&gt;"",Master!$M77,"")</f>
        <v>Wings</v>
      </c>
      <c r="D60" s="7" t="str">
        <f>IF(Master!$M77&lt;&gt;"",Master!$S77 &amp; "", "")</f>
        <v>AXL</v>
      </c>
      <c r="E60" s="7" t="str">
        <f>IF(Master!$M77&lt;&gt;"",Master!$T77 &amp; "", "")</f>
        <v xml:space="preserve">  </v>
      </c>
      <c r="F60" s="7" t="str">
        <f>IF(Master!$M77&lt;&gt;"",Master!$U77 &amp; "", "")</f>
        <v xml:space="preserve"> </v>
      </c>
    </row>
    <row r="61" spans="1:6" x14ac:dyDescent="0.25">
      <c r="A61" s="8" t="str">
        <f>IF(Master!$M93&lt;&gt;"",Master!$C93,"")</f>
        <v>Nicolas</v>
      </c>
      <c r="B61" s="8" t="str">
        <f>IF(Master!$M93&lt;&gt;"",Master!$D93,"")</f>
        <v>Heyne</v>
      </c>
      <c r="C61" s="8" t="str">
        <f>IF(Master!$M93&lt;&gt;"",Master!$M93,"")</f>
        <v>Wings</v>
      </c>
      <c r="D61" s="7" t="str">
        <f>IF(Master!$M93&lt;&gt;"",Master!$S93 &amp; "", "")</f>
        <v>YXL</v>
      </c>
      <c r="E61" s="7" t="str">
        <f>IF(Master!$M93&lt;&gt;"",Master!$T93 &amp; "", "")</f>
        <v/>
      </c>
      <c r="F61" s="7" t="str">
        <f>IF(Master!$M93&lt;&gt;"",Master!$U93 &amp; "", "")</f>
        <v/>
      </c>
    </row>
    <row r="62" spans="1:6" x14ac:dyDescent="0.25">
      <c r="A62" s="8" t="str">
        <f>IF(Master!$M95&lt;&gt;"",Master!$C95,"")</f>
        <v>Kenley</v>
      </c>
      <c r="B62" s="8" t="str">
        <f>IF(Master!$M95&lt;&gt;"",Master!$D95,"")</f>
        <v>Holtz</v>
      </c>
      <c r="C62" s="8" t="str">
        <f>IF(Master!$M95&lt;&gt;"",Master!$M95,"")</f>
        <v>Wings</v>
      </c>
      <c r="D62" s="7" t="str">
        <f>IF(Master!$M95&lt;&gt;"",Master!$S95 &amp; "", "")</f>
        <v>YM</v>
      </c>
      <c r="E62" s="7" t="str">
        <f>IF(Master!$M95&lt;&gt;"",Master!$T95 &amp; "", "")</f>
        <v>YM</v>
      </c>
      <c r="F62" s="7" t="str">
        <f>IF(Master!$M95&lt;&gt;"",Master!$U95 &amp; "", "")</f>
        <v>S</v>
      </c>
    </row>
    <row r="63" spans="1:6" x14ac:dyDescent="0.25">
      <c r="A63" s="8" t="str">
        <f>IF(Master!$M126&lt;&gt;"",Master!$C126,"")</f>
        <v>Livy</v>
      </c>
      <c r="B63" s="8" t="str">
        <f>IF(Master!$M126&lt;&gt;"",Master!$D126,"")</f>
        <v>Lake</v>
      </c>
      <c r="C63" s="8" t="str">
        <f>IF(Master!$M126&lt;&gt;"",Master!$M126,"")</f>
        <v>Wings</v>
      </c>
      <c r="D63" s="7" t="str">
        <f>IF(Master!$M126&lt;&gt;"",Master!$S126 &amp; "", "")</f>
        <v>YL</v>
      </c>
      <c r="E63" s="7" t="str">
        <f>IF(Master!$M126&lt;&gt;"",Master!$T126 &amp; "", "")</f>
        <v/>
      </c>
      <c r="F63" s="7" t="str">
        <f>IF(Master!$M126&lt;&gt;"",Master!$U126 &amp; "", "")</f>
        <v/>
      </c>
    </row>
    <row r="64" spans="1:6" x14ac:dyDescent="0.25">
      <c r="A64" s="8" t="str">
        <f>IF(Master!$M136&lt;&gt;"",Master!$C136,"")</f>
        <v>Bodey</v>
      </c>
      <c r="B64" s="8" t="str">
        <f>IF(Master!$M136&lt;&gt;"",Master!$D136,"")</f>
        <v>Maher</v>
      </c>
      <c r="C64" s="8" t="str">
        <f>IF(Master!$M136&lt;&gt;"",Master!$M136,"")</f>
        <v>Wings</v>
      </c>
      <c r="D64" s="7" t="str">
        <f>IF(Master!$M136&lt;&gt;"",Master!$S136 &amp; "", "")</f>
        <v>YXL</v>
      </c>
      <c r="E64" s="7" t="str">
        <f>IF(Master!$M136&lt;&gt;"",Master!$T136 &amp; "", "")</f>
        <v/>
      </c>
      <c r="F64" s="7" t="str">
        <f>IF(Master!$M136&lt;&gt;"",Master!$U136 &amp; "", "")</f>
        <v/>
      </c>
    </row>
    <row r="65" spans="1:6" x14ac:dyDescent="0.25">
      <c r="A65" s="8" t="str">
        <f>IF(Master!$M157&lt;&gt;"",Master!$C157,"")</f>
        <v>Penelope</v>
      </c>
      <c r="B65" s="8" t="str">
        <f>IF(Master!$M157&lt;&gt;"",Master!$D157,"")</f>
        <v>Mogollon-Faris</v>
      </c>
      <c r="C65" s="8" t="str">
        <f>IF(Master!$M157&lt;&gt;"",Master!$M157,"")</f>
        <v>Wings</v>
      </c>
      <c r="D65" s="7" t="str">
        <f>IF(Master!$M157&lt;&gt;"",Master!$S157 &amp; "", "")</f>
        <v>YXL</v>
      </c>
      <c r="E65" s="7" t="str">
        <f>IF(Master!$M157&lt;&gt;"",Master!$T157 &amp; "", "")</f>
        <v xml:space="preserve"> </v>
      </c>
      <c r="F65" s="7" t="str">
        <f>IF(Master!$M157&lt;&gt;"",Master!$U157 &amp; "", "")</f>
        <v xml:space="preserve"> </v>
      </c>
    </row>
    <row r="66" spans="1:6" x14ac:dyDescent="0.25">
      <c r="A66" s="8" t="str">
        <f>IF(Master!$M170&lt;&gt;"",Master!$C170,"")</f>
        <v>Mallory</v>
      </c>
      <c r="B66" s="8" t="str">
        <f>IF(Master!$M170&lt;&gt;"",Master!$D170,"")</f>
        <v>O'Neill</v>
      </c>
      <c r="C66" s="8" t="str">
        <f>IF(Master!$M170&lt;&gt;"",Master!$M170,"")</f>
        <v>Wings</v>
      </c>
      <c r="D66" s="7" t="str">
        <f>IF(Master!$M170&lt;&gt;"",Master!$S170 &amp; "", "")</f>
        <v>AL</v>
      </c>
      <c r="E66" s="7" t="str">
        <f>IF(Master!$M170&lt;&gt;"",Master!$T170 &amp; "", "")</f>
        <v>AS</v>
      </c>
      <c r="F66" s="7" t="str">
        <f>IF(Master!$M170&lt;&gt;"",Master!$U170 &amp; "", "")</f>
        <v>M</v>
      </c>
    </row>
    <row r="67" spans="1:6" x14ac:dyDescent="0.25">
      <c r="A67" s="8" t="str">
        <f>IF(Master!$M178&lt;&gt;"",Master!$C178,"")</f>
        <v>Lukas</v>
      </c>
      <c r="B67" s="8" t="str">
        <f>IF(Master!$M178&lt;&gt;"",Master!$D178,"")</f>
        <v>Pickett</v>
      </c>
      <c r="C67" s="8" t="str">
        <f>IF(Master!$M178&lt;&gt;"",Master!$M178,"")</f>
        <v>Wings</v>
      </c>
      <c r="D67" s="7" t="str">
        <f>IF(Master!$M178&lt;&gt;"",Master!$S178 &amp; "", "")</f>
        <v>AM</v>
      </c>
      <c r="E67" s="7" t="str">
        <f>IF(Master!$M178&lt;&gt;"",Master!$T178 &amp; "", "")</f>
        <v>YL</v>
      </c>
      <c r="F67" s="7" t="str">
        <f>IF(Master!$M178&lt;&gt;"",Master!$U178 &amp; "", "")</f>
        <v>L</v>
      </c>
    </row>
    <row r="68" spans="1:6" x14ac:dyDescent="0.25">
      <c r="A68" s="8" t="str">
        <f>IF(Master!$M191&lt;&gt;"",Master!$C191,"")</f>
        <v>Keira</v>
      </c>
      <c r="B68" s="8" t="str">
        <f>IF(Master!$M191&lt;&gt;"",Master!$D191,"")</f>
        <v>Richison</v>
      </c>
      <c r="C68" s="8" t="str">
        <f>IF(Master!$M191&lt;&gt;"",Master!$M191,"")</f>
        <v>Wings</v>
      </c>
      <c r="D68" s="7" t="str">
        <f>IF(Master!$M191&lt;&gt;"",Master!$S191 &amp; "", "")</f>
        <v>A2XL</v>
      </c>
      <c r="E68" s="7" t="str">
        <f>IF(Master!$M191&lt;&gt;"",Master!$T191 &amp; "", "")</f>
        <v>AM</v>
      </c>
      <c r="F68" s="7" t="str">
        <f>IF(Master!$M191&lt;&gt;"",Master!$U191 &amp; "", "")</f>
        <v>L</v>
      </c>
    </row>
    <row r="69" spans="1:6" x14ac:dyDescent="0.25">
      <c r="A69" s="8" t="str">
        <f>IF(Master!$M221&lt;&gt;"",Master!$C221,"")</f>
        <v>Ava</v>
      </c>
      <c r="B69" s="8" t="str">
        <f>IF(Master!$M221&lt;&gt;"",Master!$D221,"")</f>
        <v>Smith</v>
      </c>
      <c r="C69" s="8" t="str">
        <f>IF(Master!$M221&lt;&gt;"",Master!$M221,"")</f>
        <v>Wings</v>
      </c>
      <c r="D69" s="7" t="str">
        <f>IF(Master!$M221&lt;&gt;"",Master!$S221 &amp; "", "")</f>
        <v>AL</v>
      </c>
      <c r="E69" s="7" t="str">
        <f>IF(Master!$M221&lt;&gt;"",Master!$T221 &amp; "", "")</f>
        <v>YM</v>
      </c>
      <c r="F69" s="7" t="str">
        <f>IF(Master!$M221&lt;&gt;"",Master!$U221 &amp; "", "")</f>
        <v>M</v>
      </c>
    </row>
    <row r="70" spans="1:6" x14ac:dyDescent="0.25">
      <c r="A70" s="8" t="str">
        <f>IF(Master!$M242&lt;&gt;"",Master!$C242,"")</f>
        <v>Lyra</v>
      </c>
      <c r="B70" s="8" t="str">
        <f>IF(Master!$M242&lt;&gt;"",Master!$D242,"")</f>
        <v>Vinande</v>
      </c>
      <c r="C70" s="8" t="str">
        <f>IF(Master!$M242&lt;&gt;"",Master!$M242,"")</f>
        <v>Wings</v>
      </c>
      <c r="D70" s="7" t="str">
        <f>IF(Master!$M242&lt;&gt;"",Master!$S242 &amp; "", "")</f>
        <v>YXL</v>
      </c>
      <c r="E70" s="7" t="str">
        <f>IF(Master!$M242&lt;&gt;"",Master!$T242 &amp; "", "")</f>
        <v/>
      </c>
      <c r="F70" s="7" t="str">
        <f>IF(Master!$M242&lt;&gt;"",Master!$U242 &amp; "", "")</f>
        <v/>
      </c>
    </row>
    <row r="71" spans="1:6" x14ac:dyDescent="0.25">
      <c r="A71" s="8" t="str">
        <f>IF(Master!$M250&lt;&gt;"",Master!$C250,"")</f>
        <v>Gigi</v>
      </c>
      <c r="B71" s="8" t="str">
        <f>IF(Master!$M250&lt;&gt;"",Master!$D250,"")</f>
        <v xml:space="preserve">West </v>
      </c>
      <c r="C71" s="8" t="str">
        <f>IF(Master!$M250&lt;&gt;"",Master!$M250,"")</f>
        <v>Wings</v>
      </c>
      <c r="D71" s="7" t="str">
        <f>IF(Master!$M250&lt;&gt;"",Master!$S250 &amp; "", "")</f>
        <v>YL</v>
      </c>
      <c r="E71" s="7" t="str">
        <f>IF(Master!$M250&lt;&gt;"",Master!$T250 &amp; "", "")</f>
        <v>YS</v>
      </c>
      <c r="F71" s="7" t="str">
        <f>IF(Master!$M250&lt;&gt;"",Master!$U250 &amp; "", "")</f>
        <v>M</v>
      </c>
    </row>
    <row r="72" spans="1:6" x14ac:dyDescent="0.25">
      <c r="A72" s="8" t="str">
        <f>IF(Master!$M6&lt;&gt;"",Master!$C6,"")</f>
        <v>Gordon (JR)</v>
      </c>
      <c r="B72" s="8" t="str">
        <f>IF(Master!$M6&lt;&gt;"",Master!$D6,"")</f>
        <v>Alobwede</v>
      </c>
      <c r="C72" s="8" t="str">
        <f>IF(Master!$M6&lt;&gt;"",Master!$M6,"")</f>
        <v>Kickers</v>
      </c>
      <c r="D72" s="7" t="str">
        <f>IF(Master!$M6&lt;&gt;"",Master!$S6 &amp; "", "")</f>
        <v>AL</v>
      </c>
      <c r="E72" s="7" t="str">
        <f>IF(Master!$M6&lt;&gt;"",Master!$T6 &amp; "", "")</f>
        <v>AL</v>
      </c>
      <c r="F72" s="7" t="str">
        <f>IF(Master!$M6&lt;&gt;"",Master!$U6 &amp; "", "")</f>
        <v>L</v>
      </c>
    </row>
    <row r="73" spans="1:6" x14ac:dyDescent="0.25">
      <c r="A73" s="8" t="str">
        <f>IF(Master!$M7&lt;&gt;"",Master!$C7,"")</f>
        <v>Landrie</v>
      </c>
      <c r="B73" s="8" t="str">
        <f>IF(Master!$M7&lt;&gt;"",Master!$D7,"")</f>
        <v>Amaro</v>
      </c>
      <c r="C73" s="8" t="str">
        <f>IF(Master!$M7&lt;&gt;"",Master!$M7,"")</f>
        <v>Kickers</v>
      </c>
      <c r="D73" s="7" t="str">
        <f>IF(Master!$M7&lt;&gt;"",Master!$S7 &amp; "", "")</f>
        <v>AS</v>
      </c>
      <c r="E73" s="7" t="str">
        <f>IF(Master!$M7&lt;&gt;"",Master!$T7 &amp; "", "")</f>
        <v>YL</v>
      </c>
      <c r="F73" s="7" t="str">
        <f>IF(Master!$M7&lt;&gt;"",Master!$U7 &amp; "", "")</f>
        <v>L</v>
      </c>
    </row>
    <row r="74" spans="1:6" x14ac:dyDescent="0.25">
      <c r="A74" s="8" t="str">
        <f>IF(Master!$M21&lt;&gt;"",Master!$C21,"")</f>
        <v>Dylan</v>
      </c>
      <c r="B74" s="8" t="str">
        <f>IF(Master!$M21&lt;&gt;"",Master!$D21,"")</f>
        <v>Bowling</v>
      </c>
      <c r="C74" s="8" t="str">
        <f>IF(Master!$M21&lt;&gt;"",Master!$M21,"")</f>
        <v>Kickers</v>
      </c>
      <c r="D74" s="7" t="str">
        <f>IF(Master!$M21&lt;&gt;"",Master!$S21 &amp; "", "")</f>
        <v>AXL</v>
      </c>
      <c r="E74" s="7" t="str">
        <f>IF(Master!$M21&lt;&gt;"",Master!$T21 &amp; "", "")</f>
        <v/>
      </c>
      <c r="F74" s="7" t="str">
        <f>IF(Master!$M21&lt;&gt;"",Master!$U21 &amp; "", "")</f>
        <v/>
      </c>
    </row>
    <row r="75" spans="1:6" x14ac:dyDescent="0.25">
      <c r="A75" s="8" t="str">
        <f>IF(Master!$M25&lt;&gt;"",Master!$C25,"")</f>
        <v>Charles</v>
      </c>
      <c r="B75" s="8" t="str">
        <f>IF(Master!$M25&lt;&gt;"",Master!$D25,"")</f>
        <v>Brewer</v>
      </c>
      <c r="C75" s="8" t="str">
        <f>IF(Master!$M25&lt;&gt;"",Master!$M25,"")</f>
        <v>Kickers</v>
      </c>
      <c r="D75" s="7" t="str">
        <f>IF(Master!$M25&lt;&gt;"",Master!$S25 &amp; "", "")</f>
        <v>AM</v>
      </c>
      <c r="E75" s="7" t="str">
        <f>IF(Master!$M25&lt;&gt;"",Master!$T25 &amp; "", "")</f>
        <v/>
      </c>
      <c r="F75" s="7" t="str">
        <f>IF(Master!$M25&lt;&gt;"",Master!$U25 &amp; "", "")</f>
        <v/>
      </c>
    </row>
    <row r="76" spans="1:6" x14ac:dyDescent="0.25">
      <c r="A76" s="8" t="str">
        <f>IF(Master!$M48&lt;&gt;"",Master!$C48,"")</f>
        <v>Ian</v>
      </c>
      <c r="B76" s="8" t="str">
        <f>IF(Master!$M48&lt;&gt;"",Master!$D48,"")</f>
        <v>Davis</v>
      </c>
      <c r="C76" s="8" t="str">
        <f>IF(Master!$M48&lt;&gt;"",Master!$M48,"")</f>
        <v>Kickers</v>
      </c>
      <c r="D76" s="7" t="str">
        <f>IF(Master!$M48&lt;&gt;"",Master!$S48 &amp; "", "")</f>
        <v>AXL</v>
      </c>
      <c r="E76" s="7" t="str">
        <f>IF(Master!$M48&lt;&gt;"",Master!$T48 &amp; "", "")</f>
        <v>AS</v>
      </c>
      <c r="F76" s="7" t="str">
        <f>IF(Master!$M48&lt;&gt;"",Master!$U48 &amp; "", "")</f>
        <v>L</v>
      </c>
    </row>
    <row r="77" spans="1:6" x14ac:dyDescent="0.25">
      <c r="A77" s="8" t="str">
        <f>IF(Master!$M60&lt;&gt;"",Master!$C60,"")</f>
        <v>Leighton</v>
      </c>
      <c r="B77" s="8" t="str">
        <f>IF(Master!$M60&lt;&gt;"",Master!$D60,"")</f>
        <v>Ellinger</v>
      </c>
      <c r="C77" s="8" t="str">
        <f>IF(Master!$M60&lt;&gt;"",Master!$M60,"")</f>
        <v>Kickers</v>
      </c>
      <c r="D77" s="7" t="str">
        <f>IF(Master!$M60&lt;&gt;"",Master!$S60 &amp; "", "")</f>
        <v>AM</v>
      </c>
      <c r="E77" s="7" t="str">
        <f>IF(Master!$M60&lt;&gt;"",Master!$T60 &amp; "", "")</f>
        <v>M</v>
      </c>
      <c r="F77" s="7" t="str">
        <f>IF(Master!$M60&lt;&gt;"",Master!$U60 &amp; "", "")</f>
        <v>M</v>
      </c>
    </row>
    <row r="78" spans="1:6" x14ac:dyDescent="0.25">
      <c r="A78" s="8" t="str">
        <f>IF(Master!$M81&lt;&gt;"",Master!$C81,"")</f>
        <v>Matthew</v>
      </c>
      <c r="B78" s="8" t="str">
        <f>IF(Master!$M81&lt;&gt;"",Master!$D81,"")</f>
        <v>Greely</v>
      </c>
      <c r="C78" s="8" t="str">
        <f>IF(Master!$M81&lt;&gt;"",Master!$M81,"")</f>
        <v>Kickers</v>
      </c>
      <c r="D78" s="7" t="str">
        <f>IF(Master!$M81&lt;&gt;"",Master!$S81 &amp; "", "")</f>
        <v>AXL</v>
      </c>
      <c r="E78" s="7" t="str">
        <f>IF(Master!$M81&lt;&gt;"",Master!$T81 &amp; "", "")</f>
        <v>AL</v>
      </c>
      <c r="F78" s="7" t="str">
        <f>IF(Master!$M81&lt;&gt;"",Master!$U81 &amp; "", "")</f>
        <v>L</v>
      </c>
    </row>
    <row r="79" spans="1:6" x14ac:dyDescent="0.25">
      <c r="A79" s="8" t="str">
        <f>IF(Master!$M94&lt;&gt;"",Master!$C94,"")</f>
        <v>Alexander</v>
      </c>
      <c r="B79" s="8" t="str">
        <f>IF(Master!$M94&lt;&gt;"",Master!$D94,"")</f>
        <v>Holecek</v>
      </c>
      <c r="C79" s="8" t="str">
        <f>IF(Master!$M94&lt;&gt;"",Master!$M94,"")</f>
        <v>Kickers</v>
      </c>
      <c r="D79" s="7" t="str">
        <f>IF(Master!$M94&lt;&gt;"",Master!$S94 &amp; "", "")</f>
        <v>AS</v>
      </c>
      <c r="E79" s="7" t="str">
        <f>IF(Master!$M94&lt;&gt;"",Master!$T94 &amp; "", "")</f>
        <v/>
      </c>
      <c r="F79" s="7" t="str">
        <f>IF(Master!$M94&lt;&gt;"",Master!$U94 &amp; "", "")</f>
        <v/>
      </c>
    </row>
    <row r="80" spans="1:6" x14ac:dyDescent="0.25">
      <c r="A80" s="8" t="str">
        <f>IF(Master!$M105&lt;&gt;"",Master!$C105,"")</f>
        <v>Sophie</v>
      </c>
      <c r="B80" s="8" t="str">
        <f>IF(Master!$M105&lt;&gt;"",Master!$D105,"")</f>
        <v>Jackson</v>
      </c>
      <c r="C80" s="8" t="str">
        <f>IF(Master!$M105&lt;&gt;"",Master!$M105,"")</f>
        <v>Kickers</v>
      </c>
      <c r="D80" s="7" t="str">
        <f>IF(Master!$M105&lt;&gt;"",Master!$S105 &amp; "", "")</f>
        <v>AXL</v>
      </c>
      <c r="E80" s="7" t="str">
        <f>IF(Master!$M105&lt;&gt;"",Master!$T105 &amp; "", "")</f>
        <v>AL</v>
      </c>
      <c r="F80" s="7" t="str">
        <f>IF(Master!$M105&lt;&gt;"",Master!$U105 &amp; "", "")</f>
        <v>L</v>
      </c>
    </row>
    <row r="81" spans="1:6" x14ac:dyDescent="0.25">
      <c r="A81" s="8" t="str">
        <f>IF(Master!$M111&lt;&gt;"",Master!$C111,"")</f>
        <v>Everett</v>
      </c>
      <c r="B81" s="8" t="str">
        <f>IF(Master!$M111&lt;&gt;"",Master!$D111,"")</f>
        <v>Jones</v>
      </c>
      <c r="C81" s="8" t="str">
        <f>IF(Master!$M111&lt;&gt;"",Master!$M111,"")</f>
        <v>Kickers</v>
      </c>
      <c r="D81" s="7" t="str">
        <f>IF(Master!$M111&lt;&gt;"",Master!$S111 &amp; "", "")</f>
        <v>A2XL</v>
      </c>
      <c r="E81" s="7" t="str">
        <f>IF(Master!$M111&lt;&gt;"",Master!$T111 &amp; "", "")</f>
        <v/>
      </c>
      <c r="F81" s="7" t="str">
        <f>IF(Master!$M111&lt;&gt;"",Master!$U111 &amp; "", "")</f>
        <v/>
      </c>
    </row>
    <row r="82" spans="1:6" x14ac:dyDescent="0.25">
      <c r="A82" s="8" t="str">
        <f>IF(Master!$M127&lt;&gt;"",Master!$C127,"")</f>
        <v>Madison</v>
      </c>
      <c r="B82" s="8" t="str">
        <f>IF(Master!$M127&lt;&gt;"",Master!$D127,"")</f>
        <v>Landers</v>
      </c>
      <c r="C82" s="8" t="str">
        <f>IF(Master!$M127&lt;&gt;"",Master!$M127,"")</f>
        <v>Kickers</v>
      </c>
      <c r="D82" s="7" t="str">
        <f>IF(Master!$M127&lt;&gt;"",Master!$S127 &amp; "", "")</f>
        <v>AM</v>
      </c>
      <c r="E82" s="7" t="str">
        <f>IF(Master!$M127&lt;&gt;"",Master!$T127 &amp; "", "")</f>
        <v>AS</v>
      </c>
      <c r="F82" s="7" t="str">
        <f>IF(Master!$M127&lt;&gt;"",Master!$U127 &amp; "", "")</f>
        <v xml:space="preserve"> </v>
      </c>
    </row>
    <row r="83" spans="1:6" x14ac:dyDescent="0.25">
      <c r="A83" s="8" t="str">
        <f>IF(Master!$M164&lt;&gt;"",Master!$C164,"")</f>
        <v>Gemma</v>
      </c>
      <c r="B83" s="8" t="str">
        <f>IF(Master!$M164&lt;&gt;"",Master!$D164,"")</f>
        <v>Nessler</v>
      </c>
      <c r="C83" s="8" t="str">
        <f>IF(Master!$M164&lt;&gt;"",Master!$M164,"")</f>
        <v>Kickers</v>
      </c>
      <c r="D83" s="7" t="str">
        <f>IF(Master!$M164&lt;&gt;"",Master!$S164 &amp; "", "")</f>
        <v>AL</v>
      </c>
      <c r="E83" s="7" t="str">
        <f>IF(Master!$M164&lt;&gt;"",Master!$T164 &amp; "", "")</f>
        <v>YL</v>
      </c>
      <c r="F83" s="7" t="str">
        <f>IF(Master!$M164&lt;&gt;"",Master!$U164 &amp; "", "")</f>
        <v>M</v>
      </c>
    </row>
    <row r="84" spans="1:6" x14ac:dyDescent="0.25">
      <c r="A84" s="8" t="str">
        <f>IF(Master!$M166&lt;&gt;"",Master!$C166,"")</f>
        <v>Patrick</v>
      </c>
      <c r="B84" s="8" t="str">
        <f>IF(Master!$M166&lt;&gt;"",Master!$D166,"")</f>
        <v>O'Brien</v>
      </c>
      <c r="C84" s="8" t="str">
        <f>IF(Master!$M166&lt;&gt;"",Master!$M166,"")</f>
        <v>Kickers</v>
      </c>
      <c r="D84" s="7" t="str">
        <f>IF(Master!$M166&lt;&gt;"",Master!$S166 &amp; "", "")</f>
        <v>AS</v>
      </c>
      <c r="E84" s="7" t="str">
        <f>IF(Master!$M166&lt;&gt;"",Master!$T166 &amp; "", "")</f>
        <v>YM</v>
      </c>
      <c r="F84" s="7" t="str">
        <f>IF(Master!$M166&lt;&gt;"",Master!$U166 &amp; "", "")</f>
        <v>M</v>
      </c>
    </row>
    <row r="85" spans="1:6" x14ac:dyDescent="0.25">
      <c r="A85" s="8" t="str">
        <f>IF(Master!$M176&lt;&gt;"",Master!$C176,"")</f>
        <v>Kylie</v>
      </c>
      <c r="B85" s="8" t="str">
        <f>IF(Master!$M176&lt;&gt;"",Master!$D176,"")</f>
        <v>Peters</v>
      </c>
      <c r="C85" s="8" t="str">
        <f>IF(Master!$M176&lt;&gt;"",Master!$M176,"")</f>
        <v>Kickers</v>
      </c>
      <c r="D85" s="7" t="str">
        <f>IF(Master!$M176&lt;&gt;"",Master!$S176 &amp; "", "")</f>
        <v>AL</v>
      </c>
      <c r="E85" s="7" t="str">
        <f>IF(Master!$M176&lt;&gt;"",Master!$T176 &amp; "", "")</f>
        <v/>
      </c>
      <c r="F85" s="7" t="str">
        <f>IF(Master!$M176&lt;&gt;"",Master!$U176 &amp; "", "")</f>
        <v/>
      </c>
    </row>
    <row r="86" spans="1:6" x14ac:dyDescent="0.25">
      <c r="A86" s="8" t="str">
        <f>IF(Master!$M185&lt;&gt;"",Master!$C185,"")</f>
        <v>Breyshun</v>
      </c>
      <c r="B86" s="8" t="str">
        <f>IF(Master!$M185&lt;&gt;"",Master!$D185,"")</f>
        <v>Price</v>
      </c>
      <c r="C86" s="8" t="str">
        <f>IF(Master!$M185&lt;&gt;"",Master!$M185,"")</f>
        <v>Kickers</v>
      </c>
      <c r="D86" s="7" t="str">
        <f>IF(Master!$M185&lt;&gt;"",Master!$S185 &amp; "", "")</f>
        <v>AXL</v>
      </c>
      <c r="E86" s="7" t="str">
        <f>IF(Master!$M185&lt;&gt;"",Master!$T185 &amp; "", "")</f>
        <v/>
      </c>
      <c r="F86" s="7" t="str">
        <f>IF(Master!$M185&lt;&gt;"",Master!$U185 &amp; "", "")</f>
        <v/>
      </c>
    </row>
    <row r="87" spans="1:6" x14ac:dyDescent="0.25">
      <c r="A87" s="8" t="str">
        <f>IF(Master!$M225&lt;&gt;"",Master!$C225,"")</f>
        <v>Zac</v>
      </c>
      <c r="B87" s="8" t="str">
        <f>IF(Master!$M225&lt;&gt;"",Master!$D225,"")</f>
        <v>Sparks</v>
      </c>
      <c r="C87" s="8" t="str">
        <f>IF(Master!$M225&lt;&gt;"",Master!$M225,"")</f>
        <v>Kickers</v>
      </c>
      <c r="D87" s="7" t="str">
        <f>IF(Master!$M225&lt;&gt;"",Master!$S225 &amp; "", "")</f>
        <v>AL</v>
      </c>
      <c r="E87" s="7" t="str">
        <f>IF(Master!$M225&lt;&gt;"",Master!$T225 &amp; "", "")</f>
        <v>AM</v>
      </c>
      <c r="F87" s="7" t="str">
        <f>IF(Master!$M225&lt;&gt;"",Master!$U225 &amp; "", "")</f>
        <v>M</v>
      </c>
    </row>
    <row r="88" spans="1:6" x14ac:dyDescent="0.25">
      <c r="A88" s="8" t="str">
        <f>IF(Master!$M234&lt;&gt;"",Master!$C234,"")</f>
        <v>Jack</v>
      </c>
      <c r="B88" s="8" t="str">
        <f>IF(Master!$M234&lt;&gt;"",Master!$D234,"")</f>
        <v>Tittle</v>
      </c>
      <c r="C88" s="8" t="str">
        <f>IF(Master!$M234&lt;&gt;"",Master!$M234,"")</f>
        <v>Kickers</v>
      </c>
      <c r="D88" s="7" t="str">
        <f>IF(Master!$M234&lt;&gt;"",Master!$S234 &amp; "", "")</f>
        <v>YXL</v>
      </c>
      <c r="E88" s="7" t="str">
        <f>IF(Master!$M234&lt;&gt;"",Master!$T234 &amp; "", "")</f>
        <v xml:space="preserve"> </v>
      </c>
      <c r="F88" s="7" t="str">
        <f>IF(Master!$M234&lt;&gt;"",Master!$U234 &amp; "", "")</f>
        <v>L</v>
      </c>
    </row>
    <row r="89" spans="1:6" x14ac:dyDescent="0.25">
      <c r="A89" s="8" t="str">
        <f>IF(Master!$M240&lt;&gt;"",Master!$C240,"")</f>
        <v>Vincent</v>
      </c>
      <c r="B89" s="8" t="str">
        <f>IF(Master!$M240&lt;&gt;"",Master!$D240,"")</f>
        <v>Van Zant</v>
      </c>
      <c r="C89" s="8" t="str">
        <f>IF(Master!$M240&lt;&gt;"",Master!$M240,"")</f>
        <v>Kickers</v>
      </c>
      <c r="D89" s="7" t="str">
        <f>IF(Master!$M240&lt;&gt;"",Master!$S240 &amp; "", "")</f>
        <v>AM</v>
      </c>
      <c r="E89" s="7" t="str">
        <f>IF(Master!$M240&lt;&gt;"",Master!$T240 &amp; "", "")</f>
        <v>AS</v>
      </c>
      <c r="F89" s="7" t="str">
        <f>IF(Master!$M240&lt;&gt;"",Master!$U240 &amp; "", "")</f>
        <v>M</v>
      </c>
    </row>
    <row r="90" spans="1:6" x14ac:dyDescent="0.25">
      <c r="A90" s="8" t="str">
        <f>IF(Master!$M265&lt;&gt;"",Master!$C265,"")</f>
        <v>Andrew</v>
      </c>
      <c r="B90" s="8" t="str">
        <f>IF(Master!$M265&lt;&gt;"",Master!$D265,"")</f>
        <v>Zecchini</v>
      </c>
      <c r="C90" s="8" t="str">
        <f>IF(Master!$M265&lt;&gt;"",Master!$M265,"")</f>
        <v>Kickers</v>
      </c>
      <c r="D90" s="7" t="str">
        <f>IF(Master!$M265&lt;&gt;"",Master!$S265 &amp; "", "")</f>
        <v>AM</v>
      </c>
      <c r="E90" s="7" t="str">
        <f>IF(Master!$M265&lt;&gt;"",Master!$T265 &amp; "", "")</f>
        <v>AS</v>
      </c>
      <c r="F90" s="7" t="str">
        <f>IF(Master!$M265&lt;&gt;"",Master!$U265 &amp; "", "")</f>
        <v>M</v>
      </c>
    </row>
    <row r="91" spans="1:6" x14ac:dyDescent="0.25">
      <c r="A91" s="8" t="str">
        <f>IF(Master!$M31&lt;&gt;"",Master!$C31,"")</f>
        <v>Benny</v>
      </c>
      <c r="B91" s="8" t="str">
        <f>IF(Master!$M31&lt;&gt;"",Master!$D31,"")</f>
        <v>Calcutta</v>
      </c>
      <c r="C91" s="8" t="str">
        <f>IF(Master!$M31&lt;&gt;"",Master!$M31,"")</f>
        <v>Passers</v>
      </c>
      <c r="D91" s="7" t="str">
        <f>IF(Master!$M31&lt;&gt;"",Master!$S31 &amp; "", "")</f>
        <v>AM</v>
      </c>
      <c r="E91" s="7" t="str">
        <f>IF(Master!$M31&lt;&gt;"",Master!$T31 &amp; "", "")</f>
        <v>AS</v>
      </c>
      <c r="F91" s="7" t="str">
        <f>IF(Master!$M31&lt;&gt;"",Master!$U31 &amp; "", "")</f>
        <v>L</v>
      </c>
    </row>
    <row r="92" spans="1:6" x14ac:dyDescent="0.25">
      <c r="A92" s="8" t="str">
        <f>IF(Master!$M35&lt;&gt;"",Master!$C35,"")</f>
        <v>Jackson</v>
      </c>
      <c r="B92" s="8" t="str">
        <f>IF(Master!$M35&lt;&gt;"",Master!$D35,"")</f>
        <v>Chockey</v>
      </c>
      <c r="C92" s="8" t="str">
        <f>IF(Master!$M35&lt;&gt;"",Master!$M35,"")</f>
        <v>Passers</v>
      </c>
      <c r="D92" s="7" t="str">
        <f>IF(Master!$M35&lt;&gt;"",Master!$S35 &amp; "", "")</f>
        <v>AL</v>
      </c>
      <c r="E92" s="7" t="str">
        <f>IF(Master!$M35&lt;&gt;"",Master!$T35 &amp; "", "")</f>
        <v/>
      </c>
      <c r="F92" s="7" t="str">
        <f>IF(Master!$M35&lt;&gt;"",Master!$U35 &amp; "", "")</f>
        <v/>
      </c>
    </row>
    <row r="93" spans="1:6" x14ac:dyDescent="0.25">
      <c r="A93" s="8" t="str">
        <f>IF(Master!$M37&lt;&gt;"",Master!$C37,"")</f>
        <v>Emma</v>
      </c>
      <c r="B93" s="8" t="str">
        <f>IF(Master!$M37&lt;&gt;"",Master!$D37,"")</f>
        <v>Cloyes</v>
      </c>
      <c r="C93" s="8" t="str">
        <f>IF(Master!$M37&lt;&gt;"",Master!$M37,"")</f>
        <v>Passers</v>
      </c>
      <c r="D93" s="7" t="str">
        <f>IF(Master!$M37&lt;&gt;"",Master!$S37 &amp; "", "")</f>
        <v>AXL</v>
      </c>
      <c r="E93" s="7" t="str">
        <f>IF(Master!$M37&lt;&gt;"",Master!$T37 &amp; "", "")</f>
        <v>AL</v>
      </c>
      <c r="F93" s="7" t="str">
        <f>IF(Master!$M37&lt;&gt;"",Master!$U37 &amp; "", "")</f>
        <v>L</v>
      </c>
    </row>
    <row r="94" spans="1:6" x14ac:dyDescent="0.25">
      <c r="A94" s="8" t="str">
        <f>IF(Master!$M42&lt;&gt;"",Master!$C42,"")</f>
        <v>Aiyanna</v>
      </c>
      <c r="B94" s="8" t="str">
        <f>IF(Master!$M42&lt;&gt;"",Master!$D42,"")</f>
        <v>Cornell</v>
      </c>
      <c r="C94" s="8" t="str">
        <f>IF(Master!$M42&lt;&gt;"",Master!$M42,"")</f>
        <v>Passers</v>
      </c>
      <c r="D94" s="7" t="str">
        <f>IF(Master!$M42&lt;&gt;"",Master!$S42 &amp; "", "")</f>
        <v>AS</v>
      </c>
      <c r="E94" s="7" t="str">
        <f>IF(Master!$M42&lt;&gt;"",Master!$T42 &amp; "", "")</f>
        <v/>
      </c>
      <c r="F94" s="7" t="str">
        <f>IF(Master!$M42&lt;&gt;"",Master!$U42 &amp; "", "")</f>
        <v/>
      </c>
    </row>
    <row r="95" spans="1:6" x14ac:dyDescent="0.25">
      <c r="A95" s="8" t="str">
        <f>IF(Master!$M57&lt;&gt;"",Master!$C57,"")</f>
        <v>Will</v>
      </c>
      <c r="B95" s="8" t="str">
        <f>IF(Master!$M57&lt;&gt;"",Master!$D57,"")</f>
        <v>Drerup</v>
      </c>
      <c r="C95" s="8" t="str">
        <f>IF(Master!$M57&lt;&gt;"",Master!$M57,"")</f>
        <v>Passers</v>
      </c>
      <c r="D95" s="7" t="str">
        <f>IF(Master!$M57&lt;&gt;"",Master!$S57 &amp; "", "")</f>
        <v>A4XL</v>
      </c>
      <c r="E95" s="7" t="str">
        <f>IF(Master!$M57&lt;&gt;"",Master!$T57 &amp; "", "")</f>
        <v>AXL</v>
      </c>
      <c r="F95" s="7" t="str">
        <f>IF(Master!$M57&lt;&gt;"",Master!$U57 &amp; "", "")</f>
        <v/>
      </c>
    </row>
    <row r="96" spans="1:6" x14ac:dyDescent="0.25">
      <c r="A96" s="8" t="str">
        <f>IF(Master!$M76&lt;&gt;"",Master!$C76,"")</f>
        <v>Avery</v>
      </c>
      <c r="B96" s="8" t="str">
        <f>IF(Master!$M76&lt;&gt;"",Master!$D76,"")</f>
        <v>Gillette</v>
      </c>
      <c r="C96" s="8" t="str">
        <f>IF(Master!$M76&lt;&gt;"",Master!$M76,"")</f>
        <v>Passers</v>
      </c>
      <c r="D96" s="7" t="str">
        <f>IF(Master!$M76&lt;&gt;"",Master!$S76 &amp; "", "")</f>
        <v>A3XL</v>
      </c>
      <c r="E96" s="7" t="str">
        <f>IF(Master!$M76&lt;&gt;"",Master!$T76 &amp; "", "")</f>
        <v xml:space="preserve"> </v>
      </c>
      <c r="F96" s="7" t="str">
        <f>IF(Master!$M76&lt;&gt;"",Master!$U76 &amp; "", "")</f>
        <v xml:space="preserve"> </v>
      </c>
    </row>
    <row r="97" spans="1:6" x14ac:dyDescent="0.25">
      <c r="A97" s="8" t="str">
        <f>IF(Master!$M78&lt;&gt;"",Master!$C78,"")</f>
        <v>Killian</v>
      </c>
      <c r="B97" s="8" t="str">
        <f>IF(Master!$M78&lt;&gt;"",Master!$D78,"")</f>
        <v>Gillette</v>
      </c>
      <c r="C97" s="8" t="str">
        <f>IF(Master!$M78&lt;&gt;"",Master!$M78,"")</f>
        <v>Passers</v>
      </c>
      <c r="D97" s="7" t="str">
        <f>IF(Master!$M78&lt;&gt;"",Master!$S78 &amp; "", "")</f>
        <v>A4XL</v>
      </c>
      <c r="E97" s="7" t="str">
        <f>IF(Master!$M78&lt;&gt;"",Master!$T78 &amp; "", "")</f>
        <v xml:space="preserve"> </v>
      </c>
      <c r="F97" s="7" t="str">
        <f>IF(Master!$M78&lt;&gt;"",Master!$U78 &amp; "", "")</f>
        <v xml:space="preserve"> </v>
      </c>
    </row>
    <row r="98" spans="1:6" x14ac:dyDescent="0.25">
      <c r="A98" s="8" t="str">
        <f>IF(Master!$M115&lt;&gt;"",Master!$C115,"")</f>
        <v>Diane Georgia</v>
      </c>
      <c r="B98" s="8" t="str">
        <f>IF(Master!$M115&lt;&gt;"",Master!$D115,"")</f>
        <v>Kesner</v>
      </c>
      <c r="C98" s="8" t="str">
        <f>IF(Master!$M115&lt;&gt;"",Master!$M115,"")</f>
        <v>Passers</v>
      </c>
      <c r="D98" s="7" t="str">
        <f>IF(Master!$M115&lt;&gt;"",Master!$S115 &amp; "", "")</f>
        <v>AXL</v>
      </c>
      <c r="E98" s="7" t="str">
        <f>IF(Master!$M115&lt;&gt;"",Master!$T115 &amp; "", "")</f>
        <v>AL</v>
      </c>
      <c r="F98" s="7" t="str">
        <f>IF(Master!$M115&lt;&gt;"",Master!$U115 &amp; "", "")</f>
        <v>L</v>
      </c>
    </row>
    <row r="99" spans="1:6" x14ac:dyDescent="0.25">
      <c r="A99" s="8" t="str">
        <f>IF(Master!$M143&lt;&gt;"",Master!$C143,"")</f>
        <v>Ian</v>
      </c>
      <c r="B99" s="8" t="str">
        <f>IF(Master!$M143&lt;&gt;"",Master!$D143,"")</f>
        <v>Mauersberg</v>
      </c>
      <c r="C99" s="8" t="str">
        <f>IF(Master!$M143&lt;&gt;"",Master!$M143,"")</f>
        <v>Passers</v>
      </c>
      <c r="D99" s="7" t="str">
        <f>IF(Master!$M143&lt;&gt;"",Master!$S143 &amp; "", "")</f>
        <v>AL</v>
      </c>
      <c r="E99" s="7" t="str">
        <f>IF(Master!$M143&lt;&gt;"",Master!$T143 &amp; "", "")</f>
        <v>AL</v>
      </c>
      <c r="F99" s="7" t="str">
        <f>IF(Master!$M143&lt;&gt;"",Master!$U143 &amp; "", "")</f>
        <v>L</v>
      </c>
    </row>
    <row r="100" spans="1:6" x14ac:dyDescent="0.25">
      <c r="A100" s="8" t="str">
        <f>IF(Master!$M144&lt;&gt;"",Master!$C144,"")</f>
        <v>Carly</v>
      </c>
      <c r="B100" s="8" t="str">
        <f>IF(Master!$M144&lt;&gt;"",Master!$D144,"")</f>
        <v>McCall</v>
      </c>
      <c r="C100" s="8" t="str">
        <f>IF(Master!$M144&lt;&gt;"",Master!$M144,"")</f>
        <v>Passers</v>
      </c>
      <c r="D100" s="7" t="str">
        <f>IF(Master!$M144&lt;&gt;"",Master!$S144 &amp; "", "")</f>
        <v>AL</v>
      </c>
      <c r="E100" s="7" t="str">
        <f>IF(Master!$M144&lt;&gt;"",Master!$T144 &amp; "", "")</f>
        <v>YL</v>
      </c>
      <c r="F100" s="7" t="str">
        <f>IF(Master!$M144&lt;&gt;"",Master!$U144 &amp; "", "")</f>
        <v>S</v>
      </c>
    </row>
    <row r="101" spans="1:6" x14ac:dyDescent="0.25">
      <c r="A101" s="8" t="str">
        <f>IF(Master!$M151&lt;&gt;"",Master!$C151,"")</f>
        <v>Hudsen</v>
      </c>
      <c r="B101" s="8" t="str">
        <f>IF(Master!$M151&lt;&gt;"",Master!$D151,"")</f>
        <v>Millen</v>
      </c>
      <c r="C101" s="8" t="str">
        <f>IF(Master!$M151&lt;&gt;"",Master!$M151,"")</f>
        <v>Passers</v>
      </c>
      <c r="D101" s="7" t="str">
        <f>IF(Master!$M151&lt;&gt;"",Master!$S151 &amp; "", "")</f>
        <v>A2XL</v>
      </c>
      <c r="E101" s="7" t="str">
        <f>IF(Master!$M151&lt;&gt;"",Master!$T151 &amp; "", "")</f>
        <v>AXL</v>
      </c>
      <c r="F101" s="7" t="str">
        <f>IF(Master!$M151&lt;&gt;"",Master!$U151 &amp; "", "")</f>
        <v>L</v>
      </c>
    </row>
    <row r="102" spans="1:6" x14ac:dyDescent="0.25">
      <c r="A102" s="8" t="str">
        <f>IF(Master!$M153&lt;&gt;"",Master!$C153,"")</f>
        <v>Alan</v>
      </c>
      <c r="B102" s="8" t="str">
        <f>IF(Master!$M153&lt;&gt;"",Master!$D153,"")</f>
        <v>Millhouse</v>
      </c>
      <c r="C102" s="8" t="str">
        <f>IF(Master!$M153&lt;&gt;"",Master!$M153,"")</f>
        <v>Passers</v>
      </c>
      <c r="D102" s="7" t="str">
        <f>IF(Master!$M153&lt;&gt;"",Master!$S153 &amp; "", "")</f>
        <v>AM</v>
      </c>
      <c r="E102" s="7" t="str">
        <f>IF(Master!$M153&lt;&gt;"",Master!$T153 &amp; "", "")</f>
        <v>AM</v>
      </c>
      <c r="F102" s="7" t="str">
        <f>IF(Master!$M153&lt;&gt;"",Master!$U153 &amp; "", "")</f>
        <v>M</v>
      </c>
    </row>
    <row r="103" spans="1:6" x14ac:dyDescent="0.25">
      <c r="A103" s="8" t="str">
        <f>IF(Master!$M209&lt;&gt;"",Master!$C209,"")</f>
        <v>Calvin</v>
      </c>
      <c r="B103" s="8" t="str">
        <f>IF(Master!$M209&lt;&gt;"",Master!$D209,"")</f>
        <v>Schneider</v>
      </c>
      <c r="C103" s="8" t="str">
        <f>IF(Master!$M209&lt;&gt;"",Master!$M209,"")</f>
        <v>Passers</v>
      </c>
      <c r="D103" s="7" t="str">
        <f>IF(Master!$M209&lt;&gt;"",Master!$S209 &amp; "", "")</f>
        <v>AL</v>
      </c>
      <c r="E103" s="7" t="str">
        <f>IF(Master!$M209&lt;&gt;"",Master!$T209 &amp; "", "")</f>
        <v>AM</v>
      </c>
      <c r="F103" s="7" t="str">
        <f>IF(Master!$M209&lt;&gt;"",Master!$U209 &amp; "", "")</f>
        <v>L</v>
      </c>
    </row>
    <row r="104" spans="1:6" x14ac:dyDescent="0.25">
      <c r="A104" s="8" t="str">
        <f>IF(Master!$M210&lt;&gt;"",Master!$C210,"")</f>
        <v>Nate</v>
      </c>
      <c r="B104" s="8" t="str">
        <f>IF(Master!$M210&lt;&gt;"",Master!$D210,"")</f>
        <v>Schreck</v>
      </c>
      <c r="C104" s="8" t="str">
        <f>IF(Master!$M210&lt;&gt;"",Master!$M210,"")</f>
        <v>Passers</v>
      </c>
      <c r="D104" s="7" t="str">
        <f>IF(Master!$M210&lt;&gt;"",Master!$S210 &amp; "", "")</f>
        <v>A2XL</v>
      </c>
      <c r="E104" s="7" t="str">
        <f>IF(Master!$M210&lt;&gt;"",Master!$T210 &amp; "", "")</f>
        <v>AXL</v>
      </c>
      <c r="F104" s="7" t="str">
        <f>IF(Master!$M210&lt;&gt;"",Master!$U210 &amp; "", "")</f>
        <v>L</v>
      </c>
    </row>
    <row r="105" spans="1:6" x14ac:dyDescent="0.25">
      <c r="A105" s="8" t="str">
        <f>IF(Master!$M230&lt;&gt;"",Master!$C230,"")</f>
        <v>Luke</v>
      </c>
      <c r="B105" s="8" t="str">
        <f>IF(Master!$M230&lt;&gt;"",Master!$D230,"")</f>
        <v>Struble</v>
      </c>
      <c r="C105" s="8" t="str">
        <f>IF(Master!$M230&lt;&gt;"",Master!$M230,"")</f>
        <v>Passers</v>
      </c>
      <c r="D105" s="7" t="str">
        <f>IF(Master!$M230&lt;&gt;"",Master!$S230 &amp; "", "")</f>
        <v>AL</v>
      </c>
      <c r="E105" s="7" t="str">
        <f>IF(Master!$M230&lt;&gt;"",Master!$T230 &amp; "", "")</f>
        <v>AM</v>
      </c>
      <c r="F105" s="7" t="str">
        <f>IF(Master!$M230&lt;&gt;"",Master!$U230 &amp; "", "")</f>
        <v>M</v>
      </c>
    </row>
    <row r="106" spans="1:6" x14ac:dyDescent="0.25">
      <c r="A106" s="8" t="str">
        <f>IF(Master!$M243&lt;&gt;"",Master!$C243,"")</f>
        <v>Dominic</v>
      </c>
      <c r="B106" s="8" t="str">
        <f>IF(Master!$M243&lt;&gt;"",Master!$D243,"")</f>
        <v>Vorrasi</v>
      </c>
      <c r="C106" s="8" t="str">
        <f>IF(Master!$M243&lt;&gt;"",Master!$M243,"")</f>
        <v>Passers</v>
      </c>
      <c r="D106" s="7" t="str">
        <f>IF(Master!$M243&lt;&gt;"",Master!$S243 &amp; "", "")</f>
        <v>AXL</v>
      </c>
      <c r="E106" s="7" t="str">
        <f>IF(Master!$M243&lt;&gt;"",Master!$T243 &amp; "", "")</f>
        <v>AL</v>
      </c>
      <c r="F106" s="7" t="str">
        <f>IF(Master!$M243&lt;&gt;"",Master!$U243 &amp; "", "")</f>
        <v>L</v>
      </c>
    </row>
    <row r="107" spans="1:6" x14ac:dyDescent="0.25">
      <c r="A107" s="8" t="str">
        <f>IF(Master!$M253&lt;&gt;"",Master!$C253,"")</f>
        <v>Grayson</v>
      </c>
      <c r="B107" s="8" t="str">
        <f>IF(Master!$M253&lt;&gt;"",Master!$D253,"")</f>
        <v>Willis</v>
      </c>
      <c r="C107" s="8" t="str">
        <f>IF(Master!$M253&lt;&gt;"",Master!$M253,"")</f>
        <v>Passers</v>
      </c>
      <c r="D107" s="7" t="str">
        <f>IF(Master!$M253&lt;&gt;"",Master!$S253 &amp; "", "")</f>
        <v>AM</v>
      </c>
      <c r="E107" s="7" t="str">
        <f>IF(Master!$M253&lt;&gt;"",Master!$T253 &amp; "", "")</f>
        <v/>
      </c>
      <c r="F107" s="7" t="str">
        <f>IF(Master!$M253&lt;&gt;"",Master!$U253 &amp; "", "")</f>
        <v/>
      </c>
    </row>
    <row r="108" spans="1:6" x14ac:dyDescent="0.25">
      <c r="A108" s="8" t="str">
        <f>IF(Master!$M40&lt;&gt;"",Master!$C40,"")</f>
        <v>Steven</v>
      </c>
      <c r="B108" s="8" t="str">
        <f>IF(Master!$M40&lt;&gt;"",Master!$D40,"")</f>
        <v>Conlee</v>
      </c>
      <c r="C108" s="8" t="str">
        <f>IF(Master!$M40&lt;&gt;"",Master!$M40,"")</f>
        <v>Strikers</v>
      </c>
      <c r="D108" s="7" t="str">
        <f>IF(Master!$M40&lt;&gt;"",Master!$S40 &amp; "", "")</f>
        <v>AL</v>
      </c>
      <c r="E108" s="7" t="str">
        <f>IF(Master!$M40&lt;&gt;"",Master!$T40 &amp; "", "")</f>
        <v>AL</v>
      </c>
      <c r="F108" s="7" t="str">
        <f>IF(Master!$M40&lt;&gt;"",Master!$U40 &amp; "", "")</f>
        <v>L</v>
      </c>
    </row>
    <row r="109" spans="1:6" x14ac:dyDescent="0.25">
      <c r="A109" s="8" t="str">
        <f>IF(Master!$M44&lt;&gt;"",Master!$C44,"")</f>
        <v>Andrew</v>
      </c>
      <c r="B109" s="8" t="str">
        <f>IF(Master!$M44&lt;&gt;"",Master!$D44,"")</f>
        <v>Crosby</v>
      </c>
      <c r="C109" s="8" t="str">
        <f>IF(Master!$M44&lt;&gt;"",Master!$M44,"")</f>
        <v>Strikers</v>
      </c>
      <c r="D109" s="7" t="str">
        <f>IF(Master!$M44&lt;&gt;"",Master!$S44 &amp; "", "")</f>
        <v>A3XL</v>
      </c>
      <c r="E109" s="7" t="str">
        <f>IF(Master!$M44&lt;&gt;"",Master!$T44 &amp; "", "")</f>
        <v/>
      </c>
      <c r="F109" s="7" t="str">
        <f>IF(Master!$M44&lt;&gt;"",Master!$U44 &amp; "", "")</f>
        <v/>
      </c>
    </row>
    <row r="110" spans="1:6" x14ac:dyDescent="0.25">
      <c r="A110" s="8" t="str">
        <f>IF(Master!$M56&lt;&gt;"",Master!$C56,"")</f>
        <v>Laura</v>
      </c>
      <c r="B110" s="8" t="str">
        <f>IF(Master!$M56&lt;&gt;"",Master!$D56,"")</f>
        <v>Doroh</v>
      </c>
      <c r="C110" s="8" t="str">
        <f>IF(Master!$M56&lt;&gt;"",Master!$M56,"")</f>
        <v>Strikers</v>
      </c>
      <c r="D110" s="7" t="str">
        <f>IF(Master!$M56&lt;&gt;"",Master!$S56 &amp; "", "")</f>
        <v>AM</v>
      </c>
      <c r="E110" s="7" t="str">
        <f>IF(Master!$M56&lt;&gt;"",Master!$T56 &amp; "", "")</f>
        <v/>
      </c>
      <c r="F110" s="7" t="str">
        <f>IF(Master!$M56&lt;&gt;"",Master!$U56 &amp; "", "")</f>
        <v/>
      </c>
    </row>
    <row r="111" spans="1:6" x14ac:dyDescent="0.25">
      <c r="A111" s="8" t="str">
        <f>IF(Master!$M58&lt;&gt;"",Master!$C58,"")</f>
        <v>Nick</v>
      </c>
      <c r="B111" s="8" t="str">
        <f>IF(Master!$M58&lt;&gt;"",Master!$D58,"")</f>
        <v>Drewry</v>
      </c>
      <c r="C111" s="8" t="str">
        <f>IF(Master!$M58&lt;&gt;"",Master!$M58,"")</f>
        <v>Strikers</v>
      </c>
      <c r="D111" s="7" t="str">
        <f>IF(Master!$M58&lt;&gt;"",Master!$S58 &amp; "", "")</f>
        <v>A2XL</v>
      </c>
      <c r="E111" s="7" t="str">
        <f>IF(Master!$M58&lt;&gt;"",Master!$T58 &amp; "", "")</f>
        <v>AL</v>
      </c>
      <c r="F111" s="7" t="str">
        <f>IF(Master!$M58&lt;&gt;"",Master!$U58 &amp; "", "")</f>
        <v>L</v>
      </c>
    </row>
    <row r="112" spans="1:6" x14ac:dyDescent="0.25">
      <c r="A112" s="8" t="str">
        <f>IF(Master!$M59&lt;&gt;"",Master!$C59,"")</f>
        <v>Jack</v>
      </c>
      <c r="B112" s="8" t="str">
        <f>IF(Master!$M59&lt;&gt;"",Master!$D59,"")</f>
        <v>Duckro</v>
      </c>
      <c r="C112" s="8" t="str">
        <f>IF(Master!$M59&lt;&gt;"",Master!$M59,"")</f>
        <v>Strikers</v>
      </c>
      <c r="D112" s="7" t="str">
        <f>IF(Master!$M59&lt;&gt;"",Master!$S59 &amp; "", "")</f>
        <v>AL</v>
      </c>
      <c r="E112" s="7" t="str">
        <f>IF(Master!$M59&lt;&gt;"",Master!$T59 &amp; "", "")</f>
        <v/>
      </c>
      <c r="F112" s="7" t="str">
        <f>IF(Master!$M59&lt;&gt;"",Master!$U59 &amp; "", "")</f>
        <v/>
      </c>
    </row>
    <row r="113" spans="1:6" x14ac:dyDescent="0.25">
      <c r="A113" s="8" t="str">
        <f>IF(Master!$M67&lt;&gt;"",Master!$C67,"")</f>
        <v>Tracie</v>
      </c>
      <c r="B113" s="8" t="str">
        <f>IF(Master!$M67&lt;&gt;"",Master!$D67,"")</f>
        <v>Ferrara</v>
      </c>
      <c r="C113" s="8" t="str">
        <f>IF(Master!$M67&lt;&gt;"",Master!$M67,"")</f>
        <v>Strikers</v>
      </c>
      <c r="D113" s="7" t="str">
        <f>IF(Master!$M67&lt;&gt;"",Master!$S67 &amp; "", "")</f>
        <v>AM</v>
      </c>
      <c r="E113" s="7" t="str">
        <f>IF(Master!$M67&lt;&gt;"",Master!$T67 &amp; "", "")</f>
        <v/>
      </c>
      <c r="F113" s="7" t="str">
        <f>IF(Master!$M67&lt;&gt;"",Master!$U67 &amp; "", "")</f>
        <v>M</v>
      </c>
    </row>
    <row r="114" spans="1:6" x14ac:dyDescent="0.25">
      <c r="A114" s="8" t="str">
        <f>IF(Master!$M91&lt;&gt;"",Master!$C91,"")</f>
        <v>Cody</v>
      </c>
      <c r="B114" s="8" t="str">
        <f>IF(Master!$M91&lt;&gt;"",Master!$D91,"")</f>
        <v>Heyne</v>
      </c>
      <c r="C114" s="8" t="str">
        <f>IF(Master!$M91&lt;&gt;"",Master!$M91,"")</f>
        <v>Strikers</v>
      </c>
      <c r="D114" s="7" t="str">
        <f>IF(Master!$M91&lt;&gt;"",Master!$S91 &amp; "", "")</f>
        <v>AL</v>
      </c>
      <c r="E114" s="7" t="str">
        <f>IF(Master!$M91&lt;&gt;"",Master!$T91 &amp; "", "")</f>
        <v/>
      </c>
      <c r="F114" s="7" t="str">
        <f>IF(Master!$M91&lt;&gt;"",Master!$U91 &amp; "", "")</f>
        <v/>
      </c>
    </row>
    <row r="115" spans="1:6" x14ac:dyDescent="0.25">
      <c r="A115" s="8" t="str">
        <f>IF(Master!$M92&lt;&gt;"",Master!$C92,"")</f>
        <v>Michael</v>
      </c>
      <c r="B115" s="8" t="str">
        <f>IF(Master!$M92&lt;&gt;"",Master!$D92,"")</f>
        <v>Heyne</v>
      </c>
      <c r="C115" s="8" t="str">
        <f>IF(Master!$M92&lt;&gt;"",Master!$M92,"")</f>
        <v>Strikers</v>
      </c>
      <c r="D115" s="7" t="str">
        <f>IF(Master!$M92&lt;&gt;"",Master!$S92 &amp; "", "")</f>
        <v>AXL</v>
      </c>
      <c r="E115" s="7" t="str">
        <f>IF(Master!$M92&lt;&gt;"",Master!$T92 &amp; "", "")</f>
        <v/>
      </c>
      <c r="F115" s="7" t="str">
        <f>IF(Master!$M92&lt;&gt;"",Master!$U92 &amp; "", "")</f>
        <v/>
      </c>
    </row>
    <row r="116" spans="1:6" x14ac:dyDescent="0.25">
      <c r="A116" s="8" t="str">
        <f>IF(Master!$M190&lt;&gt;"",Master!$C190,"")</f>
        <v>Nathan</v>
      </c>
      <c r="B116" s="8" t="str">
        <f>IF(Master!$M190&lt;&gt;"",Master!$D190,"")</f>
        <v>Richardson</v>
      </c>
      <c r="C116" s="8" t="str">
        <f>IF(Master!$M190&lt;&gt;"",Master!$M190,"")</f>
        <v>Strikers</v>
      </c>
      <c r="D116" s="7" t="str">
        <f>IF(Master!$M190&lt;&gt;"",Master!$S190 &amp; "", "")</f>
        <v>AXL</v>
      </c>
      <c r="E116" s="7" t="str">
        <f>IF(Master!$M190&lt;&gt;"",Master!$T190 &amp; "", "")</f>
        <v/>
      </c>
      <c r="F116" s="7" t="str">
        <f>IF(Master!$M190&lt;&gt;"",Master!$U190 &amp; "", "")</f>
        <v/>
      </c>
    </row>
    <row r="117" spans="1:6" x14ac:dyDescent="0.25">
      <c r="A117" s="8" t="str">
        <f>IF(Master!$M216&lt;&gt;"",Master!$C216,"")</f>
        <v>Anna</v>
      </c>
      <c r="B117" s="8" t="str">
        <f>IF(Master!$M216&lt;&gt;"",Master!$D216,"")</f>
        <v>Shonle</v>
      </c>
      <c r="C117" s="8" t="str">
        <f>IF(Master!$M216&lt;&gt;"",Master!$M216,"")</f>
        <v>Strikers</v>
      </c>
      <c r="D117" s="7" t="str">
        <f>IF(Master!$M216&lt;&gt;"",Master!$S216 &amp; "", "")</f>
        <v>AXL</v>
      </c>
      <c r="E117" s="7" t="str">
        <f>IF(Master!$M216&lt;&gt;"",Master!$T216 &amp; "", "")</f>
        <v/>
      </c>
      <c r="F117" s="7" t="str">
        <f>IF(Master!$M216&lt;&gt;"",Master!$U216 &amp; "", "")</f>
        <v/>
      </c>
    </row>
    <row r="118" spans="1:6" x14ac:dyDescent="0.25">
      <c r="A118" s="8" t="str">
        <f>IF(Master!$M223&lt;&gt;"",Master!$C223,"")</f>
        <v>John</v>
      </c>
      <c r="B118" s="8" t="str">
        <f>IF(Master!$M223&lt;&gt;"",Master!$D223,"")</f>
        <v>Smith</v>
      </c>
      <c r="C118" s="8" t="str">
        <f>IF(Master!$M223&lt;&gt;"",Master!$M223,"")</f>
        <v>Strikers</v>
      </c>
      <c r="D118" s="7" t="str">
        <f>IF(Master!$M223&lt;&gt;"",Master!$S223 &amp; "", "")</f>
        <v>AXL</v>
      </c>
      <c r="E118" s="7" t="str">
        <f>IF(Master!$M223&lt;&gt;"",Master!$T223 &amp; "", "")</f>
        <v>AXL</v>
      </c>
      <c r="F118" s="7" t="str">
        <f>IF(Master!$M223&lt;&gt;"",Master!$U223 &amp; "", "")</f>
        <v>L</v>
      </c>
    </row>
    <row r="119" spans="1:6" x14ac:dyDescent="0.25">
      <c r="A119" s="8" t="str">
        <f>IF(Master!$M237&lt;&gt;"",Master!$C237,"")</f>
        <v>Katie</v>
      </c>
      <c r="B119" s="8" t="str">
        <f>IF(Master!$M237&lt;&gt;"",Master!$D237,"")</f>
        <v>Turner</v>
      </c>
      <c r="C119" s="8" t="str">
        <f>IF(Master!$M237&lt;&gt;"",Master!$M237,"")</f>
        <v>Strikers</v>
      </c>
      <c r="D119" s="7" t="str">
        <f>IF(Master!$M237&lt;&gt;"",Master!$S237 &amp; "", "")</f>
        <v>AL</v>
      </c>
      <c r="E119" s="7" t="str">
        <f>IF(Master!$M237&lt;&gt;"",Master!$T237 &amp; "", "")</f>
        <v>AM</v>
      </c>
      <c r="F119" s="7" t="str">
        <f>IF(Master!$M237&lt;&gt;"",Master!$U237 &amp; "", "")</f>
        <v>M</v>
      </c>
    </row>
    <row r="120" spans="1:6" x14ac:dyDescent="0.25">
      <c r="A120" s="8" t="str">
        <f>IF(Master!$M245&lt;&gt;"",Master!$C245,"")</f>
        <v>Jacob</v>
      </c>
      <c r="B120" s="8" t="str">
        <f>IF(Master!$M245&lt;&gt;"",Master!$D245,"")</f>
        <v>Wagenbach</v>
      </c>
      <c r="C120" s="8" t="str">
        <f>IF(Master!$M245&lt;&gt;"",Master!$M245,"")</f>
        <v>Strikers</v>
      </c>
      <c r="D120" s="7" t="str">
        <f>IF(Master!$M245&lt;&gt;"",Master!$S245 &amp; "", "")</f>
        <v>AXL</v>
      </c>
      <c r="E120" s="7" t="str">
        <f>IF(Master!$M245&lt;&gt;"",Master!$T245 &amp; "", "")</f>
        <v>AL</v>
      </c>
      <c r="F120" s="7" t="str">
        <f>IF(Master!$M245&lt;&gt;"",Master!$U245 &amp; "", "")</f>
        <v>L</v>
      </c>
    </row>
    <row r="121" spans="1:6" x14ac:dyDescent="0.25">
      <c r="A121" s="8" t="str">
        <f>IF(Master!$M251&lt;&gt;"",Master!$C251,"")</f>
        <v>Anthony</v>
      </c>
      <c r="B121" s="8" t="str">
        <f>IF(Master!$M251&lt;&gt;"",Master!$D251,"")</f>
        <v>Whitaker</v>
      </c>
      <c r="C121" s="8" t="str">
        <f>IF(Master!$M251&lt;&gt;"",Master!$M251,"")</f>
        <v>Strikers</v>
      </c>
      <c r="D121" s="7" t="str">
        <f>IF(Master!$M251&lt;&gt;"",Master!$S251 &amp; "", "")</f>
        <v>AXL</v>
      </c>
      <c r="E121" s="7" t="str">
        <f>IF(Master!$M251&lt;&gt;"",Master!$T251 &amp; "", "")</f>
        <v>AL</v>
      </c>
      <c r="F121" s="7" t="str">
        <f>IF(Master!$M251&lt;&gt;"",Master!$U251 &amp; "", "")</f>
        <v>L</v>
      </c>
    </row>
    <row r="122" spans="1:6" x14ac:dyDescent="0.25">
      <c r="A122" s="8" t="str">
        <f>IF(Master!$M264&lt;&gt;"",Master!$C264,"")</f>
        <v>Karron</v>
      </c>
      <c r="B122" s="8" t="str">
        <f>IF(Master!$M264&lt;&gt;"",Master!$D264,"")</f>
        <v>Yoakum</v>
      </c>
      <c r="C122" s="8" t="str">
        <f>IF(Master!$M264&lt;&gt;"",Master!$M264,"")</f>
        <v>Strikers</v>
      </c>
      <c r="D122" s="7" t="str">
        <f>IF(Master!$M264&lt;&gt;"",Master!$S264 &amp; "", "")</f>
        <v>A2XL</v>
      </c>
      <c r="E122" s="7" t="str">
        <f>IF(Master!$M264&lt;&gt;"",Master!$T264 &amp; "", "")</f>
        <v>AXL</v>
      </c>
      <c r="F122" s="7" t="str">
        <f>IF(Master!$M264&lt;&gt;"",Master!$U264 &amp; "", "")</f>
        <v>L</v>
      </c>
    </row>
    <row r="123" spans="1:6" x14ac:dyDescent="0.25">
      <c r="A123" s="8" t="str">
        <f>IF(Master!$M22&lt;&gt;"",Master!$C22,"")</f>
        <v>Aaron</v>
      </c>
      <c r="B123" s="8" t="str">
        <f>IF(Master!$M22&lt;&gt;"",Master!$D22,"")</f>
        <v>Bowman</v>
      </c>
      <c r="C123" s="8" t="str">
        <f>IF(Master!$M22&lt;&gt;"",Master!$M22,"")</f>
        <v>Sweepers</v>
      </c>
      <c r="D123" s="7" t="str">
        <f>IF(Master!$M22&lt;&gt;"",Master!$S22 &amp; "", "")</f>
        <v>A4XL</v>
      </c>
      <c r="E123" s="7" t="str">
        <f>IF(Master!$M22&lt;&gt;"",Master!$T22 &amp; "", "")</f>
        <v xml:space="preserve"> </v>
      </c>
      <c r="F123" s="7" t="str">
        <f>IF(Master!$M22&lt;&gt;"",Master!$U22 &amp; "", "")</f>
        <v xml:space="preserve"> </v>
      </c>
    </row>
    <row r="124" spans="1:6" x14ac:dyDescent="0.25">
      <c r="A124" s="8" t="str">
        <f>IF(Master!$M30&lt;&gt;"",Master!$C30,"")</f>
        <v>Fred</v>
      </c>
      <c r="B124" s="8" t="str">
        <f>IF(Master!$M30&lt;&gt;"",Master!$D30,"")</f>
        <v>Cairo</v>
      </c>
      <c r="C124" s="8" t="str">
        <f>IF(Master!$M30&lt;&gt;"",Master!$M30,"")</f>
        <v>Sweepers</v>
      </c>
      <c r="D124" s="7" t="str">
        <f>IF(Master!$M30&lt;&gt;"",Master!$S30 &amp; "", "")</f>
        <v>AXL</v>
      </c>
      <c r="E124" s="7" t="str">
        <f>IF(Master!$M30&lt;&gt;"",Master!$T30 &amp; "", "")</f>
        <v>AL</v>
      </c>
      <c r="F124" s="7" t="str">
        <f>IF(Master!$M30&lt;&gt;"",Master!$U30 &amp; "", "")</f>
        <v>L</v>
      </c>
    </row>
    <row r="125" spans="1:6" x14ac:dyDescent="0.25">
      <c r="A125" s="8" t="str">
        <f>IF(Master!$M51&lt;&gt;"",Master!$C51,"")</f>
        <v>Kendra</v>
      </c>
      <c r="B125" s="8" t="str">
        <f>IF(Master!$M51&lt;&gt;"",Master!$D51,"")</f>
        <v>Denlinger</v>
      </c>
      <c r="C125" s="8" t="str">
        <f>IF(Master!$M51&lt;&gt;"",Master!$M51,"")</f>
        <v>Sweepers</v>
      </c>
      <c r="D125" s="7" t="str">
        <f>IF(Master!$M51&lt;&gt;"",Master!$S51 &amp; "", "")</f>
        <v>AM</v>
      </c>
      <c r="E125" s="7" t="str">
        <f>IF(Master!$M51&lt;&gt;"",Master!$T51 &amp; "", "")</f>
        <v/>
      </c>
      <c r="F125" s="7" t="str">
        <f>IF(Master!$M51&lt;&gt;"",Master!$U51 &amp; "", "")</f>
        <v>M</v>
      </c>
    </row>
    <row r="126" spans="1:6" x14ac:dyDescent="0.25">
      <c r="A126" s="8" t="str">
        <f>IF(Master!$M52&lt;&gt;"",Master!$C52,"")</f>
        <v>Ryan</v>
      </c>
      <c r="B126" s="8" t="str">
        <f>IF(Master!$M52&lt;&gt;"",Master!$D52,"")</f>
        <v>DeWine</v>
      </c>
      <c r="C126" s="8" t="str">
        <f>IF(Master!$M52&lt;&gt;"",Master!$M52,"")</f>
        <v>Sweepers</v>
      </c>
      <c r="D126" s="7" t="str">
        <f>IF(Master!$M52&lt;&gt;"",Master!$S52 &amp; "", "")</f>
        <v>AL</v>
      </c>
      <c r="E126" s="7" t="str">
        <f>IF(Master!$M52&lt;&gt;"",Master!$T52 &amp; "", "")</f>
        <v/>
      </c>
      <c r="F126" s="7" t="str">
        <f>IF(Master!$M52&lt;&gt;"",Master!$U52 &amp; "", "")</f>
        <v/>
      </c>
    </row>
    <row r="127" spans="1:6" x14ac:dyDescent="0.25">
      <c r="A127" s="8" t="str">
        <f>IF(Master!$M55&lt;&gt;"",Master!$C55,"")</f>
        <v>Matt</v>
      </c>
      <c r="B127" s="8" t="str">
        <f>IF(Master!$M55&lt;&gt;"",Master!$D55,"")</f>
        <v>Dorn</v>
      </c>
      <c r="C127" s="8" t="str">
        <f>IF(Master!$M55&lt;&gt;"",Master!$M55,"")</f>
        <v>Sweepers</v>
      </c>
      <c r="D127" s="7" t="str">
        <f>IF(Master!$M55&lt;&gt;"",Master!$S55 &amp; "", "")</f>
        <v>AXL</v>
      </c>
      <c r="E127" s="7" t="str">
        <f>IF(Master!$M55&lt;&gt;"",Master!$T55 &amp; "", "")</f>
        <v>AL</v>
      </c>
      <c r="F127" s="7" t="str">
        <f>IF(Master!$M55&lt;&gt;"",Master!$U55 &amp; "", "")</f>
        <v/>
      </c>
    </row>
    <row r="128" spans="1:6" x14ac:dyDescent="0.25">
      <c r="A128" s="8" t="str">
        <f>IF(Master!$M63&lt;&gt;"",Master!$C63,"")</f>
        <v>Jake</v>
      </c>
      <c r="B128" s="8" t="str">
        <f>IF(Master!$M63&lt;&gt;"",Master!$D63,"")</f>
        <v>Everson</v>
      </c>
      <c r="C128" s="8" t="str">
        <f>IF(Master!$M63&lt;&gt;"",Master!$M63,"")</f>
        <v>Sweepers</v>
      </c>
      <c r="D128" s="7" t="str">
        <f>IF(Master!$M63&lt;&gt;"",Master!$S63 &amp; "", "")</f>
        <v>A2XL</v>
      </c>
      <c r="E128" s="7" t="str">
        <f>IF(Master!$M63&lt;&gt;"",Master!$T63 &amp; "", "")</f>
        <v>AXL</v>
      </c>
      <c r="F128" s="7" t="str">
        <f>IF(Master!$M63&lt;&gt;"",Master!$U63 &amp; "", "")</f>
        <v>L</v>
      </c>
    </row>
    <row r="129" spans="1:6" x14ac:dyDescent="0.25">
      <c r="A129" s="8" t="str">
        <f>IF(Master!$M74&lt;&gt;"",Master!$C74,"")</f>
        <v>Blane</v>
      </c>
      <c r="B129" s="8" t="str">
        <f>IF(Master!$M74&lt;&gt;"",Master!$D74,"")</f>
        <v>Gallagher</v>
      </c>
      <c r="C129" s="8" t="str">
        <f>IF(Master!$M74&lt;&gt;"",Master!$M74,"")</f>
        <v>Sweepers</v>
      </c>
      <c r="D129" s="7" t="str">
        <f>IF(Master!$M74&lt;&gt;"",Master!$S74 &amp; "", "")</f>
        <v>A2XL</v>
      </c>
      <c r="E129" s="7" t="str">
        <f>IF(Master!$M74&lt;&gt;"",Master!$T74 &amp; "", "")</f>
        <v/>
      </c>
      <c r="F129" s="7" t="str">
        <f>IF(Master!$M74&lt;&gt;"",Master!$U74 &amp; "", "")</f>
        <v/>
      </c>
    </row>
    <row r="130" spans="1:6" x14ac:dyDescent="0.25">
      <c r="A130" s="8" t="str">
        <f>IF(Master!$M99&lt;&gt;"",Master!$C99,"")</f>
        <v>Alexander</v>
      </c>
      <c r="B130" s="8" t="str">
        <f>IF(Master!$M99&lt;&gt;"",Master!$D99,"")</f>
        <v>Horton</v>
      </c>
      <c r="C130" s="8" t="str">
        <f>IF(Master!$M99&lt;&gt;"",Master!$M99,"")</f>
        <v>Sweepers</v>
      </c>
      <c r="D130" s="7" t="str">
        <f>IF(Master!$M99&lt;&gt;"",Master!$S99 &amp; "", "")</f>
        <v>A2XL</v>
      </c>
      <c r="E130" s="7" t="str">
        <f>IF(Master!$M99&lt;&gt;"",Master!$T99 &amp; "", "")</f>
        <v>AXL</v>
      </c>
      <c r="F130" s="7" t="str">
        <f>IF(Master!$M99&lt;&gt;"",Master!$U99 &amp; "", "")</f>
        <v>L</v>
      </c>
    </row>
    <row r="131" spans="1:6" x14ac:dyDescent="0.25">
      <c r="A131" s="8" t="str">
        <f>IF(Master!$M107&lt;&gt;"",Master!$C107,"")</f>
        <v>Annie</v>
      </c>
      <c r="B131" s="8" t="str">
        <f>IF(Master!$M107&lt;&gt;"",Master!$D107,"")</f>
        <v>Jansen</v>
      </c>
      <c r="C131" s="8" t="str">
        <f>IF(Master!$M107&lt;&gt;"",Master!$M107,"")</f>
        <v>Sweepers</v>
      </c>
      <c r="D131" s="7" t="str">
        <f>IF(Master!$M107&lt;&gt;"",Master!$S107 &amp; "", "")</f>
        <v>AXL</v>
      </c>
      <c r="E131" s="7" t="str">
        <f>IF(Master!$M107&lt;&gt;"",Master!$T107 &amp; "", "")</f>
        <v>AXL</v>
      </c>
      <c r="F131" s="7" t="str">
        <f>IF(Master!$M107&lt;&gt;"",Master!$U107 &amp; "", "")</f>
        <v>L</v>
      </c>
    </row>
    <row r="132" spans="1:6" x14ac:dyDescent="0.25">
      <c r="A132" s="8" t="str">
        <f>IF(Master!$M142&lt;&gt;"",Master!$C142,"")</f>
        <v>Aaron</v>
      </c>
      <c r="B132" s="8" t="str">
        <f>IF(Master!$M142&lt;&gt;"",Master!$D142,"")</f>
        <v>Marshall</v>
      </c>
      <c r="C132" s="8" t="str">
        <f>IF(Master!$M142&lt;&gt;"",Master!$M142,"")</f>
        <v>Sweepers</v>
      </c>
      <c r="D132" s="7" t="str">
        <f>IF(Master!$M142&lt;&gt;"",Master!$S142 &amp; "", "")</f>
        <v>AL</v>
      </c>
      <c r="E132" s="7" t="str">
        <f>IF(Master!$M142&lt;&gt;"",Master!$T142 &amp; "", "")</f>
        <v>AL</v>
      </c>
      <c r="F132" s="7" t="str">
        <f>IF(Master!$M142&lt;&gt;"",Master!$U142 &amp; "", "")</f>
        <v>S</v>
      </c>
    </row>
    <row r="133" spans="1:6" x14ac:dyDescent="0.25">
      <c r="A133" s="8" t="str">
        <f>IF(Master!$M161&lt;&gt;"",Master!$C161,"")</f>
        <v>Joe</v>
      </c>
      <c r="B133" s="8" t="str">
        <f>IF(Master!$M161&lt;&gt;"",Master!$D161,"")</f>
        <v>Nartker</v>
      </c>
      <c r="C133" s="8" t="str">
        <f>IF(Master!$M161&lt;&gt;"",Master!$M161,"")</f>
        <v>Sweepers</v>
      </c>
      <c r="D133" s="7" t="str">
        <f>IF(Master!$M161&lt;&gt;"",Master!$S161 &amp; "", "")</f>
        <v>AXL</v>
      </c>
      <c r="E133" s="7" t="str">
        <f>IF(Master!$M161&lt;&gt;"",Master!$T161 &amp; "", "")</f>
        <v/>
      </c>
      <c r="F133" s="7" t="str">
        <f>IF(Master!$M161&lt;&gt;"",Master!$U161 &amp; "", "")</f>
        <v/>
      </c>
    </row>
    <row r="134" spans="1:6" x14ac:dyDescent="0.25">
      <c r="A134" s="8" t="str">
        <f>IF(Master!$M165&lt;&gt;"",Master!$C165,"")</f>
        <v>Shanae</v>
      </c>
      <c r="B134" s="8" t="str">
        <f>IF(Master!$M165&lt;&gt;"",Master!$D165,"")</f>
        <v>Nicholes</v>
      </c>
      <c r="C134" s="8" t="str">
        <f>IF(Master!$M165&lt;&gt;"",Master!$M165,"")</f>
        <v>Sweepers</v>
      </c>
      <c r="D134" s="7" t="str">
        <f>IF(Master!$M165&lt;&gt;"",Master!$S165 &amp; "", "")</f>
        <v>AM</v>
      </c>
      <c r="E134" s="7" t="str">
        <f>IF(Master!$M165&lt;&gt;"",Master!$T165 &amp; "", "")</f>
        <v>AM</v>
      </c>
      <c r="F134" s="7" t="str">
        <f>IF(Master!$M165&lt;&gt;"",Master!$U165 &amp; "", "")</f>
        <v>M</v>
      </c>
    </row>
    <row r="135" spans="1:6" x14ac:dyDescent="0.25">
      <c r="A135" s="8" t="str">
        <f>IF(Master!$M207&lt;&gt;"",Master!$C207,"")</f>
        <v>Crislyn</v>
      </c>
      <c r="B135" s="8" t="str">
        <f>IF(Master!$M207&lt;&gt;"",Master!$D207,"")</f>
        <v>Sayger</v>
      </c>
      <c r="C135" s="8" t="str">
        <f>IF(Master!$M207&lt;&gt;"",Master!$M207,"")</f>
        <v>Sweepers</v>
      </c>
      <c r="D135" s="7" t="str">
        <f>IF(Master!$M207&lt;&gt;"",Master!$S207 &amp; "", "")</f>
        <v>A3XL</v>
      </c>
      <c r="E135" s="7" t="str">
        <f>IF(Master!$M207&lt;&gt;"",Master!$T207 &amp; "", "")</f>
        <v/>
      </c>
      <c r="F135" s="7" t="str">
        <f>IF(Master!$M207&lt;&gt;"",Master!$U207 &amp; "", "")</f>
        <v/>
      </c>
    </row>
    <row r="136" spans="1:6" x14ac:dyDescent="0.25">
      <c r="A136" s="8" t="str">
        <f>IF(Master!$M218&lt;&gt;"",Master!$C218,"")</f>
        <v>Erik</v>
      </c>
      <c r="B136" s="8" t="str">
        <f>IF(Master!$M218&lt;&gt;"",Master!$D218,"")</f>
        <v>Sink</v>
      </c>
      <c r="C136" s="8" t="str">
        <f>IF(Master!$M218&lt;&gt;"",Master!$M218,"")</f>
        <v>Sweepers</v>
      </c>
      <c r="D136" s="7" t="str">
        <f>IF(Master!$M218&lt;&gt;"",Master!$S218 &amp; "", "")</f>
        <v>AL</v>
      </c>
      <c r="E136" s="7" t="str">
        <f>IF(Master!$M218&lt;&gt;"",Master!$T218 &amp; "", "")</f>
        <v/>
      </c>
      <c r="F136" s="7" t="str">
        <f>IF(Master!$M218&lt;&gt;"",Master!$U218 &amp; "", "")</f>
        <v/>
      </c>
    </row>
    <row r="137" spans="1:6" x14ac:dyDescent="0.25">
      <c r="A137" s="8" t="str">
        <f>IF(Master!$M220&lt;&gt;"",Master!$C220,"")</f>
        <v>Brianne</v>
      </c>
      <c r="B137" s="8" t="str">
        <f>IF(Master!$M220&lt;&gt;"",Master!$D220,"")</f>
        <v>Slusher</v>
      </c>
      <c r="C137" s="8" t="str">
        <f>IF(Master!$M220&lt;&gt;"",Master!$M220,"")</f>
        <v>Sweepers</v>
      </c>
      <c r="D137" s="7" t="str">
        <f>IF(Master!$M220&lt;&gt;"",Master!$S220 &amp; "", "")</f>
        <v>AXL</v>
      </c>
      <c r="E137" s="7" t="str">
        <f>IF(Master!$M220&lt;&gt;"",Master!$T220 &amp; "", "")</f>
        <v/>
      </c>
      <c r="F137" s="7" t="str">
        <f>IF(Master!$M220&lt;&gt;"",Master!$U220 &amp; "", "")</f>
        <v/>
      </c>
    </row>
    <row r="138" spans="1:6" x14ac:dyDescent="0.25">
      <c r="A138" s="8" t="str">
        <f>IF(Master!$M233&lt;&gt;"",Master!$C233,"")</f>
        <v>Scott</v>
      </c>
      <c r="B138" s="8" t="str">
        <f>IF(Master!$M233&lt;&gt;"",Master!$D233,"")</f>
        <v>Thorner</v>
      </c>
      <c r="C138" s="8" t="str">
        <f>IF(Master!$M233&lt;&gt;"",Master!$M233,"")</f>
        <v>Sweepers</v>
      </c>
      <c r="D138" s="7" t="str">
        <f>IF(Master!$M233&lt;&gt;"",Master!$S233 &amp; "", "")</f>
        <v>AM</v>
      </c>
      <c r="E138" s="7" t="str">
        <f>IF(Master!$M233&lt;&gt;"",Master!$T233 &amp; "", "")</f>
        <v/>
      </c>
      <c r="F138" s="7" t="str">
        <f>IF(Master!$M233&lt;&gt;"",Master!$U233 &amp; "", "")</f>
        <v/>
      </c>
    </row>
    <row r="139" spans="1:6" x14ac:dyDescent="0.25">
      <c r="A139" s="8" t="str">
        <f>IF(Master!$M244&lt;&gt;"",Master!$C244,"")</f>
        <v>Joseph</v>
      </c>
      <c r="B139" s="8" t="str">
        <f>IF(Master!$M244&lt;&gt;"",Master!$D244,"")</f>
        <v>Vorsteg Jr</v>
      </c>
      <c r="C139" s="8" t="str">
        <f>IF(Master!$M244&lt;&gt;"",Master!$M244,"")</f>
        <v>Sweepers</v>
      </c>
      <c r="D139" s="7" t="str">
        <f>IF(Master!$M244&lt;&gt;"",Master!$S244 &amp; "", "")</f>
        <v>AL</v>
      </c>
      <c r="E139" s="7" t="str">
        <f>IF(Master!$M244&lt;&gt;"",Master!$T244 &amp; "", "")</f>
        <v/>
      </c>
      <c r="F139" s="7" t="str">
        <f>IF(Master!$M244&lt;&gt;"",Master!$U244 &amp; "", "")</f>
        <v/>
      </c>
    </row>
    <row r="140" spans="1:6" x14ac:dyDescent="0.25">
      <c r="A140" s="8" t="str">
        <f>IF(Master!$M257&lt;&gt;"",Master!$C257,"")</f>
        <v>Paul</v>
      </c>
      <c r="B140" s="8" t="str">
        <f>IF(Master!$M257&lt;&gt;"",Master!$D257,"")</f>
        <v>Wittberg</v>
      </c>
      <c r="C140" s="8" t="str">
        <f>IF(Master!$M257&lt;&gt;"",Master!$M257,"")</f>
        <v>Sweepers</v>
      </c>
      <c r="D140" s="7" t="str">
        <f>IF(Master!$M257&lt;&gt;"",Master!$S257 &amp; "", "")</f>
        <v>AM</v>
      </c>
      <c r="E140" s="7" t="str">
        <f>IF(Master!$M257&lt;&gt;"",Master!$T257 &amp; "", "")</f>
        <v/>
      </c>
      <c r="F140" s="7" t="str">
        <f>IF(Master!$M257&lt;&gt;"",Master!$U257 &amp; "", "")</f>
        <v/>
      </c>
    </row>
    <row r="141" spans="1:6" x14ac:dyDescent="0.25">
      <c r="A141" s="8" t="str">
        <f>IF(Master!$M259&lt;&gt;"",Master!$C259,"")</f>
        <v>Nick</v>
      </c>
      <c r="B141" s="8" t="str">
        <f>IF(Master!$M259&lt;&gt;"",Master!$D259,"")</f>
        <v>Woeste</v>
      </c>
      <c r="C141" s="8" t="str">
        <f>IF(Master!$M259&lt;&gt;"",Master!$M259,"")</f>
        <v>Sweepers</v>
      </c>
      <c r="D141" s="7" t="str">
        <f>IF(Master!$M259&lt;&gt;"",Master!$S259 &amp; "", "")</f>
        <v>AL</v>
      </c>
      <c r="E141" s="7" t="str">
        <f>IF(Master!$M259&lt;&gt;"",Master!$T259 &amp; "", "")</f>
        <v>AM</v>
      </c>
      <c r="F141" s="7" t="str">
        <f>IF(Master!$M259&lt;&gt;"",Master!$U259 &amp; "", "")</f>
        <v>M</v>
      </c>
    </row>
    <row r="142" spans="1:6" x14ac:dyDescent="0.25">
      <c r="A142" s="8" t="str">
        <f>IF(Master!$M262&lt;&gt;"",Master!$C262,"")</f>
        <v>Jeremy</v>
      </c>
      <c r="B142" s="8" t="str">
        <f>IF(Master!$M262&lt;&gt;"",Master!$D262,"")</f>
        <v>Wysong</v>
      </c>
      <c r="C142" s="8" t="str">
        <f>IF(Master!$M262&lt;&gt;"",Master!$M262,"")</f>
        <v>Sweepers</v>
      </c>
      <c r="D142" s="7" t="str">
        <f>IF(Master!$M262&lt;&gt;"",Master!$S262 &amp; "", "")</f>
        <v>AXL</v>
      </c>
      <c r="E142" s="7" t="str">
        <f>IF(Master!$M262&lt;&gt;"",Master!$T262 &amp; "", "")</f>
        <v xml:space="preserve"> </v>
      </c>
      <c r="F142" s="7" t="str">
        <f>IF(Master!$M262&lt;&gt;"",Master!$U262 &amp; "", "")</f>
        <v xml:space="preserve"> </v>
      </c>
    </row>
    <row r="143" spans="1:6" x14ac:dyDescent="0.25">
      <c r="A143" s="8" t="str">
        <f>IF(Master!$M263&lt;&gt;"",Master!$C263,"")</f>
        <v>Javon</v>
      </c>
      <c r="B143" s="8" t="str">
        <f>IF(Master!$M263&lt;&gt;"",Master!$D263,"")</f>
        <v>Yoakum</v>
      </c>
      <c r="C143" s="8" t="str">
        <f>IF(Master!$M263&lt;&gt;"",Master!$M263,"")</f>
        <v>Sweepers</v>
      </c>
      <c r="D143" s="7" t="str">
        <f>IF(Master!$M263&lt;&gt;"",Master!$S263 &amp; "", "")</f>
        <v>AXL</v>
      </c>
      <c r="E143" s="7" t="str">
        <f>IF(Master!$M263&lt;&gt;"",Master!$T263 &amp; "", "")</f>
        <v>AL</v>
      </c>
      <c r="F143" s="7" t="str">
        <f>IF(Master!$M263&lt;&gt;"",Master!$U263 &amp; "", "")</f>
        <v>L</v>
      </c>
    </row>
    <row r="144" spans="1:6" x14ac:dyDescent="0.25">
      <c r="A144" s="8" t="str">
        <f>IF(Master!$M266&lt;&gt;"",Master!$C266,"")</f>
        <v>Jessica</v>
      </c>
      <c r="B144" s="8" t="str">
        <f>IF(Master!$M266&lt;&gt;"",Master!$D266,"")</f>
        <v>Zimmerman</v>
      </c>
      <c r="C144" s="8" t="str">
        <f>IF(Master!$M266&lt;&gt;"",Master!$M266,"")</f>
        <v>Sweepers</v>
      </c>
      <c r="D144" s="7" t="str">
        <f>IF(Master!$M266&lt;&gt;"",Master!$S266 &amp; "", "")</f>
        <v>AM</v>
      </c>
      <c r="E144" s="7" t="str">
        <f>IF(Master!$M266&lt;&gt;"",Master!$T266 &amp; "", "")</f>
        <v xml:space="preserve"> </v>
      </c>
      <c r="F144" s="7" t="str">
        <f>IF(Master!$M266&lt;&gt;"",Master!$U266 &amp; "", "")</f>
        <v>M</v>
      </c>
    </row>
    <row r="145" spans="1:6" x14ac:dyDescent="0.25">
      <c r="A145" s="8" t="str">
        <f>IF(Master!$M4&lt;&gt;"",Master!$C4,"")</f>
        <v/>
      </c>
      <c r="B145" s="8" t="str">
        <f>IF(Master!$M4&lt;&gt;"",Master!$D4,"")</f>
        <v/>
      </c>
      <c r="C145" s="8" t="str">
        <f>IF(Master!$M4&lt;&gt;"",Master!$M4,"")</f>
        <v/>
      </c>
      <c r="D145" s="7" t="str">
        <f>IF(Master!$M4&lt;&gt;"",Master!$S4 &amp; "", "")</f>
        <v/>
      </c>
      <c r="E145" s="7" t="str">
        <f>IF(Master!$M4&lt;&gt;"",Master!$T4 &amp; "", "")</f>
        <v/>
      </c>
      <c r="F145" s="7" t="str">
        <f>IF(Master!$M4&lt;&gt;"",Master!$U4 &amp; "", "")</f>
        <v/>
      </c>
    </row>
    <row r="146" spans="1:6" x14ac:dyDescent="0.25">
      <c r="A146" s="8" t="str">
        <f>IF(Master!$M5&lt;&gt;"",Master!$C5,"")</f>
        <v/>
      </c>
      <c r="B146" s="8" t="str">
        <f>IF(Master!$M5&lt;&gt;"",Master!$D5,"")</f>
        <v/>
      </c>
      <c r="C146" s="8" t="str">
        <f>IF(Master!$M5&lt;&gt;"",Master!$M5,"")</f>
        <v/>
      </c>
      <c r="D146" s="7" t="str">
        <f>IF(Master!$M5&lt;&gt;"",Master!$S5 &amp; "", "")</f>
        <v/>
      </c>
      <c r="E146" s="7" t="str">
        <f>IF(Master!$M5&lt;&gt;"",Master!$T5 &amp; "", "")</f>
        <v/>
      </c>
      <c r="F146" s="7" t="str">
        <f>IF(Master!$M5&lt;&gt;"",Master!$U5 &amp; "", "")</f>
        <v/>
      </c>
    </row>
    <row r="147" spans="1:6" x14ac:dyDescent="0.25">
      <c r="A147" s="8" t="str">
        <f>IF(Master!$M10&lt;&gt;"",Master!$C10,"")</f>
        <v/>
      </c>
      <c r="B147" s="8" t="str">
        <f>IF(Master!$M10&lt;&gt;"",Master!$D10,"")</f>
        <v/>
      </c>
      <c r="C147" s="8" t="str">
        <f>IF(Master!$M10&lt;&gt;"",Master!$M10,"")</f>
        <v/>
      </c>
      <c r="D147" s="7" t="str">
        <f>IF(Master!$M10&lt;&gt;"",Master!$S10 &amp; "", "")</f>
        <v/>
      </c>
      <c r="E147" s="7" t="str">
        <f>IF(Master!$M10&lt;&gt;"",Master!$T10 &amp; "", "")</f>
        <v/>
      </c>
      <c r="F147" s="7" t="str">
        <f>IF(Master!$M10&lt;&gt;"",Master!$U10 &amp; "", "")</f>
        <v/>
      </c>
    </row>
    <row r="148" spans="1:6" x14ac:dyDescent="0.25">
      <c r="A148" s="8" t="str">
        <f>IF(Master!$M11&lt;&gt;"",Master!$C11,"")</f>
        <v/>
      </c>
      <c r="B148" s="8" t="str">
        <f>IF(Master!$M11&lt;&gt;"",Master!$D11,"")</f>
        <v/>
      </c>
      <c r="C148" s="8" t="str">
        <f>IF(Master!$M11&lt;&gt;"",Master!$M11,"")</f>
        <v/>
      </c>
      <c r="D148" s="7" t="str">
        <f>IF(Master!$M11&lt;&gt;"",Master!$S11 &amp; "", "")</f>
        <v/>
      </c>
      <c r="E148" s="7" t="str">
        <f>IF(Master!$M11&lt;&gt;"",Master!$T11 &amp; "", "")</f>
        <v/>
      </c>
      <c r="F148" s="7" t="str">
        <f>IF(Master!$M11&lt;&gt;"",Master!$U11 &amp; "", "")</f>
        <v/>
      </c>
    </row>
    <row r="149" spans="1:6" x14ac:dyDescent="0.25">
      <c r="A149" s="8" t="str">
        <f>IF(Master!$M14&lt;&gt;"",Master!$C14,"")</f>
        <v/>
      </c>
      <c r="B149" s="8" t="str">
        <f>IF(Master!$M14&lt;&gt;"",Master!$D14,"")</f>
        <v/>
      </c>
      <c r="C149" s="8" t="str">
        <f>IF(Master!$M14&lt;&gt;"",Master!$M14,"")</f>
        <v/>
      </c>
      <c r="D149" s="7" t="str">
        <f>IF(Master!$M14&lt;&gt;"",Master!$S14 &amp; "", "")</f>
        <v/>
      </c>
      <c r="E149" s="7" t="str">
        <f>IF(Master!$M14&lt;&gt;"",Master!$T14 &amp; "", "")</f>
        <v/>
      </c>
      <c r="F149" s="7" t="str">
        <f>IF(Master!$M14&lt;&gt;"",Master!$U14 &amp; "", "")</f>
        <v/>
      </c>
    </row>
    <row r="150" spans="1:6" x14ac:dyDescent="0.25">
      <c r="A150" s="8" t="str">
        <f>IF(Master!$M15&lt;&gt;"",Master!$C15,"")</f>
        <v/>
      </c>
      <c r="B150" s="8" t="str">
        <f>IF(Master!$M15&lt;&gt;"",Master!$D15,"")</f>
        <v/>
      </c>
      <c r="C150" s="8" t="str">
        <f>IF(Master!$M15&lt;&gt;"",Master!$M15,"")</f>
        <v/>
      </c>
      <c r="D150" s="7" t="str">
        <f>IF(Master!$M15&lt;&gt;"",Master!$S15 &amp; "", "")</f>
        <v/>
      </c>
      <c r="E150" s="7" t="str">
        <f>IF(Master!$M15&lt;&gt;"",Master!$T15 &amp; "", "")</f>
        <v/>
      </c>
      <c r="F150" s="7" t="str">
        <f>IF(Master!$M15&lt;&gt;"",Master!$U15 &amp; "", "")</f>
        <v/>
      </c>
    </row>
    <row r="151" spans="1:6" x14ac:dyDescent="0.25">
      <c r="A151" s="8" t="str">
        <f>IF(Master!$M16&lt;&gt;"",Master!$C16,"")</f>
        <v/>
      </c>
      <c r="B151" s="8" t="str">
        <f>IF(Master!$M16&lt;&gt;"",Master!$D16,"")</f>
        <v/>
      </c>
      <c r="C151" s="8" t="str">
        <f>IF(Master!$M16&lt;&gt;"",Master!$M16,"")</f>
        <v/>
      </c>
      <c r="D151" s="7" t="str">
        <f>IF(Master!$M16&lt;&gt;"",Master!$S16 &amp; "", "")</f>
        <v/>
      </c>
      <c r="E151" s="7" t="str">
        <f>IF(Master!$M16&lt;&gt;"",Master!$T16 &amp; "", "")</f>
        <v/>
      </c>
      <c r="F151" s="7" t="str">
        <f>IF(Master!$M16&lt;&gt;"",Master!$U16 &amp; "", "")</f>
        <v/>
      </c>
    </row>
    <row r="152" spans="1:6" x14ac:dyDescent="0.25">
      <c r="A152" s="8" t="str">
        <f>IF(Master!$M17&lt;&gt;"",Master!$C17,"")</f>
        <v/>
      </c>
      <c r="B152" s="8" t="str">
        <f>IF(Master!$M17&lt;&gt;"",Master!$D17,"")</f>
        <v/>
      </c>
      <c r="C152" s="8" t="str">
        <f>IF(Master!$M17&lt;&gt;"",Master!$M17,"")</f>
        <v/>
      </c>
      <c r="D152" s="7" t="str">
        <f>IF(Master!$M17&lt;&gt;"",Master!$S17 &amp; "", "")</f>
        <v/>
      </c>
      <c r="E152" s="7" t="str">
        <f>IF(Master!$M17&lt;&gt;"",Master!$T17 &amp; "", "")</f>
        <v/>
      </c>
      <c r="F152" s="7" t="str">
        <f>IF(Master!$M17&lt;&gt;"",Master!$U17 &amp; "", "")</f>
        <v/>
      </c>
    </row>
    <row r="153" spans="1:6" x14ac:dyDescent="0.25">
      <c r="A153" s="8" t="str">
        <f>IF(Master!$M19&lt;&gt;"",Master!$C19,"")</f>
        <v/>
      </c>
      <c r="B153" s="8" t="str">
        <f>IF(Master!$M19&lt;&gt;"",Master!$D19,"")</f>
        <v/>
      </c>
      <c r="C153" s="8" t="str">
        <f>IF(Master!$M19&lt;&gt;"",Master!$M19,"")</f>
        <v/>
      </c>
      <c r="D153" s="7" t="str">
        <f>IF(Master!$M19&lt;&gt;"",Master!$S19 &amp; "", "")</f>
        <v/>
      </c>
      <c r="E153" s="7" t="str">
        <f>IF(Master!$M19&lt;&gt;"",Master!$T19 &amp; "", "")</f>
        <v/>
      </c>
      <c r="F153" s="7" t="str">
        <f>IF(Master!$M19&lt;&gt;"",Master!$U19 &amp; "", "")</f>
        <v/>
      </c>
    </row>
    <row r="154" spans="1:6" x14ac:dyDescent="0.25">
      <c r="A154" s="8" t="str">
        <f>IF(Master!$M20&lt;&gt;"",Master!$C20,"")</f>
        <v/>
      </c>
      <c r="B154" s="8" t="str">
        <f>IF(Master!$M20&lt;&gt;"",Master!$D20,"")</f>
        <v/>
      </c>
      <c r="C154" s="8" t="str">
        <f>IF(Master!$M20&lt;&gt;"",Master!$M20,"")</f>
        <v/>
      </c>
      <c r="D154" s="7" t="str">
        <f>IF(Master!$M20&lt;&gt;"",Master!$S20 &amp; "", "")</f>
        <v/>
      </c>
      <c r="E154" s="7" t="str">
        <f>IF(Master!$M20&lt;&gt;"",Master!$T20 &amp; "", "")</f>
        <v/>
      </c>
      <c r="F154" s="7" t="str">
        <f>IF(Master!$M20&lt;&gt;"",Master!$U20 &amp; "", "")</f>
        <v/>
      </c>
    </row>
    <row r="155" spans="1:6" x14ac:dyDescent="0.25">
      <c r="A155" s="8" t="str">
        <f>IF(Master!$M26&lt;&gt;"",Master!$C26,"")</f>
        <v/>
      </c>
      <c r="B155" s="8" t="str">
        <f>IF(Master!$M26&lt;&gt;"",Master!$D26,"")</f>
        <v/>
      </c>
      <c r="C155" s="8" t="str">
        <f>IF(Master!$M26&lt;&gt;"",Master!$M26,"")</f>
        <v/>
      </c>
      <c r="D155" s="7" t="str">
        <f>IF(Master!$M26&lt;&gt;"",Master!$S26 &amp; "", "")</f>
        <v/>
      </c>
      <c r="E155" s="7" t="str">
        <f>IF(Master!$M26&lt;&gt;"",Master!$T26 &amp; "", "")</f>
        <v/>
      </c>
      <c r="F155" s="7" t="str">
        <f>IF(Master!$M26&lt;&gt;"",Master!$U26 &amp; "", "")</f>
        <v/>
      </c>
    </row>
    <row r="156" spans="1:6" x14ac:dyDescent="0.25">
      <c r="A156" s="8" t="str">
        <f>IF(Master!$M32&lt;&gt;"",Master!$C32,"")</f>
        <v/>
      </c>
      <c r="B156" s="8" t="str">
        <f>IF(Master!$M32&lt;&gt;"",Master!$D32,"")</f>
        <v/>
      </c>
      <c r="C156" s="8" t="str">
        <f>IF(Master!$M32&lt;&gt;"",Master!$M32,"")</f>
        <v/>
      </c>
      <c r="D156" s="7" t="str">
        <f>IF(Master!$M32&lt;&gt;"",Master!$S32 &amp; "", "")</f>
        <v/>
      </c>
      <c r="E156" s="7" t="str">
        <f>IF(Master!$M32&lt;&gt;"",Master!$T32 &amp; "", "")</f>
        <v/>
      </c>
      <c r="F156" s="7" t="str">
        <f>IF(Master!$M32&lt;&gt;"",Master!$U32 &amp; "", "")</f>
        <v/>
      </c>
    </row>
    <row r="157" spans="1:6" x14ac:dyDescent="0.25">
      <c r="A157" s="8" t="str">
        <f>IF(Master!$M33&lt;&gt;"",Master!$C33,"")</f>
        <v/>
      </c>
      <c r="B157" s="8" t="str">
        <f>IF(Master!$M33&lt;&gt;"",Master!$D33,"")</f>
        <v/>
      </c>
      <c r="C157" s="8" t="str">
        <f>IF(Master!$M33&lt;&gt;"",Master!$M33,"")</f>
        <v/>
      </c>
      <c r="D157" s="7" t="str">
        <f>IF(Master!$M33&lt;&gt;"",Master!$S33 &amp; "", "")</f>
        <v/>
      </c>
      <c r="E157" s="7" t="str">
        <f>IF(Master!$M33&lt;&gt;"",Master!$T33 &amp; "", "")</f>
        <v/>
      </c>
      <c r="F157" s="7" t="str">
        <f>IF(Master!$M33&lt;&gt;"",Master!$U33 &amp; "", "")</f>
        <v/>
      </c>
    </row>
    <row r="158" spans="1:6" x14ac:dyDescent="0.25">
      <c r="A158" s="8" t="str">
        <f>IF(Master!$M34&lt;&gt;"",Master!$C34,"")</f>
        <v/>
      </c>
      <c r="B158" s="8" t="str">
        <f>IF(Master!$M34&lt;&gt;"",Master!$D34,"")</f>
        <v/>
      </c>
      <c r="C158" s="8" t="str">
        <f>IF(Master!$M34&lt;&gt;"",Master!$M34,"")</f>
        <v/>
      </c>
      <c r="D158" s="7" t="str">
        <f>IF(Master!$M34&lt;&gt;"",Master!$S34 &amp; "", "")</f>
        <v/>
      </c>
      <c r="E158" s="7" t="str">
        <f>IF(Master!$M34&lt;&gt;"",Master!$T34 &amp; "", "")</f>
        <v/>
      </c>
      <c r="F158" s="7" t="str">
        <f>IF(Master!$M34&lt;&gt;"",Master!$U34 &amp; "", "")</f>
        <v/>
      </c>
    </row>
    <row r="159" spans="1:6" x14ac:dyDescent="0.25">
      <c r="A159" s="8" t="str">
        <f>IF(Master!$M36&lt;&gt;"",Master!$C36,"")</f>
        <v/>
      </c>
      <c r="B159" s="8" t="str">
        <f>IF(Master!$M36&lt;&gt;"",Master!$D36,"")</f>
        <v/>
      </c>
      <c r="C159" s="8" t="str">
        <f>IF(Master!$M36&lt;&gt;"",Master!$M36,"")</f>
        <v/>
      </c>
      <c r="D159" s="7" t="str">
        <f>IF(Master!$M36&lt;&gt;"",Master!$S36 &amp; "", "")</f>
        <v/>
      </c>
      <c r="E159" s="7" t="str">
        <f>IF(Master!$M36&lt;&gt;"",Master!$T36 &amp; "", "")</f>
        <v/>
      </c>
      <c r="F159" s="7" t="str">
        <f>IF(Master!$M36&lt;&gt;"",Master!$U36 &amp; "", "")</f>
        <v/>
      </c>
    </row>
    <row r="160" spans="1:6" x14ac:dyDescent="0.25">
      <c r="A160" s="8" t="str">
        <f>IF(Master!$M38&lt;&gt;"",Master!$C38,"")</f>
        <v/>
      </c>
      <c r="B160" s="8" t="str">
        <f>IF(Master!$M38&lt;&gt;"",Master!$D38,"")</f>
        <v/>
      </c>
      <c r="C160" s="8" t="str">
        <f>IF(Master!$M38&lt;&gt;"",Master!$M38,"")</f>
        <v/>
      </c>
      <c r="D160" s="7" t="str">
        <f>IF(Master!$M38&lt;&gt;"",Master!$S38 &amp; "", "")</f>
        <v/>
      </c>
      <c r="E160" s="7" t="str">
        <f>IF(Master!$M38&lt;&gt;"",Master!$T38 &amp; "", "")</f>
        <v/>
      </c>
      <c r="F160" s="7" t="str">
        <f>IF(Master!$M38&lt;&gt;"",Master!$U38 &amp; "", "")</f>
        <v/>
      </c>
    </row>
    <row r="161" spans="1:6" x14ac:dyDescent="0.25">
      <c r="A161" s="8" t="str">
        <f>IF(Master!$M39&lt;&gt;"",Master!$C39,"")</f>
        <v/>
      </c>
      <c r="B161" s="8" t="str">
        <f>IF(Master!$M39&lt;&gt;"",Master!$D39,"")</f>
        <v/>
      </c>
      <c r="C161" s="8" t="str">
        <f>IF(Master!$M39&lt;&gt;"",Master!$M39,"")</f>
        <v/>
      </c>
      <c r="D161" s="7" t="str">
        <f>IF(Master!$M39&lt;&gt;"",Master!$S39 &amp; "", "")</f>
        <v/>
      </c>
      <c r="E161" s="7" t="str">
        <f>IF(Master!$M39&lt;&gt;"",Master!$T39 &amp; "", "")</f>
        <v/>
      </c>
      <c r="F161" s="7" t="str">
        <f>IF(Master!$M39&lt;&gt;"",Master!$U39 &amp; "", "")</f>
        <v/>
      </c>
    </row>
    <row r="162" spans="1:6" x14ac:dyDescent="0.25">
      <c r="A162" s="8" t="str">
        <f>IF(Master!$M41&lt;&gt;"",Master!$C41,"")</f>
        <v/>
      </c>
      <c r="B162" s="8" t="str">
        <f>IF(Master!$M41&lt;&gt;"",Master!$D41,"")</f>
        <v/>
      </c>
      <c r="C162" s="8" t="str">
        <f>IF(Master!$M41&lt;&gt;"",Master!$M41,"")</f>
        <v/>
      </c>
      <c r="D162" s="7" t="str">
        <f>IF(Master!$M41&lt;&gt;"",Master!$S41 &amp; "", "")</f>
        <v/>
      </c>
      <c r="E162" s="7" t="str">
        <f>IF(Master!$M41&lt;&gt;"",Master!$T41 &amp; "", "")</f>
        <v/>
      </c>
      <c r="F162" s="7" t="str">
        <f>IF(Master!$M41&lt;&gt;"",Master!$U41 &amp; "", "")</f>
        <v/>
      </c>
    </row>
    <row r="163" spans="1:6" x14ac:dyDescent="0.25">
      <c r="A163" s="8" t="str">
        <f>IF(Master!$M47&lt;&gt;"",Master!$C47,"")</f>
        <v/>
      </c>
      <c r="B163" s="8" t="str">
        <f>IF(Master!$M47&lt;&gt;"",Master!$D47,"")</f>
        <v/>
      </c>
      <c r="C163" s="8" t="str">
        <f>IF(Master!$M47&lt;&gt;"",Master!$M47,"")</f>
        <v/>
      </c>
      <c r="D163" s="7" t="str">
        <f>IF(Master!$M47&lt;&gt;"",Master!$S47 &amp; "", "")</f>
        <v/>
      </c>
      <c r="E163" s="7" t="str">
        <f>IF(Master!$M47&lt;&gt;"",Master!$T47 &amp; "", "")</f>
        <v/>
      </c>
      <c r="F163" s="7" t="str">
        <f>IF(Master!$M47&lt;&gt;"",Master!$U47 &amp; "", "")</f>
        <v/>
      </c>
    </row>
    <row r="164" spans="1:6" x14ac:dyDescent="0.25">
      <c r="A164" s="8" t="str">
        <f>IF(Master!$M54&lt;&gt;"",Master!$C54,"")</f>
        <v/>
      </c>
      <c r="B164" s="8" t="str">
        <f>IF(Master!$M54&lt;&gt;"",Master!$D54,"")</f>
        <v/>
      </c>
      <c r="C164" s="8" t="str">
        <f>IF(Master!$M54&lt;&gt;"",Master!$M54,"")</f>
        <v/>
      </c>
      <c r="D164" s="7" t="str">
        <f>IF(Master!$M54&lt;&gt;"",Master!$S54 &amp; "", "")</f>
        <v/>
      </c>
      <c r="E164" s="7" t="str">
        <f>IF(Master!$M54&lt;&gt;"",Master!$T54 &amp; "", "")</f>
        <v/>
      </c>
      <c r="F164" s="7" t="str">
        <f>IF(Master!$M54&lt;&gt;"",Master!$U54 &amp; "", "")</f>
        <v/>
      </c>
    </row>
    <row r="165" spans="1:6" x14ac:dyDescent="0.25">
      <c r="A165" s="8" t="str">
        <f>IF(Master!$M61&lt;&gt;"",Master!$C61,"")</f>
        <v/>
      </c>
      <c r="B165" s="8" t="str">
        <f>IF(Master!$M61&lt;&gt;"",Master!$D61,"")</f>
        <v/>
      </c>
      <c r="C165" s="8" t="str">
        <f>IF(Master!$M61&lt;&gt;"",Master!$M61,"")</f>
        <v/>
      </c>
      <c r="D165" s="7" t="str">
        <f>IF(Master!$M61&lt;&gt;"",Master!$S61 &amp; "", "")</f>
        <v/>
      </c>
      <c r="E165" s="7" t="str">
        <f>IF(Master!$M61&lt;&gt;"",Master!$T61 &amp; "", "")</f>
        <v/>
      </c>
      <c r="F165" s="7" t="str">
        <f>IF(Master!$M61&lt;&gt;"",Master!$U61 &amp; "", "")</f>
        <v/>
      </c>
    </row>
    <row r="166" spans="1:6" x14ac:dyDescent="0.25">
      <c r="A166" s="8" t="str">
        <f>IF(Master!$M62&lt;&gt;"",Master!$C62,"")</f>
        <v/>
      </c>
      <c r="B166" s="8" t="str">
        <f>IF(Master!$M62&lt;&gt;"",Master!$D62,"")</f>
        <v/>
      </c>
      <c r="C166" s="8" t="str">
        <f>IF(Master!$M62&lt;&gt;"",Master!$M62,"")</f>
        <v/>
      </c>
      <c r="D166" s="7" t="str">
        <f>IF(Master!$M62&lt;&gt;"",Master!$S62 &amp; "", "")</f>
        <v/>
      </c>
      <c r="E166" s="7" t="str">
        <f>IF(Master!$M62&lt;&gt;"",Master!$T62 &amp; "", "")</f>
        <v/>
      </c>
      <c r="F166" s="7" t="str">
        <f>IF(Master!$M62&lt;&gt;"",Master!$U62 &amp; "", "")</f>
        <v/>
      </c>
    </row>
    <row r="167" spans="1:6" x14ac:dyDescent="0.25">
      <c r="A167" s="8" t="str">
        <f>IF(Master!$M64&lt;&gt;"",Master!$C64,"")</f>
        <v/>
      </c>
      <c r="B167" s="8" t="str">
        <f>IF(Master!$M64&lt;&gt;"",Master!$D64,"")</f>
        <v/>
      </c>
      <c r="C167" s="8" t="str">
        <f>IF(Master!$M64&lt;&gt;"",Master!$M64,"")</f>
        <v/>
      </c>
      <c r="D167" s="7" t="str">
        <f>IF(Master!$M64&lt;&gt;"",Master!$S64 &amp; "", "")</f>
        <v/>
      </c>
      <c r="E167" s="7" t="str">
        <f>IF(Master!$M64&lt;&gt;"",Master!$T64 &amp; "", "")</f>
        <v/>
      </c>
      <c r="F167" s="7" t="str">
        <f>IF(Master!$M64&lt;&gt;"",Master!$U64 &amp; "", "")</f>
        <v/>
      </c>
    </row>
    <row r="168" spans="1:6" x14ac:dyDescent="0.25">
      <c r="A168" s="8" t="str">
        <f>IF(Master!$M65&lt;&gt;"",Master!$C65,"")</f>
        <v/>
      </c>
      <c r="B168" s="8" t="str">
        <f>IF(Master!$M65&lt;&gt;"",Master!$D65,"")</f>
        <v/>
      </c>
      <c r="C168" s="8" t="str">
        <f>IF(Master!$M65&lt;&gt;"",Master!$M65,"")</f>
        <v/>
      </c>
      <c r="D168" s="7" t="str">
        <f>IF(Master!$M65&lt;&gt;"",Master!$S65 &amp; "", "")</f>
        <v/>
      </c>
      <c r="E168" s="7" t="str">
        <f>IF(Master!$M65&lt;&gt;"",Master!$T65 &amp; "", "")</f>
        <v/>
      </c>
      <c r="F168" s="7" t="str">
        <f>IF(Master!$M65&lt;&gt;"",Master!$U65 &amp; "", "")</f>
        <v/>
      </c>
    </row>
    <row r="169" spans="1:6" x14ac:dyDescent="0.25">
      <c r="A169" s="8" t="str">
        <f>IF(Master!$M66&lt;&gt;"",Master!$C66,"")</f>
        <v/>
      </c>
      <c r="B169" s="8" t="str">
        <f>IF(Master!$M66&lt;&gt;"",Master!$D66,"")</f>
        <v/>
      </c>
      <c r="C169" s="8" t="str">
        <f>IF(Master!$M66&lt;&gt;"",Master!$M66,"")</f>
        <v/>
      </c>
      <c r="D169" s="7" t="str">
        <f>IF(Master!$M66&lt;&gt;"",Master!$S66 &amp; "", "")</f>
        <v/>
      </c>
      <c r="E169" s="7" t="str">
        <f>IF(Master!$M66&lt;&gt;"",Master!$T66 &amp; "", "")</f>
        <v/>
      </c>
      <c r="F169" s="7" t="str">
        <f>IF(Master!$M66&lt;&gt;"",Master!$U66 &amp; "", "")</f>
        <v/>
      </c>
    </row>
    <row r="170" spans="1:6" x14ac:dyDescent="0.25">
      <c r="A170" s="8" t="str">
        <f>IF(Master!$M68&lt;&gt;"",Master!$C68,"")</f>
        <v/>
      </c>
      <c r="B170" s="8" t="str">
        <f>IF(Master!$M68&lt;&gt;"",Master!$D68,"")</f>
        <v/>
      </c>
      <c r="C170" s="8" t="str">
        <f>IF(Master!$M68&lt;&gt;"",Master!$M68,"")</f>
        <v/>
      </c>
      <c r="D170" s="7" t="str">
        <f>IF(Master!$M68&lt;&gt;"",Master!$S68 &amp; "", "")</f>
        <v/>
      </c>
      <c r="E170" s="7" t="str">
        <f>IF(Master!$M68&lt;&gt;"",Master!$T68 &amp; "", "")</f>
        <v/>
      </c>
      <c r="F170" s="7" t="str">
        <f>IF(Master!$M68&lt;&gt;"",Master!$U68 &amp; "", "")</f>
        <v/>
      </c>
    </row>
    <row r="171" spans="1:6" x14ac:dyDescent="0.25">
      <c r="A171" s="8" t="str">
        <f>IF(Master!$M69&lt;&gt;"",Master!$C69,"")</f>
        <v/>
      </c>
      <c r="B171" s="8" t="str">
        <f>IF(Master!$M69&lt;&gt;"",Master!$D69,"")</f>
        <v/>
      </c>
      <c r="C171" s="8" t="str">
        <f>IF(Master!$M69&lt;&gt;"",Master!$M69,"")</f>
        <v/>
      </c>
      <c r="D171" s="7" t="str">
        <f>IF(Master!$M69&lt;&gt;"",Master!$S69 &amp; "", "")</f>
        <v/>
      </c>
      <c r="E171" s="7" t="str">
        <f>IF(Master!$M69&lt;&gt;"",Master!$T69 &amp; "", "")</f>
        <v/>
      </c>
      <c r="F171" s="7" t="str">
        <f>IF(Master!$M69&lt;&gt;"",Master!$U69 &amp; "", "")</f>
        <v/>
      </c>
    </row>
    <row r="172" spans="1:6" x14ac:dyDescent="0.25">
      <c r="A172" s="8" t="str">
        <f>IF(Master!$M70&lt;&gt;"",Master!$C70,"")</f>
        <v/>
      </c>
      <c r="B172" s="8" t="str">
        <f>IF(Master!$M70&lt;&gt;"",Master!$D70,"")</f>
        <v/>
      </c>
      <c r="C172" s="8" t="str">
        <f>IF(Master!$M70&lt;&gt;"",Master!$M70,"")</f>
        <v/>
      </c>
      <c r="D172" s="7" t="str">
        <f>IF(Master!$M70&lt;&gt;"",Master!$S70 &amp; "", "")</f>
        <v/>
      </c>
      <c r="E172" s="7" t="str">
        <f>IF(Master!$M70&lt;&gt;"",Master!$T70 &amp; "", "")</f>
        <v/>
      </c>
      <c r="F172" s="7" t="str">
        <f>IF(Master!$M70&lt;&gt;"",Master!$U70 &amp; "", "")</f>
        <v/>
      </c>
    </row>
    <row r="173" spans="1:6" x14ac:dyDescent="0.25">
      <c r="A173" s="8" t="str">
        <f>IF(Master!$M71&lt;&gt;"",Master!$C71,"")</f>
        <v/>
      </c>
      <c r="B173" s="8" t="str">
        <f>IF(Master!$M71&lt;&gt;"",Master!$D71,"")</f>
        <v/>
      </c>
      <c r="C173" s="8" t="str">
        <f>IF(Master!$M71&lt;&gt;"",Master!$M71,"")</f>
        <v/>
      </c>
      <c r="D173" s="7" t="str">
        <f>IF(Master!$M71&lt;&gt;"",Master!$S71 &amp; "", "")</f>
        <v/>
      </c>
      <c r="E173" s="7" t="str">
        <f>IF(Master!$M71&lt;&gt;"",Master!$T71 &amp; "", "")</f>
        <v/>
      </c>
      <c r="F173" s="7" t="str">
        <f>IF(Master!$M71&lt;&gt;"",Master!$U71 &amp; "", "")</f>
        <v/>
      </c>
    </row>
    <row r="174" spans="1:6" x14ac:dyDescent="0.25">
      <c r="A174" s="8" t="str">
        <f>IF(Master!$M72&lt;&gt;"",Master!$C72,"")</f>
        <v/>
      </c>
      <c r="B174" s="8" t="str">
        <f>IF(Master!$M72&lt;&gt;"",Master!$D72,"")</f>
        <v/>
      </c>
      <c r="C174" s="8" t="str">
        <f>IF(Master!$M72&lt;&gt;"",Master!$M72,"")</f>
        <v/>
      </c>
      <c r="D174" s="7" t="str">
        <f>IF(Master!$M72&lt;&gt;"",Master!$S72 &amp; "", "")</f>
        <v/>
      </c>
      <c r="E174" s="7" t="str">
        <f>IF(Master!$M72&lt;&gt;"",Master!$T72 &amp; "", "")</f>
        <v/>
      </c>
      <c r="F174" s="7" t="str">
        <f>IF(Master!$M72&lt;&gt;"",Master!$U72 &amp; "", "")</f>
        <v/>
      </c>
    </row>
    <row r="175" spans="1:6" x14ac:dyDescent="0.25">
      <c r="A175" s="8" t="str">
        <f>IF(Master!$M73&lt;&gt;"",Master!$C73,"")</f>
        <v/>
      </c>
      <c r="B175" s="8" t="str">
        <f>IF(Master!$M73&lt;&gt;"",Master!$D73,"")</f>
        <v/>
      </c>
      <c r="C175" s="8" t="str">
        <f>IF(Master!$M73&lt;&gt;"",Master!$M73,"")</f>
        <v/>
      </c>
      <c r="D175" s="7" t="str">
        <f>IF(Master!$M73&lt;&gt;"",Master!$S73 &amp; "", "")</f>
        <v/>
      </c>
      <c r="E175" s="7" t="str">
        <f>IF(Master!$M73&lt;&gt;"",Master!$T73 &amp; "", "")</f>
        <v/>
      </c>
      <c r="F175" s="7" t="str">
        <f>IF(Master!$M73&lt;&gt;"",Master!$U73 &amp; "", "")</f>
        <v/>
      </c>
    </row>
    <row r="176" spans="1:6" x14ac:dyDescent="0.25">
      <c r="A176" s="8" t="str">
        <f>IF(Master!$M79&lt;&gt;"",Master!$C79,"")</f>
        <v/>
      </c>
      <c r="B176" s="8" t="str">
        <f>IF(Master!$M79&lt;&gt;"",Master!$D79,"")</f>
        <v/>
      </c>
      <c r="C176" s="8" t="str">
        <f>IF(Master!$M79&lt;&gt;"",Master!$M79,"")</f>
        <v/>
      </c>
      <c r="D176" s="7" t="str">
        <f>IF(Master!$M79&lt;&gt;"",Master!$S79 &amp; "", "")</f>
        <v/>
      </c>
      <c r="E176" s="7" t="str">
        <f>IF(Master!$M79&lt;&gt;"",Master!$T79 &amp; "", "")</f>
        <v/>
      </c>
      <c r="F176" s="7" t="str">
        <f>IF(Master!$M79&lt;&gt;"",Master!$U79 &amp; "", "")</f>
        <v/>
      </c>
    </row>
    <row r="177" spans="1:6" x14ac:dyDescent="0.25">
      <c r="A177" s="8" t="str">
        <f>IF(Master!$M80&lt;&gt;"",Master!$C80,"")</f>
        <v/>
      </c>
      <c r="B177" s="8" t="str">
        <f>IF(Master!$M80&lt;&gt;"",Master!$D80,"")</f>
        <v/>
      </c>
      <c r="C177" s="8" t="str">
        <f>IF(Master!$M80&lt;&gt;"",Master!$M80,"")</f>
        <v/>
      </c>
      <c r="D177" s="7" t="str">
        <f>IF(Master!$M80&lt;&gt;"",Master!$S80 &amp; "", "")</f>
        <v/>
      </c>
      <c r="E177" s="7" t="str">
        <f>IF(Master!$M80&lt;&gt;"",Master!$T80 &amp; "", "")</f>
        <v/>
      </c>
      <c r="F177" s="7" t="str">
        <f>IF(Master!$M80&lt;&gt;"",Master!$U80 &amp; "", "")</f>
        <v/>
      </c>
    </row>
    <row r="178" spans="1:6" x14ac:dyDescent="0.25">
      <c r="A178" s="8" t="str">
        <f>IF(Master!$M82&lt;&gt;"",Master!$C82,"")</f>
        <v/>
      </c>
      <c r="B178" s="8" t="str">
        <f>IF(Master!$M82&lt;&gt;"",Master!$D82,"")</f>
        <v/>
      </c>
      <c r="C178" s="8" t="str">
        <f>IF(Master!$M82&lt;&gt;"",Master!$M82,"")</f>
        <v/>
      </c>
      <c r="D178" s="7" t="str">
        <f>IF(Master!$M82&lt;&gt;"",Master!$S82 &amp; "", "")</f>
        <v/>
      </c>
      <c r="E178" s="7" t="str">
        <f>IF(Master!$M82&lt;&gt;"",Master!$T82 &amp; "", "")</f>
        <v/>
      </c>
      <c r="F178" s="7" t="str">
        <f>IF(Master!$M82&lt;&gt;"",Master!$U82 &amp; "", "")</f>
        <v/>
      </c>
    </row>
    <row r="179" spans="1:6" x14ac:dyDescent="0.25">
      <c r="A179" s="8" t="str">
        <f>IF(Master!$M84&lt;&gt;"",Master!$C84,"")</f>
        <v/>
      </c>
      <c r="B179" s="8" t="str">
        <f>IF(Master!$M84&lt;&gt;"",Master!$D84,"")</f>
        <v/>
      </c>
      <c r="C179" s="8" t="str">
        <f>IF(Master!$M84&lt;&gt;"",Master!$M84,"")</f>
        <v/>
      </c>
      <c r="D179" s="7" t="str">
        <f>IF(Master!$M84&lt;&gt;"",Master!$S84 &amp; "", "")</f>
        <v/>
      </c>
      <c r="E179" s="7" t="str">
        <f>IF(Master!$M84&lt;&gt;"",Master!$T84 &amp; "", "")</f>
        <v/>
      </c>
      <c r="F179" s="7" t="str">
        <f>IF(Master!$M84&lt;&gt;"",Master!$U84 &amp; "", "")</f>
        <v/>
      </c>
    </row>
    <row r="180" spans="1:6" x14ac:dyDescent="0.25">
      <c r="A180" s="8" t="str">
        <f>IF(Master!$M86&lt;&gt;"",Master!$C86,"")</f>
        <v/>
      </c>
      <c r="B180" s="8" t="str">
        <f>IF(Master!$M86&lt;&gt;"",Master!$D86,"")</f>
        <v/>
      </c>
      <c r="C180" s="8" t="str">
        <f>IF(Master!$M86&lt;&gt;"",Master!$M86,"")</f>
        <v/>
      </c>
      <c r="D180" s="7" t="str">
        <f>IF(Master!$M86&lt;&gt;"",Master!$S86 &amp; "", "")</f>
        <v/>
      </c>
      <c r="E180" s="7" t="str">
        <f>IF(Master!$M86&lt;&gt;"",Master!$T86 &amp; "", "")</f>
        <v/>
      </c>
      <c r="F180" s="7" t="str">
        <f>IF(Master!$M86&lt;&gt;"",Master!$U86 &amp; "", "")</f>
        <v/>
      </c>
    </row>
    <row r="181" spans="1:6" x14ac:dyDescent="0.25">
      <c r="A181" s="8" t="str">
        <f>IF(Master!$M87&lt;&gt;"",Master!$C87,"")</f>
        <v/>
      </c>
      <c r="B181" s="8" t="str">
        <f>IF(Master!$M87&lt;&gt;"",Master!$D87,"")</f>
        <v/>
      </c>
      <c r="C181" s="8" t="str">
        <f>IF(Master!$M87&lt;&gt;"",Master!$M87,"")</f>
        <v/>
      </c>
      <c r="D181" s="7" t="str">
        <f>IF(Master!$M87&lt;&gt;"",Master!$S87 &amp; "", "")</f>
        <v/>
      </c>
      <c r="E181" s="7" t="str">
        <f>IF(Master!$M87&lt;&gt;"",Master!$T87 &amp; "", "")</f>
        <v/>
      </c>
      <c r="F181" s="7" t="str">
        <f>IF(Master!$M87&lt;&gt;"",Master!$U87 &amp; "", "")</f>
        <v/>
      </c>
    </row>
    <row r="182" spans="1:6" x14ac:dyDescent="0.25">
      <c r="A182" s="8" t="str">
        <f>IF(Master!$M88&lt;&gt;"",Master!$C88,"")</f>
        <v/>
      </c>
      <c r="B182" s="8" t="str">
        <f>IF(Master!$M88&lt;&gt;"",Master!$D88,"")</f>
        <v/>
      </c>
      <c r="C182" s="8" t="str">
        <f>IF(Master!$M88&lt;&gt;"",Master!$M88,"")</f>
        <v/>
      </c>
      <c r="D182" s="7" t="str">
        <f>IF(Master!$M88&lt;&gt;"",Master!$S88 &amp; "", "")</f>
        <v/>
      </c>
      <c r="E182" s="7" t="str">
        <f>IF(Master!$M88&lt;&gt;"",Master!$T88 &amp; "", "")</f>
        <v/>
      </c>
      <c r="F182" s="7" t="str">
        <f>IF(Master!$M88&lt;&gt;"",Master!$U88 &amp; "", "")</f>
        <v/>
      </c>
    </row>
    <row r="183" spans="1:6" x14ac:dyDescent="0.25">
      <c r="A183" s="8" t="str">
        <f>IF(Master!$M89&lt;&gt;"",Master!$C89,"")</f>
        <v/>
      </c>
      <c r="B183" s="8" t="str">
        <f>IF(Master!$M89&lt;&gt;"",Master!$D89,"")</f>
        <v/>
      </c>
      <c r="C183" s="8" t="str">
        <f>IF(Master!$M89&lt;&gt;"",Master!$M89,"")</f>
        <v/>
      </c>
      <c r="D183" s="7" t="str">
        <f>IF(Master!$M89&lt;&gt;"",Master!$S89 &amp; "", "")</f>
        <v/>
      </c>
      <c r="E183" s="7" t="str">
        <f>IF(Master!$M89&lt;&gt;"",Master!$T89 &amp; "", "")</f>
        <v/>
      </c>
      <c r="F183" s="7" t="str">
        <f>IF(Master!$M89&lt;&gt;"",Master!$U89 &amp; "", "")</f>
        <v/>
      </c>
    </row>
    <row r="184" spans="1:6" x14ac:dyDescent="0.25">
      <c r="A184" s="8" t="str">
        <f>IF(Master!$M96&lt;&gt;"",Master!$C96,"")</f>
        <v/>
      </c>
      <c r="B184" s="8" t="str">
        <f>IF(Master!$M96&lt;&gt;"",Master!$D96,"")</f>
        <v/>
      </c>
      <c r="C184" s="8" t="str">
        <f>IF(Master!$M96&lt;&gt;"",Master!$M96,"")</f>
        <v/>
      </c>
      <c r="D184" s="7" t="str">
        <f>IF(Master!$M96&lt;&gt;"",Master!$S96 &amp; "", "")</f>
        <v/>
      </c>
      <c r="E184" s="7" t="str">
        <f>IF(Master!$M96&lt;&gt;"",Master!$T96 &amp; "", "")</f>
        <v/>
      </c>
      <c r="F184" s="7" t="str">
        <f>IF(Master!$M96&lt;&gt;"",Master!$U96 &amp; "", "")</f>
        <v/>
      </c>
    </row>
    <row r="185" spans="1:6" x14ac:dyDescent="0.25">
      <c r="A185" s="8" t="str">
        <f>IF(Master!$M98&lt;&gt;"",Master!$C98,"")</f>
        <v/>
      </c>
      <c r="B185" s="8" t="str">
        <f>IF(Master!$M98&lt;&gt;"",Master!$D98,"")</f>
        <v/>
      </c>
      <c r="C185" s="8" t="str">
        <f>IF(Master!$M98&lt;&gt;"",Master!$M98,"")</f>
        <v/>
      </c>
      <c r="D185" s="7" t="str">
        <f>IF(Master!$M98&lt;&gt;"",Master!$S98 &amp; "", "")</f>
        <v/>
      </c>
      <c r="E185" s="7" t="str">
        <f>IF(Master!$M98&lt;&gt;"",Master!$T98 &amp; "", "")</f>
        <v/>
      </c>
      <c r="F185" s="7" t="str">
        <f>IF(Master!$M98&lt;&gt;"",Master!$U98 &amp; "", "")</f>
        <v/>
      </c>
    </row>
    <row r="186" spans="1:6" x14ac:dyDescent="0.25">
      <c r="A186" s="8" t="str">
        <f>IF(Master!$M100&lt;&gt;"",Master!$C100,"")</f>
        <v/>
      </c>
      <c r="B186" s="8" t="str">
        <f>IF(Master!$M100&lt;&gt;"",Master!$D100,"")</f>
        <v/>
      </c>
      <c r="C186" s="8" t="str">
        <f>IF(Master!$M100&lt;&gt;"",Master!$M100,"")</f>
        <v/>
      </c>
      <c r="D186" s="7" t="str">
        <f>IF(Master!$M100&lt;&gt;"",Master!$S100 &amp; "", "")</f>
        <v/>
      </c>
      <c r="E186" s="7" t="str">
        <f>IF(Master!$M100&lt;&gt;"",Master!$T100 &amp; "", "")</f>
        <v/>
      </c>
      <c r="F186" s="7" t="str">
        <f>IF(Master!$M100&lt;&gt;"",Master!$U100 &amp; "", "")</f>
        <v/>
      </c>
    </row>
    <row r="187" spans="1:6" x14ac:dyDescent="0.25">
      <c r="A187" s="8" t="str">
        <f>IF(Master!$M101&lt;&gt;"",Master!$C101,"")</f>
        <v/>
      </c>
      <c r="B187" s="8" t="str">
        <f>IF(Master!$M101&lt;&gt;"",Master!$D101,"")</f>
        <v/>
      </c>
      <c r="C187" s="8" t="str">
        <f>IF(Master!$M101&lt;&gt;"",Master!$M101,"")</f>
        <v/>
      </c>
      <c r="D187" s="7" t="str">
        <f>IF(Master!$M101&lt;&gt;"",Master!$S101 &amp; "", "")</f>
        <v/>
      </c>
      <c r="E187" s="7" t="str">
        <f>IF(Master!$M101&lt;&gt;"",Master!$T101 &amp; "", "")</f>
        <v/>
      </c>
      <c r="F187" s="7" t="str">
        <f>IF(Master!$M101&lt;&gt;"",Master!$U101 &amp; "", "")</f>
        <v/>
      </c>
    </row>
    <row r="188" spans="1:6" x14ac:dyDescent="0.25">
      <c r="A188" s="8" t="str">
        <f>IF(Master!$M106&lt;&gt;"",Master!$C106,"")</f>
        <v/>
      </c>
      <c r="B188" s="8" t="str">
        <f>IF(Master!$M106&lt;&gt;"",Master!$D106,"")</f>
        <v/>
      </c>
      <c r="C188" s="8" t="str">
        <f>IF(Master!$M106&lt;&gt;"",Master!$M106,"")</f>
        <v/>
      </c>
      <c r="D188" s="7" t="str">
        <f>IF(Master!$M106&lt;&gt;"",Master!$S106 &amp; "", "")</f>
        <v/>
      </c>
      <c r="E188" s="7" t="str">
        <f>IF(Master!$M106&lt;&gt;"",Master!$T106 &amp; "", "")</f>
        <v/>
      </c>
      <c r="F188" s="7" t="str">
        <f>IF(Master!$M106&lt;&gt;"",Master!$U106 &amp; "", "")</f>
        <v/>
      </c>
    </row>
    <row r="189" spans="1:6" x14ac:dyDescent="0.25">
      <c r="A189" s="8" t="str">
        <f>IF(Master!$M109&lt;&gt;"",Master!$C109,"")</f>
        <v/>
      </c>
      <c r="B189" s="8" t="str">
        <f>IF(Master!$M109&lt;&gt;"",Master!$D109,"")</f>
        <v/>
      </c>
      <c r="C189" s="8" t="str">
        <f>IF(Master!$M109&lt;&gt;"",Master!$M109,"")</f>
        <v/>
      </c>
      <c r="D189" s="7" t="str">
        <f>IF(Master!$M109&lt;&gt;"",Master!$S109 &amp; "", "")</f>
        <v/>
      </c>
      <c r="E189" s="7" t="str">
        <f>IF(Master!$M109&lt;&gt;"",Master!$T109 &amp; "", "")</f>
        <v/>
      </c>
      <c r="F189" s="7" t="str">
        <f>IF(Master!$M109&lt;&gt;"",Master!$U109 &amp; "", "")</f>
        <v/>
      </c>
    </row>
    <row r="190" spans="1:6" x14ac:dyDescent="0.25">
      <c r="A190" s="8" t="str">
        <f>IF(Master!$M110&lt;&gt;"",Master!$C110,"")</f>
        <v/>
      </c>
      <c r="B190" s="8" t="str">
        <f>IF(Master!$M110&lt;&gt;"",Master!$D110,"")</f>
        <v/>
      </c>
      <c r="C190" s="8" t="str">
        <f>IF(Master!$M110&lt;&gt;"",Master!$M110,"")</f>
        <v/>
      </c>
      <c r="D190" s="7" t="str">
        <f>IF(Master!$M110&lt;&gt;"",Master!$S110 &amp; "", "")</f>
        <v/>
      </c>
      <c r="E190" s="7" t="str">
        <f>IF(Master!$M110&lt;&gt;"",Master!$T110 &amp; "", "")</f>
        <v/>
      </c>
      <c r="F190" s="7" t="str">
        <f>IF(Master!$M110&lt;&gt;"",Master!$U110 &amp; "", "")</f>
        <v/>
      </c>
    </row>
    <row r="191" spans="1:6" x14ac:dyDescent="0.25">
      <c r="A191" s="8" t="str">
        <f>IF(Master!$M113&lt;&gt;"",Master!$C113,"")</f>
        <v/>
      </c>
      <c r="B191" s="8" t="str">
        <f>IF(Master!$M113&lt;&gt;"",Master!$D113,"")</f>
        <v/>
      </c>
      <c r="C191" s="8" t="str">
        <f>IF(Master!$M113&lt;&gt;"",Master!$M113,"")</f>
        <v/>
      </c>
      <c r="D191" s="7" t="str">
        <f>IF(Master!$M113&lt;&gt;"",Master!$S113 &amp; "", "")</f>
        <v/>
      </c>
      <c r="E191" s="7" t="str">
        <f>IF(Master!$M113&lt;&gt;"",Master!$T113 &amp; "", "")</f>
        <v/>
      </c>
      <c r="F191" s="7" t="str">
        <f>IF(Master!$M113&lt;&gt;"",Master!$U113 &amp; "", "")</f>
        <v/>
      </c>
    </row>
    <row r="192" spans="1:6" x14ac:dyDescent="0.25">
      <c r="A192" s="8" t="str">
        <f>IF(Master!$M116&lt;&gt;"",Master!$C116,"")</f>
        <v/>
      </c>
      <c r="B192" s="8" t="str">
        <f>IF(Master!$M116&lt;&gt;"",Master!$D116,"")</f>
        <v/>
      </c>
      <c r="C192" s="8" t="str">
        <f>IF(Master!$M116&lt;&gt;"",Master!$M116,"")</f>
        <v/>
      </c>
      <c r="D192" s="7" t="str">
        <f>IF(Master!$M116&lt;&gt;"",Master!$S116 &amp; "", "")</f>
        <v/>
      </c>
      <c r="E192" s="7" t="str">
        <f>IF(Master!$M116&lt;&gt;"",Master!$T116 &amp; "", "")</f>
        <v/>
      </c>
      <c r="F192" s="7" t="str">
        <f>IF(Master!$M116&lt;&gt;"",Master!$U116 &amp; "", "")</f>
        <v/>
      </c>
    </row>
    <row r="193" spans="1:6" x14ac:dyDescent="0.25">
      <c r="A193" s="8" t="str">
        <f>IF(Master!$M117&lt;&gt;"",Master!$C117,"")</f>
        <v/>
      </c>
      <c r="B193" s="8" t="str">
        <f>IF(Master!$M117&lt;&gt;"",Master!$D117,"")</f>
        <v/>
      </c>
      <c r="C193" s="8" t="str">
        <f>IF(Master!$M117&lt;&gt;"",Master!$M117,"")</f>
        <v/>
      </c>
      <c r="D193" s="7" t="str">
        <f>IF(Master!$M117&lt;&gt;"",Master!$S117 &amp; "", "")</f>
        <v/>
      </c>
      <c r="E193" s="7" t="str">
        <f>IF(Master!$M117&lt;&gt;"",Master!$T117 &amp; "", "")</f>
        <v/>
      </c>
      <c r="F193" s="7" t="str">
        <f>IF(Master!$M117&lt;&gt;"",Master!$U117 &amp; "", "")</f>
        <v/>
      </c>
    </row>
    <row r="194" spans="1:6" x14ac:dyDescent="0.25">
      <c r="A194" s="8" t="str">
        <f>IF(Master!$M119&lt;&gt;"",Master!$C119,"")</f>
        <v/>
      </c>
      <c r="B194" s="8" t="str">
        <f>IF(Master!$M119&lt;&gt;"",Master!$D119,"")</f>
        <v/>
      </c>
      <c r="C194" s="8" t="str">
        <f>IF(Master!$M119&lt;&gt;"",Master!$M119,"")</f>
        <v/>
      </c>
      <c r="D194" s="7" t="str">
        <f>IF(Master!$M119&lt;&gt;"",Master!$S119 &amp; "", "")</f>
        <v/>
      </c>
      <c r="E194" s="7" t="str">
        <f>IF(Master!$M119&lt;&gt;"",Master!$T119 &amp; "", "")</f>
        <v/>
      </c>
      <c r="F194" s="7" t="str">
        <f>IF(Master!$M119&lt;&gt;"",Master!$U119 &amp; "", "")</f>
        <v/>
      </c>
    </row>
    <row r="195" spans="1:6" x14ac:dyDescent="0.25">
      <c r="A195" s="8" t="str">
        <f>IF(Master!$M120&lt;&gt;"",Master!$C120,"")</f>
        <v/>
      </c>
      <c r="B195" s="8" t="str">
        <f>IF(Master!$M120&lt;&gt;"",Master!$D120,"")</f>
        <v/>
      </c>
      <c r="C195" s="8" t="str">
        <f>IF(Master!$M120&lt;&gt;"",Master!$M120,"")</f>
        <v/>
      </c>
      <c r="D195" s="7" t="str">
        <f>IF(Master!$M120&lt;&gt;"",Master!$S120 &amp; "", "")</f>
        <v/>
      </c>
      <c r="E195" s="7" t="str">
        <f>IF(Master!$M120&lt;&gt;"",Master!$T120 &amp; "", "")</f>
        <v/>
      </c>
      <c r="F195" s="7" t="str">
        <f>IF(Master!$M120&lt;&gt;"",Master!$U120 &amp; "", "")</f>
        <v/>
      </c>
    </row>
    <row r="196" spans="1:6" x14ac:dyDescent="0.25">
      <c r="A196" s="8" t="str">
        <f>IF(Master!$M121&lt;&gt;"",Master!$C121,"")</f>
        <v/>
      </c>
      <c r="B196" s="8" t="str">
        <f>IF(Master!$M121&lt;&gt;"",Master!$D121,"")</f>
        <v/>
      </c>
      <c r="C196" s="8" t="str">
        <f>IF(Master!$M121&lt;&gt;"",Master!$M121,"")</f>
        <v/>
      </c>
      <c r="D196" s="7" t="str">
        <f>IF(Master!$M121&lt;&gt;"",Master!$S121 &amp; "", "")</f>
        <v/>
      </c>
      <c r="E196" s="7" t="str">
        <f>IF(Master!$M121&lt;&gt;"",Master!$T121 &amp; "", "")</f>
        <v/>
      </c>
      <c r="F196" s="7" t="str">
        <f>IF(Master!$M121&lt;&gt;"",Master!$U121 &amp; "", "")</f>
        <v/>
      </c>
    </row>
    <row r="197" spans="1:6" x14ac:dyDescent="0.25">
      <c r="A197" s="8" t="str">
        <f>IF(Master!$M122&lt;&gt;"",Master!$C122,"")</f>
        <v/>
      </c>
      <c r="B197" s="8" t="str">
        <f>IF(Master!$M122&lt;&gt;"",Master!$D122,"")</f>
        <v/>
      </c>
      <c r="C197" s="8" t="str">
        <f>IF(Master!$M122&lt;&gt;"",Master!$M122,"")</f>
        <v/>
      </c>
      <c r="D197" s="7" t="str">
        <f>IF(Master!$M122&lt;&gt;"",Master!$S122 &amp; "", "")</f>
        <v/>
      </c>
      <c r="E197" s="7" t="str">
        <f>IF(Master!$M122&lt;&gt;"",Master!$T122 &amp; "", "")</f>
        <v/>
      </c>
      <c r="F197" s="7" t="str">
        <f>IF(Master!$M122&lt;&gt;"",Master!$U122 &amp; "", "")</f>
        <v/>
      </c>
    </row>
    <row r="198" spans="1:6" x14ac:dyDescent="0.25">
      <c r="A198" s="8" t="str">
        <f>IF(Master!$M123&lt;&gt;"",Master!$C123,"")</f>
        <v/>
      </c>
      <c r="B198" s="8" t="str">
        <f>IF(Master!$M123&lt;&gt;"",Master!$D123,"")</f>
        <v/>
      </c>
      <c r="C198" s="8" t="str">
        <f>IF(Master!$M123&lt;&gt;"",Master!$M123,"")</f>
        <v/>
      </c>
      <c r="D198" s="7" t="str">
        <f>IF(Master!$M123&lt;&gt;"",Master!$S123 &amp; "", "")</f>
        <v/>
      </c>
      <c r="E198" s="7" t="str">
        <f>IF(Master!$M123&lt;&gt;"",Master!$T123 &amp; "", "")</f>
        <v/>
      </c>
      <c r="F198" s="7" t="str">
        <f>IF(Master!$M123&lt;&gt;"",Master!$U123 &amp; "", "")</f>
        <v/>
      </c>
    </row>
    <row r="199" spans="1:6" x14ac:dyDescent="0.25">
      <c r="A199" s="8" t="str">
        <f>IF(Master!$M128&lt;&gt;"",Master!$C128,"")</f>
        <v/>
      </c>
      <c r="B199" s="8" t="str">
        <f>IF(Master!$M128&lt;&gt;"",Master!$D128,"")</f>
        <v/>
      </c>
      <c r="C199" s="8" t="str">
        <f>IF(Master!$M128&lt;&gt;"",Master!$M128,"")</f>
        <v/>
      </c>
      <c r="D199" s="7" t="str">
        <f>IF(Master!$M128&lt;&gt;"",Master!$S128 &amp; "", "")</f>
        <v/>
      </c>
      <c r="E199" s="7" t="str">
        <f>IF(Master!$M128&lt;&gt;"",Master!$T128 &amp; "", "")</f>
        <v/>
      </c>
      <c r="F199" s="7" t="str">
        <f>IF(Master!$M128&lt;&gt;"",Master!$U128 &amp; "", "")</f>
        <v/>
      </c>
    </row>
    <row r="200" spans="1:6" x14ac:dyDescent="0.25">
      <c r="A200" s="8" t="str">
        <f>IF(Master!$M129&lt;&gt;"",Master!$C129,"")</f>
        <v/>
      </c>
      <c r="B200" s="8" t="str">
        <f>IF(Master!$M129&lt;&gt;"",Master!$D129,"")</f>
        <v/>
      </c>
      <c r="C200" s="8" t="str">
        <f>IF(Master!$M129&lt;&gt;"",Master!$M129,"")</f>
        <v/>
      </c>
      <c r="D200" s="7" t="str">
        <f>IF(Master!$M129&lt;&gt;"",Master!$S129 &amp; "", "")</f>
        <v/>
      </c>
      <c r="E200" s="7" t="str">
        <f>IF(Master!$M129&lt;&gt;"",Master!$T129 &amp; "", "")</f>
        <v/>
      </c>
      <c r="F200" s="7" t="str">
        <f>IF(Master!$M129&lt;&gt;"",Master!$U129 &amp; "", "")</f>
        <v/>
      </c>
    </row>
    <row r="201" spans="1:6" x14ac:dyDescent="0.25">
      <c r="A201" s="8" t="str">
        <f>IF(Master!$M130&lt;&gt;"",Master!$C130,"")</f>
        <v/>
      </c>
      <c r="B201" s="8" t="str">
        <f>IF(Master!$M130&lt;&gt;"",Master!$D130,"")</f>
        <v/>
      </c>
      <c r="C201" s="8" t="str">
        <f>IF(Master!$M130&lt;&gt;"",Master!$M130,"")</f>
        <v/>
      </c>
      <c r="D201" s="7" t="str">
        <f>IF(Master!$M130&lt;&gt;"",Master!$S130 &amp; "", "")</f>
        <v/>
      </c>
      <c r="E201" s="7" t="str">
        <f>IF(Master!$M130&lt;&gt;"",Master!$T130 &amp; "", "")</f>
        <v/>
      </c>
      <c r="F201" s="7" t="str">
        <f>IF(Master!$M130&lt;&gt;"",Master!$U130 &amp; "", "")</f>
        <v/>
      </c>
    </row>
    <row r="202" spans="1:6" x14ac:dyDescent="0.25">
      <c r="A202" s="8" t="str">
        <f>IF(Master!$M131&lt;&gt;"",Master!$C131,"")</f>
        <v/>
      </c>
      <c r="B202" s="8" t="str">
        <f>IF(Master!$M131&lt;&gt;"",Master!$D131,"")</f>
        <v/>
      </c>
      <c r="C202" s="8" t="str">
        <f>IF(Master!$M131&lt;&gt;"",Master!$M131,"")</f>
        <v/>
      </c>
      <c r="D202" s="7" t="str">
        <f>IF(Master!$M131&lt;&gt;"",Master!$S131 &amp; "", "")</f>
        <v/>
      </c>
      <c r="E202" s="7" t="str">
        <f>IF(Master!$M131&lt;&gt;"",Master!$T131 &amp; "", "")</f>
        <v/>
      </c>
      <c r="F202" s="7" t="str">
        <f>IF(Master!$M131&lt;&gt;"",Master!$U131 &amp; "", "")</f>
        <v/>
      </c>
    </row>
    <row r="203" spans="1:6" x14ac:dyDescent="0.25">
      <c r="A203" s="8" t="str">
        <f>IF(Master!$M132&lt;&gt;"",Master!$C132,"")</f>
        <v/>
      </c>
      <c r="B203" s="8" t="str">
        <f>IF(Master!$M132&lt;&gt;"",Master!$D132,"")</f>
        <v/>
      </c>
      <c r="C203" s="8" t="str">
        <f>IF(Master!$M132&lt;&gt;"",Master!$M132,"")</f>
        <v/>
      </c>
      <c r="D203" s="7" t="str">
        <f>IF(Master!$M132&lt;&gt;"",Master!$S132 &amp; "", "")</f>
        <v/>
      </c>
      <c r="E203" s="7" t="str">
        <f>IF(Master!$M132&lt;&gt;"",Master!$T132 &amp; "", "")</f>
        <v/>
      </c>
      <c r="F203" s="7" t="str">
        <f>IF(Master!$M132&lt;&gt;"",Master!$U132 &amp; "", "")</f>
        <v/>
      </c>
    </row>
    <row r="204" spans="1:6" x14ac:dyDescent="0.25">
      <c r="A204" s="8" t="str">
        <f>IF(Master!$M133&lt;&gt;"",Master!$C133,"")</f>
        <v/>
      </c>
      <c r="B204" s="8" t="str">
        <f>IF(Master!$M133&lt;&gt;"",Master!$D133,"")</f>
        <v/>
      </c>
      <c r="C204" s="8" t="str">
        <f>IF(Master!$M133&lt;&gt;"",Master!$M133,"")</f>
        <v/>
      </c>
      <c r="D204" s="7" t="str">
        <f>IF(Master!$M133&lt;&gt;"",Master!$S133 &amp; "", "")</f>
        <v/>
      </c>
      <c r="E204" s="7" t="str">
        <f>IF(Master!$M133&lt;&gt;"",Master!$T133 &amp; "", "")</f>
        <v/>
      </c>
      <c r="F204" s="7" t="str">
        <f>IF(Master!$M133&lt;&gt;"",Master!$U133 &amp; "", "")</f>
        <v/>
      </c>
    </row>
    <row r="205" spans="1:6" x14ac:dyDescent="0.25">
      <c r="A205" s="8" t="str">
        <f>IF(Master!$M134&lt;&gt;"",Master!$C134,"")</f>
        <v/>
      </c>
      <c r="B205" s="8" t="str">
        <f>IF(Master!$M134&lt;&gt;"",Master!$D134,"")</f>
        <v/>
      </c>
      <c r="C205" s="8" t="str">
        <f>IF(Master!$M134&lt;&gt;"",Master!$M134,"")</f>
        <v/>
      </c>
      <c r="D205" s="7" t="str">
        <f>IF(Master!$M134&lt;&gt;"",Master!$S134 &amp; "", "")</f>
        <v/>
      </c>
      <c r="E205" s="7" t="str">
        <f>IF(Master!$M134&lt;&gt;"",Master!$T134 &amp; "", "")</f>
        <v/>
      </c>
      <c r="F205" s="7" t="str">
        <f>IF(Master!$M134&lt;&gt;"",Master!$U134 &amp; "", "")</f>
        <v/>
      </c>
    </row>
    <row r="206" spans="1:6" x14ac:dyDescent="0.25">
      <c r="A206" s="8" t="str">
        <f>IF(Master!$M135&lt;&gt;"",Master!$C135,"")</f>
        <v/>
      </c>
      <c r="B206" s="8" t="str">
        <f>IF(Master!$M135&lt;&gt;"",Master!$D135,"")</f>
        <v/>
      </c>
      <c r="C206" s="8" t="str">
        <f>IF(Master!$M135&lt;&gt;"",Master!$M135,"")</f>
        <v/>
      </c>
      <c r="D206" s="7" t="str">
        <f>IF(Master!$M135&lt;&gt;"",Master!$S135 &amp; "", "")</f>
        <v/>
      </c>
      <c r="E206" s="7" t="str">
        <f>IF(Master!$M135&lt;&gt;"",Master!$T135 &amp; "", "")</f>
        <v/>
      </c>
      <c r="F206" s="7" t="str">
        <f>IF(Master!$M135&lt;&gt;"",Master!$U135 &amp; "", "")</f>
        <v/>
      </c>
    </row>
    <row r="207" spans="1:6" x14ac:dyDescent="0.25">
      <c r="A207" s="8" t="str">
        <f>IF(Master!$M137&lt;&gt;"",Master!$C137,"")</f>
        <v/>
      </c>
      <c r="B207" s="8" t="str">
        <f>IF(Master!$M137&lt;&gt;"",Master!$D137,"")</f>
        <v/>
      </c>
      <c r="C207" s="8" t="str">
        <f>IF(Master!$M137&lt;&gt;"",Master!$M137,"")</f>
        <v/>
      </c>
      <c r="D207" s="7" t="str">
        <f>IF(Master!$M137&lt;&gt;"",Master!$S137 &amp; "", "")</f>
        <v/>
      </c>
      <c r="E207" s="7" t="str">
        <f>IF(Master!$M137&lt;&gt;"",Master!$T137 &amp; "", "")</f>
        <v/>
      </c>
      <c r="F207" s="7" t="str">
        <f>IF(Master!$M137&lt;&gt;"",Master!$U137 &amp; "", "")</f>
        <v/>
      </c>
    </row>
    <row r="208" spans="1:6" x14ac:dyDescent="0.25">
      <c r="A208" s="8" t="str">
        <f>IF(Master!$M138&lt;&gt;"",Master!$C138,"")</f>
        <v/>
      </c>
      <c r="B208" s="8" t="str">
        <f>IF(Master!$M138&lt;&gt;"",Master!$D138,"")</f>
        <v/>
      </c>
      <c r="C208" s="8" t="str">
        <f>IF(Master!$M138&lt;&gt;"",Master!$M138,"")</f>
        <v/>
      </c>
      <c r="D208" s="7" t="str">
        <f>IF(Master!$M138&lt;&gt;"",Master!$S138 &amp; "", "")</f>
        <v/>
      </c>
      <c r="E208" s="7" t="str">
        <f>IF(Master!$M138&lt;&gt;"",Master!$T138 &amp; "", "")</f>
        <v/>
      </c>
      <c r="F208" s="7" t="str">
        <f>IF(Master!$M138&lt;&gt;"",Master!$U138 &amp; "", "")</f>
        <v/>
      </c>
    </row>
    <row r="209" spans="1:6" x14ac:dyDescent="0.25">
      <c r="A209" s="8" t="str">
        <f>IF(Master!$M139&lt;&gt;"",Master!$C139,"")</f>
        <v/>
      </c>
      <c r="B209" s="8" t="str">
        <f>IF(Master!$M139&lt;&gt;"",Master!$D139,"")</f>
        <v/>
      </c>
      <c r="C209" s="8" t="str">
        <f>IF(Master!$M139&lt;&gt;"",Master!$M139,"")</f>
        <v/>
      </c>
      <c r="D209" s="7" t="str">
        <f>IF(Master!$M139&lt;&gt;"",Master!$S139 &amp; "", "")</f>
        <v/>
      </c>
      <c r="E209" s="7" t="str">
        <f>IF(Master!$M139&lt;&gt;"",Master!$T139 &amp; "", "")</f>
        <v/>
      </c>
      <c r="F209" s="7" t="str">
        <f>IF(Master!$M139&lt;&gt;"",Master!$U139 &amp; "", "")</f>
        <v/>
      </c>
    </row>
    <row r="210" spans="1:6" x14ac:dyDescent="0.25">
      <c r="A210" s="8" t="str">
        <f>IF(Master!$M140&lt;&gt;"",Master!$C140,"")</f>
        <v/>
      </c>
      <c r="B210" s="8" t="str">
        <f>IF(Master!$M140&lt;&gt;"",Master!$D140,"")</f>
        <v/>
      </c>
      <c r="C210" s="8" t="str">
        <f>IF(Master!$M140&lt;&gt;"",Master!$M140,"")</f>
        <v/>
      </c>
      <c r="D210" s="7" t="str">
        <f>IF(Master!$M140&lt;&gt;"",Master!$S140 &amp; "", "")</f>
        <v/>
      </c>
      <c r="E210" s="7" t="str">
        <f>IF(Master!$M140&lt;&gt;"",Master!$T140 &amp; "", "")</f>
        <v/>
      </c>
      <c r="F210" s="7" t="str">
        <f>IF(Master!$M140&lt;&gt;"",Master!$U140 &amp; "", "")</f>
        <v/>
      </c>
    </row>
    <row r="211" spans="1:6" x14ac:dyDescent="0.25">
      <c r="A211" s="8" t="str">
        <f>IF(Master!$M141&lt;&gt;"",Master!$C141,"")</f>
        <v/>
      </c>
      <c r="B211" s="8" t="str">
        <f>IF(Master!$M141&lt;&gt;"",Master!$D141,"")</f>
        <v/>
      </c>
      <c r="C211" s="8" t="str">
        <f>IF(Master!$M141&lt;&gt;"",Master!$M141,"")</f>
        <v/>
      </c>
      <c r="D211" s="7" t="str">
        <f>IF(Master!$M141&lt;&gt;"",Master!$S141 &amp; "", "")</f>
        <v/>
      </c>
      <c r="E211" s="7" t="str">
        <f>IF(Master!$M141&lt;&gt;"",Master!$T141 &amp; "", "")</f>
        <v/>
      </c>
      <c r="F211" s="7" t="str">
        <f>IF(Master!$M141&lt;&gt;"",Master!$U141 &amp; "", "")</f>
        <v/>
      </c>
    </row>
    <row r="212" spans="1:6" x14ac:dyDescent="0.25">
      <c r="A212" s="8" t="str">
        <f>IF(Master!$M145&lt;&gt;"",Master!$C145,"")</f>
        <v/>
      </c>
      <c r="B212" s="8" t="str">
        <f>IF(Master!$M145&lt;&gt;"",Master!$D145,"")</f>
        <v/>
      </c>
      <c r="C212" s="8" t="str">
        <f>IF(Master!$M145&lt;&gt;"",Master!$M145,"")</f>
        <v/>
      </c>
      <c r="D212" s="7" t="str">
        <f>IF(Master!$M145&lt;&gt;"",Master!$S145 &amp; "", "")</f>
        <v/>
      </c>
      <c r="E212" s="7" t="str">
        <f>IF(Master!$M145&lt;&gt;"",Master!$T145 &amp; "", "")</f>
        <v/>
      </c>
      <c r="F212" s="7" t="str">
        <f>IF(Master!$M145&lt;&gt;"",Master!$U145 &amp; "", "")</f>
        <v/>
      </c>
    </row>
    <row r="213" spans="1:6" x14ac:dyDescent="0.25">
      <c r="A213" s="8" t="str">
        <f>IF(Master!$M146&lt;&gt;"",Master!$C146,"")</f>
        <v/>
      </c>
      <c r="B213" s="8" t="str">
        <f>IF(Master!$M146&lt;&gt;"",Master!$D146,"")</f>
        <v/>
      </c>
      <c r="C213" s="8" t="str">
        <f>IF(Master!$M146&lt;&gt;"",Master!$M146,"")</f>
        <v/>
      </c>
      <c r="D213" s="7" t="str">
        <f>IF(Master!$M146&lt;&gt;"",Master!$S146 &amp; "", "")</f>
        <v/>
      </c>
      <c r="E213" s="7" t="str">
        <f>IF(Master!$M146&lt;&gt;"",Master!$T146 &amp; "", "")</f>
        <v/>
      </c>
      <c r="F213" s="7" t="str">
        <f>IF(Master!$M146&lt;&gt;"",Master!$U146 &amp; "", "")</f>
        <v/>
      </c>
    </row>
    <row r="214" spans="1:6" x14ac:dyDescent="0.25">
      <c r="A214" s="8" t="str">
        <f>IF(Master!$M147&lt;&gt;"",Master!$C147,"")</f>
        <v/>
      </c>
      <c r="B214" s="8" t="str">
        <f>IF(Master!$M147&lt;&gt;"",Master!$D147,"")</f>
        <v/>
      </c>
      <c r="C214" s="8" t="str">
        <f>IF(Master!$M147&lt;&gt;"",Master!$M147,"")</f>
        <v/>
      </c>
      <c r="D214" s="7" t="str">
        <f>IF(Master!$M147&lt;&gt;"",Master!$S147 &amp; "", "")</f>
        <v/>
      </c>
      <c r="E214" s="7" t="str">
        <f>IF(Master!$M147&lt;&gt;"",Master!$T147 &amp; "", "")</f>
        <v/>
      </c>
      <c r="F214" s="7" t="str">
        <f>IF(Master!$M147&lt;&gt;"",Master!$U147 &amp; "", "")</f>
        <v/>
      </c>
    </row>
    <row r="215" spans="1:6" x14ac:dyDescent="0.25">
      <c r="A215" s="8" t="str">
        <f>IF(Master!$M149&lt;&gt;"",Master!$C149,"")</f>
        <v/>
      </c>
      <c r="B215" s="8" t="str">
        <f>IF(Master!$M149&lt;&gt;"",Master!$D149,"")</f>
        <v/>
      </c>
      <c r="C215" s="8" t="str">
        <f>IF(Master!$M149&lt;&gt;"",Master!$M149,"")</f>
        <v/>
      </c>
      <c r="D215" s="7" t="str">
        <f>IF(Master!$M149&lt;&gt;"",Master!$S149 &amp; "", "")</f>
        <v/>
      </c>
      <c r="E215" s="7" t="str">
        <f>IF(Master!$M149&lt;&gt;"",Master!$T149 &amp; "", "")</f>
        <v/>
      </c>
      <c r="F215" s="7" t="str">
        <f>IF(Master!$M149&lt;&gt;"",Master!$U149 &amp; "", "")</f>
        <v/>
      </c>
    </row>
    <row r="216" spans="1:6" x14ac:dyDescent="0.25">
      <c r="A216" s="8" t="str">
        <f>IF(Master!$M154&lt;&gt;"",Master!$C154,"")</f>
        <v/>
      </c>
      <c r="B216" s="8" t="str">
        <f>IF(Master!$M154&lt;&gt;"",Master!$D154,"")</f>
        <v/>
      </c>
      <c r="C216" s="8" t="str">
        <f>IF(Master!$M154&lt;&gt;"",Master!$M154,"")</f>
        <v/>
      </c>
      <c r="D216" s="7" t="str">
        <f>IF(Master!$M154&lt;&gt;"",Master!$S154 &amp; "", "")</f>
        <v/>
      </c>
      <c r="E216" s="7" t="str">
        <f>IF(Master!$M154&lt;&gt;"",Master!$T154 &amp; "", "")</f>
        <v/>
      </c>
      <c r="F216" s="7" t="str">
        <f>IF(Master!$M154&lt;&gt;"",Master!$U154 &amp; "", "")</f>
        <v/>
      </c>
    </row>
    <row r="217" spans="1:6" x14ac:dyDescent="0.25">
      <c r="A217" s="8" t="str">
        <f>IF(Master!$M156&lt;&gt;"",Master!$C156,"")</f>
        <v/>
      </c>
      <c r="B217" s="8" t="str">
        <f>IF(Master!$M156&lt;&gt;"",Master!$D156,"")</f>
        <v/>
      </c>
      <c r="C217" s="8" t="str">
        <f>IF(Master!$M156&lt;&gt;"",Master!$M156,"")</f>
        <v/>
      </c>
      <c r="D217" s="7" t="str">
        <f>IF(Master!$M156&lt;&gt;"",Master!$S156 &amp; "", "")</f>
        <v/>
      </c>
      <c r="E217" s="7" t="str">
        <f>IF(Master!$M156&lt;&gt;"",Master!$T156 &amp; "", "")</f>
        <v/>
      </c>
      <c r="F217" s="7" t="str">
        <f>IF(Master!$M156&lt;&gt;"",Master!$U156 &amp; "", "")</f>
        <v/>
      </c>
    </row>
    <row r="218" spans="1:6" x14ac:dyDescent="0.25">
      <c r="A218" s="8" t="str">
        <f>IF(Master!$M159&lt;&gt;"",Master!$C159,"")</f>
        <v/>
      </c>
      <c r="B218" s="8" t="str">
        <f>IF(Master!$M159&lt;&gt;"",Master!$D159,"")</f>
        <v/>
      </c>
      <c r="C218" s="8" t="str">
        <f>IF(Master!$M159&lt;&gt;"",Master!$M159,"")</f>
        <v/>
      </c>
      <c r="D218" s="7" t="str">
        <f>IF(Master!$M159&lt;&gt;"",Master!$S159 &amp; "", "")</f>
        <v/>
      </c>
      <c r="E218" s="7" t="str">
        <f>IF(Master!$M159&lt;&gt;"",Master!$T159 &amp; "", "")</f>
        <v/>
      </c>
      <c r="F218" s="7" t="str">
        <f>IF(Master!$M159&lt;&gt;"",Master!$U159 &amp; "", "")</f>
        <v/>
      </c>
    </row>
    <row r="219" spans="1:6" x14ac:dyDescent="0.25">
      <c r="A219" s="8" t="str">
        <f>IF(Master!$M160&lt;&gt;"",Master!$C160,"")</f>
        <v/>
      </c>
      <c r="B219" s="8" t="str">
        <f>IF(Master!$M160&lt;&gt;"",Master!$D160,"")</f>
        <v/>
      </c>
      <c r="C219" s="8" t="str">
        <f>IF(Master!$M160&lt;&gt;"",Master!$M160,"")</f>
        <v/>
      </c>
      <c r="D219" s="7" t="str">
        <f>IF(Master!$M160&lt;&gt;"",Master!$S160 &amp; "", "")</f>
        <v/>
      </c>
      <c r="E219" s="7" t="str">
        <f>IF(Master!$M160&lt;&gt;"",Master!$T160 &amp; "", "")</f>
        <v/>
      </c>
      <c r="F219" s="7" t="str">
        <f>IF(Master!$M160&lt;&gt;"",Master!$U160 &amp; "", "")</f>
        <v/>
      </c>
    </row>
    <row r="220" spans="1:6" x14ac:dyDescent="0.25">
      <c r="A220" s="8" t="str">
        <f>IF(Master!$M162&lt;&gt;"",Master!$C162,"")</f>
        <v/>
      </c>
      <c r="B220" s="8" t="str">
        <f>IF(Master!$M162&lt;&gt;"",Master!$D162,"")</f>
        <v/>
      </c>
      <c r="C220" s="8" t="str">
        <f>IF(Master!$M162&lt;&gt;"",Master!$M162,"")</f>
        <v/>
      </c>
      <c r="D220" s="7" t="str">
        <f>IF(Master!$M162&lt;&gt;"",Master!$S162 &amp; "", "")</f>
        <v/>
      </c>
      <c r="E220" s="7" t="str">
        <f>IF(Master!$M162&lt;&gt;"",Master!$T162 &amp; "", "")</f>
        <v/>
      </c>
      <c r="F220" s="7" t="str">
        <f>IF(Master!$M162&lt;&gt;"",Master!$U162 &amp; "", "")</f>
        <v/>
      </c>
    </row>
    <row r="221" spans="1:6" x14ac:dyDescent="0.25">
      <c r="A221" s="8" t="str">
        <f>IF(Master!$M163&lt;&gt;"",Master!$C163,"")</f>
        <v/>
      </c>
      <c r="B221" s="8" t="str">
        <f>IF(Master!$M163&lt;&gt;"",Master!$D163,"")</f>
        <v/>
      </c>
      <c r="C221" s="8" t="str">
        <f>IF(Master!$M163&lt;&gt;"",Master!$M163,"")</f>
        <v/>
      </c>
      <c r="D221" s="7" t="str">
        <f>IF(Master!$M163&lt;&gt;"",Master!$S163 &amp; "", "")</f>
        <v/>
      </c>
      <c r="E221" s="7" t="str">
        <f>IF(Master!$M163&lt;&gt;"",Master!$T163 &amp; "", "")</f>
        <v/>
      </c>
      <c r="F221" s="7" t="str">
        <f>IF(Master!$M163&lt;&gt;"",Master!$U163 &amp; "", "")</f>
        <v/>
      </c>
    </row>
    <row r="222" spans="1:6" x14ac:dyDescent="0.25">
      <c r="A222" s="8" t="str">
        <f>IF(Master!$M167&lt;&gt;"",Master!$C167,"")</f>
        <v/>
      </c>
      <c r="B222" s="8" t="str">
        <f>IF(Master!$M167&lt;&gt;"",Master!$D167,"")</f>
        <v/>
      </c>
      <c r="C222" s="8" t="str">
        <f>IF(Master!$M167&lt;&gt;"",Master!$M167,"")</f>
        <v/>
      </c>
      <c r="D222" s="7" t="str">
        <f>IF(Master!$M167&lt;&gt;"",Master!$S167 &amp; "", "")</f>
        <v/>
      </c>
      <c r="E222" s="7" t="str">
        <f>IF(Master!$M167&lt;&gt;"",Master!$T167 &amp; "", "")</f>
        <v/>
      </c>
      <c r="F222" s="7" t="str">
        <f>IF(Master!$M167&lt;&gt;"",Master!$U167 &amp; "", "")</f>
        <v/>
      </c>
    </row>
    <row r="223" spans="1:6" x14ac:dyDescent="0.25">
      <c r="A223" s="8" t="str">
        <f>IF(Master!$M168&lt;&gt;"",Master!$C168,"")</f>
        <v/>
      </c>
      <c r="B223" s="8" t="str">
        <f>IF(Master!$M168&lt;&gt;"",Master!$D168,"")</f>
        <v/>
      </c>
      <c r="C223" s="8" t="str">
        <f>IF(Master!$M168&lt;&gt;"",Master!$M168,"")</f>
        <v/>
      </c>
      <c r="D223" s="7" t="str">
        <f>IF(Master!$M168&lt;&gt;"",Master!$S168 &amp; "", "")</f>
        <v/>
      </c>
      <c r="E223" s="7" t="str">
        <f>IF(Master!$M168&lt;&gt;"",Master!$T168 &amp; "", "")</f>
        <v/>
      </c>
      <c r="F223" s="7" t="str">
        <f>IF(Master!$M168&lt;&gt;"",Master!$U168 &amp; "", "")</f>
        <v/>
      </c>
    </row>
    <row r="224" spans="1:6" x14ac:dyDescent="0.25">
      <c r="A224" s="8" t="str">
        <f>IF(Master!$M169&lt;&gt;"",Master!$C169,"")</f>
        <v/>
      </c>
      <c r="B224" s="8" t="str">
        <f>IF(Master!$M169&lt;&gt;"",Master!$D169,"")</f>
        <v/>
      </c>
      <c r="C224" s="8" t="str">
        <f>IF(Master!$M169&lt;&gt;"",Master!$M169,"")</f>
        <v/>
      </c>
      <c r="D224" s="7" t="str">
        <f>IF(Master!$M169&lt;&gt;"",Master!$S169 &amp; "", "")</f>
        <v/>
      </c>
      <c r="E224" s="7" t="str">
        <f>IF(Master!$M169&lt;&gt;"",Master!$T169 &amp; "", "")</f>
        <v/>
      </c>
      <c r="F224" s="7" t="str">
        <f>IF(Master!$M169&lt;&gt;"",Master!$U169 &amp; "", "")</f>
        <v/>
      </c>
    </row>
    <row r="225" spans="1:6" x14ac:dyDescent="0.25">
      <c r="A225" s="8" t="str">
        <f>IF(Master!$M171&lt;&gt;"",Master!$C171,"")</f>
        <v/>
      </c>
      <c r="B225" s="8" t="str">
        <f>IF(Master!$M171&lt;&gt;"",Master!$D171,"")</f>
        <v/>
      </c>
      <c r="C225" s="8" t="str">
        <f>IF(Master!$M171&lt;&gt;"",Master!$M171,"")</f>
        <v/>
      </c>
      <c r="D225" s="7" t="str">
        <f>IF(Master!$M171&lt;&gt;"",Master!$S171 &amp; "", "")</f>
        <v/>
      </c>
      <c r="E225" s="7" t="str">
        <f>IF(Master!$M171&lt;&gt;"",Master!$T171 &amp; "", "")</f>
        <v/>
      </c>
      <c r="F225" s="7" t="str">
        <f>IF(Master!$M171&lt;&gt;"",Master!$U171 &amp; "", "")</f>
        <v/>
      </c>
    </row>
    <row r="226" spans="1:6" x14ac:dyDescent="0.25">
      <c r="A226" s="8" t="str">
        <f>IF(Master!$M173&lt;&gt;"",Master!$C173,"")</f>
        <v/>
      </c>
      <c r="B226" s="8" t="str">
        <f>IF(Master!$M173&lt;&gt;"",Master!$D173,"")</f>
        <v/>
      </c>
      <c r="C226" s="8" t="str">
        <f>IF(Master!$M173&lt;&gt;"",Master!$M173,"")</f>
        <v/>
      </c>
      <c r="D226" s="7" t="str">
        <f>IF(Master!$M173&lt;&gt;"",Master!$S173 &amp; "", "")</f>
        <v/>
      </c>
      <c r="E226" s="7" t="str">
        <f>IF(Master!$M173&lt;&gt;"",Master!$T173 &amp; "", "")</f>
        <v/>
      </c>
      <c r="F226" s="7" t="str">
        <f>IF(Master!$M173&lt;&gt;"",Master!$U173 &amp; "", "")</f>
        <v/>
      </c>
    </row>
    <row r="227" spans="1:6" x14ac:dyDescent="0.25">
      <c r="A227" s="8" t="str">
        <f>IF(Master!$M175&lt;&gt;"",Master!$C175,"")</f>
        <v/>
      </c>
      <c r="B227" s="8" t="str">
        <f>IF(Master!$M175&lt;&gt;"",Master!$D175,"")</f>
        <v/>
      </c>
      <c r="C227" s="8" t="str">
        <f>IF(Master!$M175&lt;&gt;"",Master!$M175,"")</f>
        <v/>
      </c>
      <c r="D227" s="7" t="str">
        <f>IF(Master!$M175&lt;&gt;"",Master!$S175 &amp; "", "")</f>
        <v/>
      </c>
      <c r="E227" s="7" t="str">
        <f>IF(Master!$M175&lt;&gt;"",Master!$T175 &amp; "", "")</f>
        <v/>
      </c>
      <c r="F227" s="7" t="str">
        <f>IF(Master!$M175&lt;&gt;"",Master!$U175 &amp; "", "")</f>
        <v/>
      </c>
    </row>
    <row r="228" spans="1:6" x14ac:dyDescent="0.25">
      <c r="A228" s="8" t="str">
        <f>IF(Master!$M177&lt;&gt;"",Master!$C177,"")</f>
        <v/>
      </c>
      <c r="B228" s="8" t="str">
        <f>IF(Master!$M177&lt;&gt;"",Master!$D177,"")</f>
        <v/>
      </c>
      <c r="C228" s="8" t="str">
        <f>IF(Master!$M177&lt;&gt;"",Master!$M177,"")</f>
        <v/>
      </c>
      <c r="D228" s="7" t="str">
        <f>IF(Master!$M177&lt;&gt;"",Master!$S177 &amp; "", "")</f>
        <v/>
      </c>
      <c r="E228" s="7" t="str">
        <f>IF(Master!$M177&lt;&gt;"",Master!$T177 &amp; "", "")</f>
        <v/>
      </c>
      <c r="F228" s="7" t="str">
        <f>IF(Master!$M177&lt;&gt;"",Master!$U177 &amp; "", "")</f>
        <v/>
      </c>
    </row>
    <row r="229" spans="1:6" x14ac:dyDescent="0.25">
      <c r="A229" s="8" t="str">
        <f>IF(Master!$M179&lt;&gt;"",Master!$C179,"")</f>
        <v/>
      </c>
      <c r="B229" s="8" t="str">
        <f>IF(Master!$M179&lt;&gt;"",Master!$D179,"")</f>
        <v/>
      </c>
      <c r="C229" s="8" t="str">
        <f>IF(Master!$M179&lt;&gt;"",Master!$M179,"")</f>
        <v/>
      </c>
      <c r="D229" s="7" t="str">
        <f>IF(Master!$M179&lt;&gt;"",Master!$S179 &amp; "", "")</f>
        <v/>
      </c>
      <c r="E229" s="7" t="str">
        <f>IF(Master!$M179&lt;&gt;"",Master!$T179 &amp; "", "")</f>
        <v/>
      </c>
      <c r="F229" s="7" t="str">
        <f>IF(Master!$M179&lt;&gt;"",Master!$U179 &amp; "", "")</f>
        <v/>
      </c>
    </row>
    <row r="230" spans="1:6" x14ac:dyDescent="0.25">
      <c r="A230" s="8" t="str">
        <f>IF(Master!$M180&lt;&gt;"",Master!$C180,"")</f>
        <v/>
      </c>
      <c r="B230" s="8" t="str">
        <f>IF(Master!$M180&lt;&gt;"",Master!$D180,"")</f>
        <v/>
      </c>
      <c r="C230" s="8" t="str">
        <f>IF(Master!$M180&lt;&gt;"",Master!$M180,"")</f>
        <v/>
      </c>
      <c r="D230" s="7" t="str">
        <f>IF(Master!$M180&lt;&gt;"",Master!$S180 &amp; "", "")</f>
        <v/>
      </c>
      <c r="E230" s="7" t="str">
        <f>IF(Master!$M180&lt;&gt;"",Master!$T180 &amp; "", "")</f>
        <v/>
      </c>
      <c r="F230" s="7" t="str">
        <f>IF(Master!$M180&lt;&gt;"",Master!$U180 &amp; "", "")</f>
        <v/>
      </c>
    </row>
    <row r="231" spans="1:6" x14ac:dyDescent="0.25">
      <c r="A231" s="8" t="str">
        <f>IF(Master!$M181&lt;&gt;"",Master!$C181,"")</f>
        <v/>
      </c>
      <c r="B231" s="8" t="str">
        <f>IF(Master!$M181&lt;&gt;"",Master!$D181,"")</f>
        <v/>
      </c>
      <c r="C231" s="8" t="str">
        <f>IF(Master!$M181&lt;&gt;"",Master!$M181,"")</f>
        <v/>
      </c>
      <c r="D231" s="7" t="str">
        <f>IF(Master!$M181&lt;&gt;"",Master!$S181 &amp; "", "")</f>
        <v/>
      </c>
      <c r="E231" s="7" t="str">
        <f>IF(Master!$M181&lt;&gt;"",Master!$T181 &amp; "", "")</f>
        <v/>
      </c>
      <c r="F231" s="7" t="str">
        <f>IF(Master!$M181&lt;&gt;"",Master!$U181 &amp; "", "")</f>
        <v/>
      </c>
    </row>
    <row r="232" spans="1:6" x14ac:dyDescent="0.25">
      <c r="A232" s="8" t="str">
        <f>IF(Master!$M182&lt;&gt;"",Master!$C182,"")</f>
        <v/>
      </c>
      <c r="B232" s="8" t="str">
        <f>IF(Master!$M182&lt;&gt;"",Master!$D182,"")</f>
        <v/>
      </c>
      <c r="C232" s="8" t="str">
        <f>IF(Master!$M182&lt;&gt;"",Master!$M182,"")</f>
        <v/>
      </c>
      <c r="D232" s="7" t="str">
        <f>IF(Master!$M182&lt;&gt;"",Master!$S182 &amp; "", "")</f>
        <v/>
      </c>
      <c r="E232" s="7" t="str">
        <f>IF(Master!$M182&lt;&gt;"",Master!$T182 &amp; "", "")</f>
        <v/>
      </c>
      <c r="F232" s="7" t="str">
        <f>IF(Master!$M182&lt;&gt;"",Master!$U182 &amp; "", "")</f>
        <v/>
      </c>
    </row>
    <row r="233" spans="1:6" x14ac:dyDescent="0.25">
      <c r="A233" s="8" t="str">
        <f>IF(Master!$M183&lt;&gt;"",Master!$C183,"")</f>
        <v/>
      </c>
      <c r="B233" s="8" t="str">
        <f>IF(Master!$M183&lt;&gt;"",Master!$D183,"")</f>
        <v/>
      </c>
      <c r="C233" s="8" t="str">
        <f>IF(Master!$M183&lt;&gt;"",Master!$M183,"")</f>
        <v/>
      </c>
      <c r="D233" s="7" t="str">
        <f>IF(Master!$M183&lt;&gt;"",Master!$S183 &amp; "", "")</f>
        <v/>
      </c>
      <c r="E233" s="7" t="str">
        <f>IF(Master!$M183&lt;&gt;"",Master!$T183 &amp; "", "")</f>
        <v/>
      </c>
      <c r="F233" s="7" t="str">
        <f>IF(Master!$M183&lt;&gt;"",Master!$U183 &amp; "", "")</f>
        <v/>
      </c>
    </row>
    <row r="234" spans="1:6" x14ac:dyDescent="0.25">
      <c r="A234" s="8" t="str">
        <f>IF(Master!$M184&lt;&gt;"",Master!$C184,"")</f>
        <v/>
      </c>
      <c r="B234" s="8" t="str">
        <f>IF(Master!$M184&lt;&gt;"",Master!$D184,"")</f>
        <v/>
      </c>
      <c r="C234" s="8" t="str">
        <f>IF(Master!$M184&lt;&gt;"",Master!$M184,"")</f>
        <v/>
      </c>
      <c r="D234" s="7" t="str">
        <f>IF(Master!$M184&lt;&gt;"",Master!$S184 &amp; "", "")</f>
        <v/>
      </c>
      <c r="E234" s="7" t="str">
        <f>IF(Master!$M184&lt;&gt;"",Master!$T184 &amp; "", "")</f>
        <v/>
      </c>
      <c r="F234" s="7" t="str">
        <f>IF(Master!$M184&lt;&gt;"",Master!$U184 &amp; "", "")</f>
        <v/>
      </c>
    </row>
    <row r="235" spans="1:6" x14ac:dyDescent="0.25">
      <c r="A235" s="8" t="str">
        <f>IF(Master!$M189&lt;&gt;"",Master!$C189,"")</f>
        <v/>
      </c>
      <c r="B235" s="8" t="str">
        <f>IF(Master!$M189&lt;&gt;"",Master!$D189,"")</f>
        <v/>
      </c>
      <c r="C235" s="8" t="str">
        <f>IF(Master!$M189&lt;&gt;"",Master!$M189,"")</f>
        <v/>
      </c>
      <c r="D235" s="7" t="str">
        <f>IF(Master!$M189&lt;&gt;"",Master!$S189 &amp; "", "")</f>
        <v/>
      </c>
      <c r="E235" s="7" t="str">
        <f>IF(Master!$M189&lt;&gt;"",Master!$T189 &amp; "", "")</f>
        <v/>
      </c>
      <c r="F235" s="7" t="str">
        <f>IF(Master!$M189&lt;&gt;"",Master!$U189 &amp; "", "")</f>
        <v/>
      </c>
    </row>
    <row r="236" spans="1:6" x14ac:dyDescent="0.25">
      <c r="A236" s="8" t="str">
        <f>IF(Master!$M192&lt;&gt;"",Master!$C192,"")</f>
        <v/>
      </c>
      <c r="B236" s="8" t="str">
        <f>IF(Master!$M192&lt;&gt;"",Master!$D192,"")</f>
        <v/>
      </c>
      <c r="C236" s="8" t="str">
        <f>IF(Master!$M192&lt;&gt;"",Master!$M192,"")</f>
        <v/>
      </c>
      <c r="D236" s="7" t="str">
        <f>IF(Master!$M192&lt;&gt;"",Master!$S192 &amp; "", "")</f>
        <v/>
      </c>
      <c r="E236" s="7" t="str">
        <f>IF(Master!$M192&lt;&gt;"",Master!$T192 &amp; "", "")</f>
        <v/>
      </c>
      <c r="F236" s="7" t="str">
        <f>IF(Master!$M192&lt;&gt;"",Master!$U192 &amp; "", "")</f>
        <v/>
      </c>
    </row>
    <row r="237" spans="1:6" x14ac:dyDescent="0.25">
      <c r="A237" s="8" t="str">
        <f>IF(Master!$M193&lt;&gt;"",Master!$C193,"")</f>
        <v/>
      </c>
      <c r="B237" s="8" t="str">
        <f>IF(Master!$M193&lt;&gt;"",Master!$D193,"")</f>
        <v/>
      </c>
      <c r="C237" s="8" t="str">
        <f>IF(Master!$M193&lt;&gt;"",Master!$M193,"")</f>
        <v/>
      </c>
      <c r="D237" s="7" t="str">
        <f>IF(Master!$M193&lt;&gt;"",Master!$S193 &amp; "", "")</f>
        <v/>
      </c>
      <c r="E237" s="7" t="str">
        <f>IF(Master!$M193&lt;&gt;"",Master!$T193 &amp; "", "")</f>
        <v/>
      </c>
      <c r="F237" s="7" t="str">
        <f>IF(Master!$M193&lt;&gt;"",Master!$U193 &amp; "", "")</f>
        <v/>
      </c>
    </row>
    <row r="238" spans="1:6" x14ac:dyDescent="0.25">
      <c r="A238" s="8" t="str">
        <f>IF(Master!$M195&lt;&gt;"",Master!$C195,"")</f>
        <v/>
      </c>
      <c r="B238" s="8" t="str">
        <f>IF(Master!$M195&lt;&gt;"",Master!$D195,"")</f>
        <v/>
      </c>
      <c r="C238" s="8" t="str">
        <f>IF(Master!$M195&lt;&gt;"",Master!$M195,"")</f>
        <v/>
      </c>
      <c r="D238" s="7" t="str">
        <f>IF(Master!$M195&lt;&gt;"",Master!$S195 &amp; "", "")</f>
        <v/>
      </c>
      <c r="E238" s="7" t="str">
        <f>IF(Master!$M195&lt;&gt;"",Master!$T195 &amp; "", "")</f>
        <v/>
      </c>
      <c r="F238" s="7" t="str">
        <f>IF(Master!$M195&lt;&gt;"",Master!$U195 &amp; "", "")</f>
        <v/>
      </c>
    </row>
    <row r="239" spans="1:6" x14ac:dyDescent="0.25">
      <c r="A239" s="8" t="str">
        <f>IF(Master!$M196&lt;&gt;"",Master!$C196,"")</f>
        <v/>
      </c>
      <c r="B239" s="8" t="str">
        <f>IF(Master!$M196&lt;&gt;"",Master!$D196,"")</f>
        <v/>
      </c>
      <c r="C239" s="8" t="str">
        <f>IF(Master!$M196&lt;&gt;"",Master!$M196,"")</f>
        <v/>
      </c>
      <c r="D239" s="7" t="str">
        <f>IF(Master!$M196&lt;&gt;"",Master!$S196 &amp; "", "")</f>
        <v/>
      </c>
      <c r="E239" s="7" t="str">
        <f>IF(Master!$M196&lt;&gt;"",Master!$T196 &amp; "", "")</f>
        <v/>
      </c>
      <c r="F239" s="7" t="str">
        <f>IF(Master!$M196&lt;&gt;"",Master!$U196 &amp; "", "")</f>
        <v/>
      </c>
    </row>
    <row r="240" spans="1:6" x14ac:dyDescent="0.25">
      <c r="A240" s="8" t="str">
        <f>IF(Master!$M198&lt;&gt;"",Master!$C198,"")</f>
        <v/>
      </c>
      <c r="B240" s="8" t="str">
        <f>IF(Master!$M198&lt;&gt;"",Master!$D198,"")</f>
        <v/>
      </c>
      <c r="C240" s="8" t="str">
        <f>IF(Master!$M198&lt;&gt;"",Master!$M198,"")</f>
        <v/>
      </c>
      <c r="D240" s="7" t="str">
        <f>IF(Master!$M198&lt;&gt;"",Master!$S198 &amp; "", "")</f>
        <v/>
      </c>
      <c r="E240" s="7" t="str">
        <f>IF(Master!$M198&lt;&gt;"",Master!$T198 &amp; "", "")</f>
        <v/>
      </c>
      <c r="F240" s="7" t="str">
        <f>IF(Master!$M198&lt;&gt;"",Master!$U198 &amp; "", "")</f>
        <v/>
      </c>
    </row>
    <row r="241" spans="1:6" x14ac:dyDescent="0.25">
      <c r="A241" s="8" t="str">
        <f>IF(Master!$M199&lt;&gt;"",Master!$C199,"")</f>
        <v/>
      </c>
      <c r="B241" s="8" t="str">
        <f>IF(Master!$M199&lt;&gt;"",Master!$D199,"")</f>
        <v/>
      </c>
      <c r="C241" s="8" t="str">
        <f>IF(Master!$M199&lt;&gt;"",Master!$M199,"")</f>
        <v/>
      </c>
      <c r="D241" s="7" t="str">
        <f>IF(Master!$M199&lt;&gt;"",Master!$S199 &amp; "", "")</f>
        <v/>
      </c>
      <c r="E241" s="7" t="str">
        <f>IF(Master!$M199&lt;&gt;"",Master!$T199 &amp; "", "")</f>
        <v/>
      </c>
      <c r="F241" s="7" t="str">
        <f>IF(Master!$M199&lt;&gt;"",Master!$U199 &amp; "", "")</f>
        <v/>
      </c>
    </row>
    <row r="242" spans="1:6" x14ac:dyDescent="0.25">
      <c r="A242" s="8" t="str">
        <f>IF(Master!$M200&lt;&gt;"",Master!$C200,"")</f>
        <v/>
      </c>
      <c r="B242" s="8" t="str">
        <f>IF(Master!$M200&lt;&gt;"",Master!$D200,"")</f>
        <v/>
      </c>
      <c r="C242" s="8" t="str">
        <f>IF(Master!$M200&lt;&gt;"",Master!$M200,"")</f>
        <v/>
      </c>
      <c r="D242" s="7" t="str">
        <f>IF(Master!$M200&lt;&gt;"",Master!$S200 &amp; "", "")</f>
        <v/>
      </c>
      <c r="E242" s="7" t="str">
        <f>IF(Master!$M200&lt;&gt;"",Master!$T200 &amp; "", "")</f>
        <v/>
      </c>
      <c r="F242" s="7" t="str">
        <f>IF(Master!$M200&lt;&gt;"",Master!$U200 &amp; "", "")</f>
        <v/>
      </c>
    </row>
    <row r="243" spans="1:6" x14ac:dyDescent="0.25">
      <c r="A243" s="8" t="str">
        <f>IF(Master!$M202&lt;&gt;"",Master!$C202,"")</f>
        <v/>
      </c>
      <c r="B243" s="8" t="str">
        <f>IF(Master!$M202&lt;&gt;"",Master!$D202,"")</f>
        <v/>
      </c>
      <c r="C243" s="8" t="str">
        <f>IF(Master!$M202&lt;&gt;"",Master!$M202,"")</f>
        <v/>
      </c>
      <c r="D243" s="7" t="str">
        <f>IF(Master!$M202&lt;&gt;"",Master!$S202 &amp; "", "")</f>
        <v/>
      </c>
      <c r="E243" s="7" t="str">
        <f>IF(Master!$M202&lt;&gt;"",Master!$T202 &amp; "", "")</f>
        <v/>
      </c>
      <c r="F243" s="7" t="str">
        <f>IF(Master!$M202&lt;&gt;"",Master!$U202 &amp; "", "")</f>
        <v/>
      </c>
    </row>
    <row r="244" spans="1:6" x14ac:dyDescent="0.25">
      <c r="A244" s="8" t="str">
        <f>IF(Master!$M203&lt;&gt;"",Master!$C203,"")</f>
        <v/>
      </c>
      <c r="B244" s="8" t="str">
        <f>IF(Master!$M203&lt;&gt;"",Master!$D203,"")</f>
        <v/>
      </c>
      <c r="C244" s="8" t="str">
        <f>IF(Master!$M203&lt;&gt;"",Master!$M203,"")</f>
        <v/>
      </c>
      <c r="D244" s="7" t="str">
        <f>IF(Master!$M203&lt;&gt;"",Master!$S203 &amp; "", "")</f>
        <v/>
      </c>
      <c r="E244" s="7" t="str">
        <f>IF(Master!$M203&lt;&gt;"",Master!$T203 &amp; "", "")</f>
        <v/>
      </c>
      <c r="F244" s="7" t="str">
        <f>IF(Master!$M203&lt;&gt;"",Master!$U203 &amp; "", "")</f>
        <v/>
      </c>
    </row>
    <row r="245" spans="1:6" x14ac:dyDescent="0.25">
      <c r="A245" s="8" t="str">
        <f>IF(Master!$M211&lt;&gt;"",Master!$C211,"")</f>
        <v/>
      </c>
      <c r="B245" s="8" t="str">
        <f>IF(Master!$M211&lt;&gt;"",Master!$D211,"")</f>
        <v/>
      </c>
      <c r="C245" s="8" t="str">
        <f>IF(Master!$M211&lt;&gt;"",Master!$M211,"")</f>
        <v/>
      </c>
      <c r="D245" s="7" t="str">
        <f>IF(Master!$M211&lt;&gt;"",Master!$S211 &amp; "", "")</f>
        <v/>
      </c>
      <c r="E245" s="7" t="str">
        <f>IF(Master!$M211&lt;&gt;"",Master!$T211 &amp; "", "")</f>
        <v/>
      </c>
      <c r="F245" s="7" t="str">
        <f>IF(Master!$M211&lt;&gt;"",Master!$U211 &amp; "", "")</f>
        <v/>
      </c>
    </row>
    <row r="246" spans="1:6" x14ac:dyDescent="0.25">
      <c r="A246" s="8" t="str">
        <f>IF(Master!$M212&lt;&gt;"",Master!$C212,"")</f>
        <v/>
      </c>
      <c r="B246" s="8" t="str">
        <f>IF(Master!$M212&lt;&gt;"",Master!$D212,"")</f>
        <v/>
      </c>
      <c r="C246" s="8" t="str">
        <f>IF(Master!$M212&lt;&gt;"",Master!$M212,"")</f>
        <v/>
      </c>
      <c r="D246" s="7" t="str">
        <f>IF(Master!$M212&lt;&gt;"",Master!$S212 &amp; "", "")</f>
        <v/>
      </c>
      <c r="E246" s="7" t="str">
        <f>IF(Master!$M212&lt;&gt;"",Master!$T212 &amp; "", "")</f>
        <v/>
      </c>
      <c r="F246" s="7" t="str">
        <f>IF(Master!$M212&lt;&gt;"",Master!$U212 &amp; "", "")</f>
        <v/>
      </c>
    </row>
    <row r="247" spans="1:6" x14ac:dyDescent="0.25">
      <c r="A247" s="8" t="str">
        <f>IF(Master!$M213&lt;&gt;"",Master!$C213,"")</f>
        <v/>
      </c>
      <c r="B247" s="8" t="str">
        <f>IF(Master!$M213&lt;&gt;"",Master!$D213,"")</f>
        <v/>
      </c>
      <c r="C247" s="8" t="str">
        <f>IF(Master!$M213&lt;&gt;"",Master!$M213,"")</f>
        <v/>
      </c>
      <c r="D247" s="7" t="str">
        <f>IF(Master!$M213&lt;&gt;"",Master!$S213 &amp; "", "")</f>
        <v/>
      </c>
      <c r="E247" s="7" t="str">
        <f>IF(Master!$M213&lt;&gt;"",Master!$T213 &amp; "", "")</f>
        <v/>
      </c>
      <c r="F247" s="7" t="str">
        <f>IF(Master!$M213&lt;&gt;"",Master!$U213 &amp; "", "")</f>
        <v/>
      </c>
    </row>
    <row r="248" spans="1:6" x14ac:dyDescent="0.25">
      <c r="A248" s="8" t="str">
        <f>IF(Master!$M214&lt;&gt;"",Master!$C214,"")</f>
        <v/>
      </c>
      <c r="B248" s="8" t="str">
        <f>IF(Master!$M214&lt;&gt;"",Master!$D214,"")</f>
        <v/>
      </c>
      <c r="C248" s="8" t="str">
        <f>IF(Master!$M214&lt;&gt;"",Master!$M214,"")</f>
        <v/>
      </c>
      <c r="D248" s="7" t="str">
        <f>IF(Master!$M214&lt;&gt;"",Master!$S214 &amp; "", "")</f>
        <v/>
      </c>
      <c r="E248" s="7" t="str">
        <f>IF(Master!$M214&lt;&gt;"",Master!$T214 &amp; "", "")</f>
        <v/>
      </c>
      <c r="F248" s="7" t="str">
        <f>IF(Master!$M214&lt;&gt;"",Master!$U214 &amp; "", "")</f>
        <v/>
      </c>
    </row>
    <row r="249" spans="1:6" x14ac:dyDescent="0.25">
      <c r="A249" s="8" t="str">
        <f>IF(Master!$M219&lt;&gt;"",Master!$C219,"")</f>
        <v/>
      </c>
      <c r="B249" s="8" t="str">
        <f>IF(Master!$M219&lt;&gt;"",Master!$D219,"")</f>
        <v/>
      </c>
      <c r="C249" s="8" t="str">
        <f>IF(Master!$M219&lt;&gt;"",Master!$M219,"")</f>
        <v/>
      </c>
      <c r="D249" s="7" t="str">
        <f>IF(Master!$M219&lt;&gt;"",Master!$S219 &amp; "", "")</f>
        <v/>
      </c>
      <c r="E249" s="7" t="str">
        <f>IF(Master!$M219&lt;&gt;"",Master!$T219 &amp; "", "")</f>
        <v/>
      </c>
      <c r="F249" s="7" t="str">
        <f>IF(Master!$M219&lt;&gt;"",Master!$U219 &amp; "", "")</f>
        <v/>
      </c>
    </row>
    <row r="250" spans="1:6" x14ac:dyDescent="0.25">
      <c r="A250" s="8" t="str">
        <f>IF(Master!$M222&lt;&gt;"",Master!$C222,"")</f>
        <v/>
      </c>
      <c r="B250" s="8" t="str">
        <f>IF(Master!$M222&lt;&gt;"",Master!$D222,"")</f>
        <v/>
      </c>
      <c r="C250" s="8" t="str">
        <f>IF(Master!$M222&lt;&gt;"",Master!$M222,"")</f>
        <v/>
      </c>
      <c r="D250" s="7" t="str">
        <f>IF(Master!$M222&lt;&gt;"",Master!$S222 &amp; "", "")</f>
        <v/>
      </c>
      <c r="E250" s="7" t="str">
        <f>IF(Master!$M222&lt;&gt;"",Master!$T222 &amp; "", "")</f>
        <v/>
      </c>
      <c r="F250" s="7" t="str">
        <f>IF(Master!$M222&lt;&gt;"",Master!$U222 &amp; "", "")</f>
        <v/>
      </c>
    </row>
    <row r="251" spans="1:6" x14ac:dyDescent="0.25">
      <c r="A251" s="8" t="str">
        <f>IF(Master!$M227&lt;&gt;"",Master!$C227,"")</f>
        <v/>
      </c>
      <c r="B251" s="8" t="str">
        <f>IF(Master!$M227&lt;&gt;"",Master!$D227,"")</f>
        <v/>
      </c>
      <c r="C251" s="8" t="str">
        <f>IF(Master!$M227&lt;&gt;"",Master!$M227,"")</f>
        <v/>
      </c>
      <c r="D251" s="7" t="str">
        <f>IF(Master!$M227&lt;&gt;"",Master!$S227 &amp; "", "")</f>
        <v/>
      </c>
      <c r="E251" s="7" t="str">
        <f>IF(Master!$M227&lt;&gt;"",Master!$T227 &amp; "", "")</f>
        <v/>
      </c>
      <c r="F251" s="7" t="str">
        <f>IF(Master!$M227&lt;&gt;"",Master!$U227 &amp; "", "")</f>
        <v/>
      </c>
    </row>
    <row r="252" spans="1:6" x14ac:dyDescent="0.25">
      <c r="A252" s="8" t="str">
        <f>IF(Master!$M231&lt;&gt;"",Master!$C231,"")</f>
        <v/>
      </c>
      <c r="B252" s="8" t="str">
        <f>IF(Master!$M231&lt;&gt;"",Master!$D231,"")</f>
        <v/>
      </c>
      <c r="C252" s="8" t="str">
        <f>IF(Master!$M231&lt;&gt;"",Master!$M231,"")</f>
        <v/>
      </c>
      <c r="D252" s="7" t="str">
        <f>IF(Master!$M231&lt;&gt;"",Master!$S231 &amp; "", "")</f>
        <v/>
      </c>
      <c r="E252" s="7" t="str">
        <f>IF(Master!$M231&lt;&gt;"",Master!$T231 &amp; "", "")</f>
        <v/>
      </c>
      <c r="F252" s="7" t="str">
        <f>IF(Master!$M231&lt;&gt;"",Master!$U231 &amp; "", "")</f>
        <v/>
      </c>
    </row>
    <row r="253" spans="1:6" x14ac:dyDescent="0.25">
      <c r="A253" s="8" t="str">
        <f>IF(Master!$M235&lt;&gt;"",Master!$C235,"")</f>
        <v/>
      </c>
      <c r="B253" s="8" t="str">
        <f>IF(Master!$M235&lt;&gt;"",Master!$D235,"")</f>
        <v/>
      </c>
      <c r="C253" s="8" t="str">
        <f>IF(Master!$M235&lt;&gt;"",Master!$M235,"")</f>
        <v/>
      </c>
      <c r="D253" s="7" t="str">
        <f>IF(Master!$M235&lt;&gt;"",Master!$S235 &amp; "", "")</f>
        <v/>
      </c>
      <c r="E253" s="7" t="str">
        <f>IF(Master!$M235&lt;&gt;"",Master!$T235 &amp; "", "")</f>
        <v/>
      </c>
      <c r="F253" s="7" t="str">
        <f>IF(Master!$M235&lt;&gt;"",Master!$U235 &amp; "", "")</f>
        <v/>
      </c>
    </row>
    <row r="254" spans="1:6" x14ac:dyDescent="0.25">
      <c r="A254" s="8" t="str">
        <f>IF(Master!$M236&lt;&gt;"",Master!$C236,"")</f>
        <v/>
      </c>
      <c r="B254" s="8" t="str">
        <f>IF(Master!$M236&lt;&gt;"",Master!$D236,"")</f>
        <v/>
      </c>
      <c r="C254" s="8" t="str">
        <f>IF(Master!$M236&lt;&gt;"",Master!$M236,"")</f>
        <v/>
      </c>
      <c r="D254" s="7" t="str">
        <f>IF(Master!$M236&lt;&gt;"",Master!$S236 &amp; "", "")</f>
        <v/>
      </c>
      <c r="E254" s="7" t="str">
        <f>IF(Master!$M236&lt;&gt;"",Master!$T236 &amp; "", "")</f>
        <v/>
      </c>
      <c r="F254" s="7" t="str">
        <f>IF(Master!$M236&lt;&gt;"",Master!$U236 &amp; "", "")</f>
        <v/>
      </c>
    </row>
    <row r="255" spans="1:6" x14ac:dyDescent="0.25">
      <c r="A255" s="8" t="str">
        <f>IF(Master!$M238&lt;&gt;"",Master!$C238,"")</f>
        <v/>
      </c>
      <c r="B255" s="8" t="str">
        <f>IF(Master!$M238&lt;&gt;"",Master!$D238,"")</f>
        <v/>
      </c>
      <c r="C255" s="8" t="str">
        <f>IF(Master!$M238&lt;&gt;"",Master!$M238,"")</f>
        <v/>
      </c>
      <c r="D255" s="7" t="str">
        <f>IF(Master!$M238&lt;&gt;"",Master!$S238 &amp; "", "")</f>
        <v/>
      </c>
      <c r="E255" s="7" t="str">
        <f>IF(Master!$M238&lt;&gt;"",Master!$T238 &amp; "", "")</f>
        <v/>
      </c>
      <c r="F255" s="7" t="str">
        <f>IF(Master!$M238&lt;&gt;"",Master!$U238 &amp; "", "")</f>
        <v/>
      </c>
    </row>
    <row r="256" spans="1:6" x14ac:dyDescent="0.25">
      <c r="A256" s="8" t="str">
        <f>IF(Master!$M239&lt;&gt;"",Master!$C239,"")</f>
        <v/>
      </c>
      <c r="B256" s="8" t="str">
        <f>IF(Master!$M239&lt;&gt;"",Master!$D239,"")</f>
        <v/>
      </c>
      <c r="C256" s="8" t="str">
        <f>IF(Master!$M239&lt;&gt;"",Master!$M239,"")</f>
        <v/>
      </c>
      <c r="D256" s="7" t="str">
        <f>IF(Master!$M239&lt;&gt;"",Master!$S239 &amp; "", "")</f>
        <v/>
      </c>
      <c r="E256" s="7" t="str">
        <f>IF(Master!$M239&lt;&gt;"",Master!$T239 &amp; "", "")</f>
        <v/>
      </c>
      <c r="F256" s="7" t="str">
        <f>IF(Master!$M239&lt;&gt;"",Master!$U239 &amp; "", "")</f>
        <v/>
      </c>
    </row>
    <row r="257" spans="1:6" x14ac:dyDescent="0.25">
      <c r="A257" s="8" t="str">
        <f>IF(Master!$M241&lt;&gt;"",Master!$C241,"")</f>
        <v/>
      </c>
      <c r="B257" s="8" t="str">
        <f>IF(Master!$M241&lt;&gt;"",Master!$D241,"")</f>
        <v/>
      </c>
      <c r="C257" s="8" t="str">
        <f>IF(Master!$M241&lt;&gt;"",Master!$M241,"")</f>
        <v/>
      </c>
      <c r="D257" s="7" t="str">
        <f>IF(Master!$M241&lt;&gt;"",Master!$S241 &amp; "", "")</f>
        <v/>
      </c>
      <c r="E257" s="7" t="str">
        <f>IF(Master!$M241&lt;&gt;"",Master!$T241 &amp; "", "")</f>
        <v/>
      </c>
      <c r="F257" s="7" t="str">
        <f>IF(Master!$M241&lt;&gt;"",Master!$U241 &amp; "", "")</f>
        <v/>
      </c>
    </row>
    <row r="258" spans="1:6" x14ac:dyDescent="0.25">
      <c r="A258" s="8" t="str">
        <f>IF(Master!$M246&lt;&gt;"",Master!$C246,"")</f>
        <v/>
      </c>
      <c r="B258" s="8" t="str">
        <f>IF(Master!$M246&lt;&gt;"",Master!$D246,"")</f>
        <v/>
      </c>
      <c r="C258" s="8" t="str">
        <f>IF(Master!$M246&lt;&gt;"",Master!$M246,"")</f>
        <v/>
      </c>
      <c r="D258" s="7" t="str">
        <f>IF(Master!$M246&lt;&gt;"",Master!$S246 &amp; "", "")</f>
        <v/>
      </c>
      <c r="E258" s="7" t="str">
        <f>IF(Master!$M246&lt;&gt;"",Master!$T246 &amp; "", "")</f>
        <v/>
      </c>
      <c r="F258" s="7" t="str">
        <f>IF(Master!$M246&lt;&gt;"",Master!$U246 &amp; "", "")</f>
        <v/>
      </c>
    </row>
    <row r="259" spans="1:6" x14ac:dyDescent="0.25">
      <c r="A259" s="8" t="str">
        <f>IF(Master!$M247&lt;&gt;"",Master!$C247,"")</f>
        <v/>
      </c>
      <c r="B259" s="8" t="str">
        <f>IF(Master!$M247&lt;&gt;"",Master!$D247,"")</f>
        <v/>
      </c>
      <c r="C259" s="8" t="str">
        <f>IF(Master!$M247&lt;&gt;"",Master!$M247,"")</f>
        <v/>
      </c>
      <c r="D259" s="7" t="str">
        <f>IF(Master!$M247&lt;&gt;"",Master!$S247 &amp; "", "")</f>
        <v/>
      </c>
      <c r="E259" s="7" t="str">
        <f>IF(Master!$M247&lt;&gt;"",Master!$T247 &amp; "", "")</f>
        <v/>
      </c>
      <c r="F259" s="7" t="str">
        <f>IF(Master!$M247&lt;&gt;"",Master!$U247 &amp; "", "")</f>
        <v/>
      </c>
    </row>
    <row r="260" spans="1:6" x14ac:dyDescent="0.25">
      <c r="A260" s="8" t="str">
        <f>IF(Master!$M248&lt;&gt;"",Master!$C248,"")</f>
        <v/>
      </c>
      <c r="B260" s="8" t="str">
        <f>IF(Master!$M248&lt;&gt;"",Master!$D248,"")</f>
        <v/>
      </c>
      <c r="C260" s="8" t="str">
        <f>IF(Master!$M248&lt;&gt;"",Master!$M248,"")</f>
        <v/>
      </c>
      <c r="D260" s="7" t="str">
        <f>IF(Master!$M248&lt;&gt;"",Master!$S248 &amp; "", "")</f>
        <v/>
      </c>
      <c r="E260" s="7" t="str">
        <f>IF(Master!$M248&lt;&gt;"",Master!$T248 &amp; "", "")</f>
        <v/>
      </c>
      <c r="F260" s="7" t="str">
        <f>IF(Master!$M248&lt;&gt;"",Master!$U248 &amp; "", "")</f>
        <v/>
      </c>
    </row>
    <row r="261" spans="1:6" x14ac:dyDescent="0.25">
      <c r="A261" s="8" t="str">
        <f>IF(Master!$M252&lt;&gt;"",Master!$C252,"")</f>
        <v/>
      </c>
      <c r="B261" s="8" t="str">
        <f>IF(Master!$M252&lt;&gt;"",Master!$D252,"")</f>
        <v/>
      </c>
      <c r="C261" s="8" t="str">
        <f>IF(Master!$M252&lt;&gt;"",Master!$M252,"")</f>
        <v/>
      </c>
      <c r="D261" s="7" t="str">
        <f>IF(Master!$M252&lt;&gt;"",Master!$S252 &amp; "", "")</f>
        <v/>
      </c>
      <c r="E261" s="7" t="str">
        <f>IF(Master!$M252&lt;&gt;"",Master!$T252 &amp; "", "")</f>
        <v/>
      </c>
      <c r="F261" s="7" t="str">
        <f>IF(Master!$M252&lt;&gt;"",Master!$U252 &amp; "", "")</f>
        <v/>
      </c>
    </row>
    <row r="262" spans="1:6" x14ac:dyDescent="0.25">
      <c r="A262" s="8" t="str">
        <f>IF(Master!$M254&lt;&gt;"",Master!$C254,"")</f>
        <v/>
      </c>
      <c r="B262" s="8" t="str">
        <f>IF(Master!$M254&lt;&gt;"",Master!$D254,"")</f>
        <v/>
      </c>
      <c r="C262" s="8" t="str">
        <f>IF(Master!$M254&lt;&gt;"",Master!$M254,"")</f>
        <v/>
      </c>
      <c r="D262" s="7" t="str">
        <f>IF(Master!$M254&lt;&gt;"",Master!$S254 &amp; "", "")</f>
        <v/>
      </c>
      <c r="E262" s="7" t="str">
        <f>IF(Master!$M254&lt;&gt;"",Master!$T254 &amp; "", "")</f>
        <v/>
      </c>
      <c r="F262" s="7" t="str">
        <f>IF(Master!$M254&lt;&gt;"",Master!$U254 &amp; "", "")</f>
        <v/>
      </c>
    </row>
    <row r="263" spans="1:6" x14ac:dyDescent="0.25">
      <c r="A263" s="8" t="str">
        <f>IF(Master!$M255&lt;&gt;"",Master!$C255,"")</f>
        <v/>
      </c>
      <c r="B263" s="8" t="str">
        <f>IF(Master!$M255&lt;&gt;"",Master!$D255,"")</f>
        <v/>
      </c>
      <c r="C263" s="8" t="str">
        <f>IF(Master!$M255&lt;&gt;"",Master!$M255,"")</f>
        <v/>
      </c>
      <c r="D263" s="7" t="str">
        <f>IF(Master!$M255&lt;&gt;"",Master!$S255 &amp; "", "")</f>
        <v/>
      </c>
      <c r="E263" s="7" t="str">
        <f>IF(Master!$M255&lt;&gt;"",Master!$T255 &amp; "", "")</f>
        <v/>
      </c>
      <c r="F263" s="7" t="str">
        <f>IF(Master!$M255&lt;&gt;"",Master!$U255 &amp; "", "")</f>
        <v/>
      </c>
    </row>
    <row r="264" spans="1:6" x14ac:dyDescent="0.25">
      <c r="A264" s="8" t="str">
        <f>IF(Master!$M256&lt;&gt;"",Master!$C256,"")</f>
        <v/>
      </c>
      <c r="B264" s="8" t="str">
        <f>IF(Master!$M256&lt;&gt;"",Master!$D256,"")</f>
        <v/>
      </c>
      <c r="C264" s="8" t="str">
        <f>IF(Master!$M256&lt;&gt;"",Master!$M256,"")</f>
        <v/>
      </c>
      <c r="D264" s="7" t="str">
        <f>IF(Master!$M256&lt;&gt;"",Master!$S256 &amp; "", "")</f>
        <v/>
      </c>
      <c r="E264" s="7" t="str">
        <f>IF(Master!$M256&lt;&gt;"",Master!$T256 &amp; "", "")</f>
        <v/>
      </c>
      <c r="F264" s="7" t="str">
        <f>IF(Master!$M256&lt;&gt;"",Master!$U256 &amp; "", "")</f>
        <v/>
      </c>
    </row>
    <row r="265" spans="1:6" x14ac:dyDescent="0.25">
      <c r="A265" s="8" t="str">
        <f>IF(Master!$M260&lt;&gt;"",Master!$C260,"")</f>
        <v/>
      </c>
      <c r="B265" s="8" t="str">
        <f>IF(Master!$M260&lt;&gt;"",Master!$D260,"")</f>
        <v/>
      </c>
      <c r="C265" s="8" t="str">
        <f>IF(Master!$M260&lt;&gt;"",Master!$M260,"")</f>
        <v/>
      </c>
      <c r="D265" s="7" t="str">
        <f>IF(Master!$M260&lt;&gt;"",Master!$S260 &amp; "", "")</f>
        <v/>
      </c>
      <c r="E265" s="7" t="str">
        <f>IF(Master!$M260&lt;&gt;"",Master!$T260 &amp; "", "")</f>
        <v/>
      </c>
      <c r="F265" s="7" t="str">
        <f>IF(Master!$M260&lt;&gt;"",Master!$U260 &amp; "", "")</f>
        <v/>
      </c>
    </row>
    <row r="266" spans="1:6" x14ac:dyDescent="0.25">
      <c r="A266" s="8" t="str">
        <f>IF(Master!$M261&lt;&gt;"",Master!$C261,"")</f>
        <v/>
      </c>
      <c r="B266" s="8" t="str">
        <f>IF(Master!$M261&lt;&gt;"",Master!$D261,"")</f>
        <v/>
      </c>
      <c r="C266" s="8" t="str">
        <f>IF(Master!$M261&lt;&gt;"",Master!$M261,"")</f>
        <v/>
      </c>
      <c r="D266" s="7" t="str">
        <f>IF(Master!$M261&lt;&gt;"",Master!$S261 &amp; "", "")</f>
        <v/>
      </c>
      <c r="E266" s="7" t="str">
        <f>IF(Master!$M261&lt;&gt;"",Master!$T261 &amp; "", "")</f>
        <v/>
      </c>
      <c r="F266" s="7" t="str">
        <f>IF(Master!$M261&lt;&gt;"",Master!$U261 &amp; "", "")</f>
        <v/>
      </c>
    </row>
    <row r="267" spans="1:6" x14ac:dyDescent="0.25">
      <c r="A267" s="8" t="str">
        <f>IF(Master!$M268&lt;&gt;"",Master!$C268,"")</f>
        <v/>
      </c>
      <c r="B267" s="8" t="str">
        <f>IF(Master!$M268&lt;&gt;"",Master!$D268,"")</f>
        <v/>
      </c>
      <c r="C267" s="8" t="str">
        <f>IF(Master!$M268&lt;&gt;"",Master!$M268,"")</f>
        <v/>
      </c>
      <c r="D267" s="7" t="str">
        <f>IF(Master!$M268&lt;&gt;"",Master!$S268 &amp; "", "")</f>
        <v/>
      </c>
      <c r="E267" s="7" t="str">
        <f>IF(Master!$M268&lt;&gt;"",Master!$T268 &amp; "", "")</f>
        <v/>
      </c>
      <c r="F267" s="7" t="str">
        <f>IF(Master!$M268&lt;&gt;"",Master!$U268 &amp; "", "")</f>
        <v/>
      </c>
    </row>
    <row r="268" spans="1:6" x14ac:dyDescent="0.25">
      <c r="A268" s="8" t="str">
        <f>IF(Master!$M269&lt;&gt;"",Master!$C269,"")</f>
        <v/>
      </c>
      <c r="B268" s="8" t="str">
        <f>IF(Master!$M269&lt;&gt;"",Master!$D269,"")</f>
        <v/>
      </c>
      <c r="C268" s="8" t="str">
        <f>IF(Master!$M269&lt;&gt;"",Master!$M269,"")</f>
        <v/>
      </c>
      <c r="D268" s="7" t="str">
        <f>IF(Master!$M269&lt;&gt;"",Master!$S269 &amp; "", "")</f>
        <v/>
      </c>
      <c r="E268" s="7" t="str">
        <f>IF(Master!$M269&lt;&gt;"",Master!$T269 &amp; "", "")</f>
        <v/>
      </c>
      <c r="F268" s="7" t="str">
        <f>IF(Master!$M269&lt;&gt;"",Master!$U269 &amp; "", "")</f>
        <v/>
      </c>
    </row>
    <row r="269" spans="1:6" x14ac:dyDescent="0.25">
      <c r="A269" s="8" t="str">
        <f>IF(Master!$M270&lt;&gt;"",Master!$C270,"")</f>
        <v/>
      </c>
      <c r="B269" s="8" t="str">
        <f>IF(Master!$M270&lt;&gt;"",Master!$D270,"")</f>
        <v/>
      </c>
      <c r="C269" s="8" t="str">
        <f>IF(Master!$M270&lt;&gt;"",Master!$M270,"")</f>
        <v/>
      </c>
      <c r="D269" s="7" t="str">
        <f>IF(Master!$M270&lt;&gt;"",Master!$S270 &amp; "", "")</f>
        <v/>
      </c>
      <c r="E269" s="7" t="str">
        <f>IF(Master!$M270&lt;&gt;"",Master!$T270 &amp; "", "")</f>
        <v/>
      </c>
      <c r="F269" s="7" t="str">
        <f>IF(Master!$M270&lt;&gt;"",Master!$U270 &amp; "", "")</f>
        <v/>
      </c>
    </row>
    <row r="270" spans="1:6" x14ac:dyDescent="0.25">
      <c r="A270" s="8" t="str">
        <f>IF(Master!$M8&lt;&gt;"",Master!$C8,"")</f>
        <v>Gracie</v>
      </c>
      <c r="B270" s="8" t="str">
        <f>IF(Master!$M8&lt;&gt;"",Master!$D8,"")</f>
        <v>Arnold</v>
      </c>
      <c r="C270" s="8" t="str">
        <f>IF(Master!$M8&lt;&gt;"",Master!$M8,"")</f>
        <v xml:space="preserve"> </v>
      </c>
      <c r="D270" s="7" t="str">
        <f>IF(Master!$M8&lt;&gt;"",Master!$S8 &amp; "", "")</f>
        <v>YM</v>
      </c>
      <c r="E270" s="7" t="str">
        <f>IF(Master!$M8&lt;&gt;"",Master!$T8 &amp; "", "")</f>
        <v/>
      </c>
      <c r="F270" s="7" t="str">
        <f>IF(Master!$M8&lt;&gt;"",Master!$U8 &amp; "", "")</f>
        <v/>
      </c>
    </row>
  </sheetData>
  <sheetProtection algorithmName="SHA-512" hashValue="nTZaTSiH0U6Tf+h6RkLBq0rYCyCLctCPg6hWtfXw1M9oRt2+9TunlwSi4EFOF0hC0u2TffpS2zUK9tJlG9yzWA==" saltValue="uyrSBQ6wsD9YXzH+TfKllw==" spinCount="100000" sheet="1" objects="1" scenarios="1"/>
  <sortState xmlns:xlrd2="http://schemas.microsoft.com/office/spreadsheetml/2017/richdata2" ref="A2:F270">
    <sortCondition ref="C2:C270" customList="Hotwheels,Dribblers,Shooters,Wings,Kickers,Passers,Strikers,Sweepers"/>
    <sortCondition ref="B2:B270"/>
    <sortCondition ref="A2:A270"/>
  </sortState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ortUniformsMacro">
                <anchor mov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 filterMode="1"/>
  <dimension ref="A1:G271"/>
  <sheetViews>
    <sheetView topLeftCell="A54" workbookViewId="0">
      <selection activeCell="C2" sqref="C2"/>
    </sheetView>
  </sheetViews>
  <sheetFormatPr defaultColWidth="9.140625" defaultRowHeight="15" customHeight="1" x14ac:dyDescent="0.25"/>
  <cols>
    <col min="1" max="1" width="18.85546875" customWidth="1"/>
    <col min="2" max="2" width="17.5703125" customWidth="1"/>
    <col min="3" max="3" width="15.140625" customWidth="1"/>
    <col min="4" max="4" width="11" customWidth="1"/>
    <col min="5" max="5" width="11" style="2" customWidth="1"/>
    <col min="6" max="6" width="50" customWidth="1"/>
  </cols>
  <sheetData>
    <row r="1" spans="1:7" ht="15" customHeight="1" x14ac:dyDescent="0.25">
      <c r="A1" s="84" t="s">
        <v>103</v>
      </c>
      <c r="B1" s="84" t="s">
        <v>104</v>
      </c>
      <c r="C1" s="85" t="s">
        <v>485</v>
      </c>
      <c r="D1" s="86" t="s">
        <v>494</v>
      </c>
      <c r="E1" s="86" t="s">
        <v>1086</v>
      </c>
      <c r="F1" s="87" t="s">
        <v>564</v>
      </c>
    </row>
    <row r="2" spans="1:7" ht="15" customHeight="1" x14ac:dyDescent="0.25">
      <c r="A2" s="8" t="str">
        <f>Master!$C2 &amp; ""</f>
        <v>Avery</v>
      </c>
      <c r="B2" s="8" t="str">
        <f>Master!$D2 &amp; ""</f>
        <v>Abshear</v>
      </c>
      <c r="C2" s="8" t="str">
        <f>Master!$M2 &amp; ""</f>
        <v>Wings</v>
      </c>
      <c r="D2" s="7" t="str">
        <f>Master!$S2 &amp; ""</f>
        <v>AM</v>
      </c>
      <c r="E2" s="7" t="str">
        <f t="array" ref="E2">IF(A2&lt;&gt;"",IF(Master!$AB2="X","X","")&amp;IF(Master!$AC2="X","X",""), "" )</f>
        <v>X</v>
      </c>
      <c r="F2" s="8"/>
    </row>
    <row r="3" spans="1:7" ht="15" customHeight="1" x14ac:dyDescent="0.25">
      <c r="A3" s="8" t="str">
        <f>Master!$C3 &amp; ""</f>
        <v>Jackson</v>
      </c>
      <c r="B3" s="8" t="str">
        <f>Master!$D3 &amp; ""</f>
        <v>Abshear</v>
      </c>
      <c r="C3" s="8" t="str">
        <f>Master!$M3 &amp; ""</f>
        <v>Wings</v>
      </c>
      <c r="D3" s="7" t="str">
        <f>Master!$S3 &amp; ""</f>
        <v>AM</v>
      </c>
      <c r="E3" s="7" t="str">
        <f t="array" ref="E3">IF(A3&lt;&gt;"",IF(Master!$AB3="X","X","")&amp;IF(Master!$AC3="X","X",""), "" )</f>
        <v>X</v>
      </c>
      <c r="F3" s="8"/>
      <c r="G3" t="s">
        <v>1268</v>
      </c>
    </row>
    <row r="4" spans="1:7" ht="15" hidden="1" customHeight="1" x14ac:dyDescent="0.25">
      <c r="A4" s="8" t="str">
        <f>Master!$C4 &amp; ""</f>
        <v>Nicholas</v>
      </c>
      <c r="B4" s="8" t="str">
        <f>Master!$D4 &amp; ""</f>
        <v>Aiena</v>
      </c>
      <c r="C4" s="8" t="str">
        <f>Master!$M4 &amp; ""</f>
        <v/>
      </c>
      <c r="D4" s="7" t="str">
        <f>Master!$S4 &amp; ""</f>
        <v>AXL</v>
      </c>
      <c r="E4" s="7" t="str">
        <f t="array" ref="E4">IF(A4&lt;&gt;"",IF(Master!$AB4="X","X","")&amp;IF(Master!$AC4="X","X",""), "" )</f>
        <v/>
      </c>
      <c r="F4" s="8"/>
    </row>
    <row r="5" spans="1:7" ht="15" hidden="1" customHeight="1" x14ac:dyDescent="0.25">
      <c r="A5" s="8" t="str">
        <f>Master!$C5 &amp; ""</f>
        <v>Gracie</v>
      </c>
      <c r="B5" s="8" t="str">
        <f>Master!$D5 &amp; ""</f>
        <v>Albert</v>
      </c>
      <c r="C5" s="8" t="str">
        <f>Master!$M5 &amp; ""</f>
        <v/>
      </c>
      <c r="D5" s="7" t="str">
        <f>Master!$S5 &amp; ""</f>
        <v/>
      </c>
      <c r="E5" s="7" t="str">
        <f t="array" ref="E5">IF(A5&lt;&gt;"",IF(Master!$AB5="X","X","")&amp;IF(Master!$AC5="X","X",""), "" )</f>
        <v/>
      </c>
      <c r="F5" s="8"/>
    </row>
    <row r="6" spans="1:7" ht="15" customHeight="1" x14ac:dyDescent="0.25">
      <c r="A6" s="8" t="str">
        <f>Master!$C6 &amp; ""</f>
        <v>Gordon (JR)</v>
      </c>
      <c r="B6" s="8" t="str">
        <f>Master!$D6 &amp; ""</f>
        <v>Alobwede</v>
      </c>
      <c r="C6" s="8" t="str">
        <f>Master!$M6 &amp; ""</f>
        <v>Kickers</v>
      </c>
      <c r="D6" s="7" t="str">
        <f>Master!$S6 &amp; ""</f>
        <v>AL</v>
      </c>
      <c r="E6" s="7" t="str">
        <f t="array" ref="E6">IF(A6&lt;&gt;"",IF(Master!$AB6="X","X","")&amp;IF(Master!$AC6="X","X",""), "" )</f>
        <v>X</v>
      </c>
      <c r="F6" s="8"/>
    </row>
    <row r="7" spans="1:7" ht="15" customHeight="1" x14ac:dyDescent="0.25">
      <c r="A7" s="8" t="str">
        <f>Master!$C7 &amp; ""</f>
        <v>Landrie</v>
      </c>
      <c r="B7" s="8" t="str">
        <f>Master!$D7 &amp; ""</f>
        <v>Amaro</v>
      </c>
      <c r="C7" s="8" t="str">
        <f>Master!$M7 &amp; ""</f>
        <v>Kickers</v>
      </c>
      <c r="D7" s="7" t="str">
        <f>Master!$S7 &amp; ""</f>
        <v>AS</v>
      </c>
      <c r="E7" s="7" t="str">
        <f t="array" ref="E7">IF(A7&lt;&gt;"",IF(Master!$AB7="X","X","")&amp;IF(Master!$AC7="X","X",""), "" )</f>
        <v>X</v>
      </c>
      <c r="F7" s="8"/>
    </row>
    <row r="8" spans="1:7" ht="15" hidden="1" customHeight="1" x14ac:dyDescent="0.25">
      <c r="A8" s="8" t="str">
        <f>Master!$C8 &amp; ""</f>
        <v>Gracie</v>
      </c>
      <c r="B8" s="8" t="str">
        <f>Master!$D8 &amp; ""</f>
        <v>Arnold</v>
      </c>
      <c r="C8" s="8" t="str">
        <f>Master!$M8 &amp; ""</f>
        <v xml:space="preserve"> </v>
      </c>
      <c r="D8" s="7" t="str">
        <f>Master!$S8 &amp; ""</f>
        <v>YM</v>
      </c>
      <c r="E8" s="7" t="str">
        <f t="array" ref="E8">IF(A8&lt;&gt;"",IF(Master!$AB8="X","X","")&amp;IF(Master!$AC8="X","X",""), "" )</f>
        <v/>
      </c>
      <c r="F8" s="8"/>
    </row>
    <row r="9" spans="1:7" ht="15" customHeight="1" x14ac:dyDescent="0.25">
      <c r="A9" s="8" t="str">
        <f>Master!$C9 &amp; ""</f>
        <v>Elena</v>
      </c>
      <c r="B9" s="8" t="str">
        <f>Master!$D9 &amp; ""</f>
        <v>Back</v>
      </c>
      <c r="C9" s="8" t="str">
        <f>Master!$M9 &amp; ""</f>
        <v>Dribblers</v>
      </c>
      <c r="D9" s="7" t="str">
        <f>Master!$S9 &amp; ""</f>
        <v>YM</v>
      </c>
      <c r="E9" s="7" t="str">
        <f t="array" ref="E9">IF(A9&lt;&gt;"",IF(Master!$AB9="X","X","")&amp;IF(Master!$AC9="X","X",""), "" )</f>
        <v>X</v>
      </c>
      <c r="F9" s="8"/>
    </row>
    <row r="10" spans="1:7" ht="15" customHeight="1" x14ac:dyDescent="0.25">
      <c r="A10" s="8" t="str">
        <f>Master!$C10 &amp; ""</f>
        <v>Harper</v>
      </c>
      <c r="B10" s="8" t="str">
        <f>Master!$D10 &amp; ""</f>
        <v>Besserman</v>
      </c>
      <c r="C10" s="8" t="str">
        <f>Master!$M10 &amp; ""</f>
        <v/>
      </c>
      <c r="D10" s="7" t="str">
        <f>Master!$S10 &amp; ""</f>
        <v>YM</v>
      </c>
      <c r="E10" s="7" t="str">
        <f t="array" ref="E10">IF(A10&lt;&gt;"",IF(Master!$AB10="X","X","")&amp;IF(Master!$AC10="X","X",""), "" )</f>
        <v/>
      </c>
      <c r="F10" s="8"/>
    </row>
    <row r="11" spans="1:7" ht="15" hidden="1" customHeight="1" x14ac:dyDescent="0.25">
      <c r="A11" s="8" t="str">
        <f>Master!$C11 &amp; ""</f>
        <v>Cohen</v>
      </c>
      <c r="B11" s="8" t="str">
        <f>Master!$D11 &amp; ""</f>
        <v>Bickett</v>
      </c>
      <c r="C11" s="8" t="str">
        <f>Master!$M11 &amp; ""</f>
        <v/>
      </c>
      <c r="D11" s="7" t="str">
        <f>Master!$S11 &amp; ""</f>
        <v>YM</v>
      </c>
      <c r="E11" s="7" t="str">
        <f t="array" ref="E11">IF(A11&lt;&gt;"",IF(Master!$AB11="X","X","")&amp;IF(Master!$AC11="X","X",""), "" )</f>
        <v/>
      </c>
      <c r="F11" s="8"/>
    </row>
    <row r="12" spans="1:7" ht="15" customHeight="1" x14ac:dyDescent="0.25">
      <c r="A12" s="8" t="str">
        <f>Master!$C12 &amp; ""</f>
        <v>Leila</v>
      </c>
      <c r="B12" s="8" t="str">
        <f>Master!$D12 &amp; ""</f>
        <v>Binkley</v>
      </c>
      <c r="C12" s="8" t="str">
        <f>Master!$M12 &amp; ""</f>
        <v>Hotwheels</v>
      </c>
      <c r="D12" s="7" t="str">
        <f>Master!$S12 &amp; ""</f>
        <v>AS</v>
      </c>
      <c r="E12" s="7" t="str">
        <f t="array" ref="E12">IF(A12&lt;&gt;"",IF(Master!$AB12="X","X","")&amp;IF(Master!$AC12="X","X",""), "" )</f>
        <v>X</v>
      </c>
      <c r="F12" s="8"/>
    </row>
    <row r="13" spans="1:7" ht="15" customHeight="1" x14ac:dyDescent="0.25">
      <c r="A13" s="8" t="str">
        <f>Master!$C13 &amp; ""</f>
        <v>Naomi</v>
      </c>
      <c r="B13" s="8" t="str">
        <f>Master!$D13 &amp; ""</f>
        <v>Black</v>
      </c>
      <c r="C13" s="8" t="str">
        <f>Master!$M13 &amp; ""</f>
        <v>Hotwheels</v>
      </c>
      <c r="D13" s="7" t="str">
        <f>Master!$S13 &amp; ""</f>
        <v>YL</v>
      </c>
      <c r="E13" s="7" t="str">
        <f t="array" ref="E13">IF(A13&lt;&gt;"",IF(Master!$AB13="X","X","")&amp;IF(Master!$AC13="X","X",""), "" )</f>
        <v>X</v>
      </c>
      <c r="F13" s="8"/>
    </row>
    <row r="14" spans="1:7" ht="15" hidden="1" customHeight="1" x14ac:dyDescent="0.25">
      <c r="A14" s="8" t="str">
        <f>Master!$C14 &amp; ""</f>
        <v>Conner</v>
      </c>
      <c r="B14" s="8" t="str">
        <f>Master!$D14 &amp; ""</f>
        <v>Blankenship</v>
      </c>
      <c r="C14" s="8" t="str">
        <f>Master!$M14 &amp; ""</f>
        <v/>
      </c>
      <c r="D14" s="7" t="str">
        <f>Master!$S14 &amp; ""</f>
        <v/>
      </c>
      <c r="E14" s="7" t="str">
        <f t="array" ref="E14">IF(A14&lt;&gt;"",IF(Master!$AB14="X","X","")&amp;IF(Master!$AC14="X","X",""), "" )</f>
        <v/>
      </c>
      <c r="F14" s="8"/>
    </row>
    <row r="15" spans="1:7" ht="15" hidden="1" customHeight="1" x14ac:dyDescent="0.25">
      <c r="A15" s="8" t="str">
        <f>Master!$C15 &amp; ""</f>
        <v>Evan</v>
      </c>
      <c r="B15" s="8" t="str">
        <f>Master!$D15 &amp; ""</f>
        <v>Blankenship</v>
      </c>
      <c r="C15" s="8" t="str">
        <f>Master!$M15 &amp; ""</f>
        <v/>
      </c>
      <c r="D15" s="7" t="str">
        <f>Master!$S15 &amp; ""</f>
        <v/>
      </c>
      <c r="E15" s="7" t="str">
        <f t="array" ref="E15">IF(A15&lt;&gt;"",IF(Master!$AB15="X","X","")&amp;IF(Master!$AC15="X","X",""), "" )</f>
        <v/>
      </c>
      <c r="F15" s="8"/>
    </row>
    <row r="16" spans="1:7" ht="15" hidden="1" customHeight="1" x14ac:dyDescent="0.25">
      <c r="A16" s="8" t="str">
        <f>Master!$C16 &amp; ""</f>
        <v>Brady</v>
      </c>
      <c r="B16" s="8" t="str">
        <f>Master!$D16 &amp; ""</f>
        <v>Bolton</v>
      </c>
      <c r="C16" s="8" t="str">
        <f>Master!$M16 &amp; ""</f>
        <v/>
      </c>
      <c r="D16" s="7" t="str">
        <f>Master!$S16 &amp; ""</f>
        <v>YS</v>
      </c>
      <c r="E16" s="7" t="str">
        <f t="array" ref="E16">IF(A16&lt;&gt;"",IF(Master!$AB16="X","X","")&amp;IF(Master!$AC16="X","X",""), "" )</f>
        <v/>
      </c>
      <c r="F16" s="8"/>
    </row>
    <row r="17" spans="1:6" ht="15" hidden="1" customHeight="1" x14ac:dyDescent="0.25">
      <c r="A17" s="8" t="str">
        <f>Master!$C17 &amp; ""</f>
        <v>Mason</v>
      </c>
      <c r="B17" s="8" t="str">
        <f>Master!$D17 &amp; ""</f>
        <v>Booker</v>
      </c>
      <c r="C17" s="8" t="str">
        <f>Master!$M17 &amp; ""</f>
        <v/>
      </c>
      <c r="D17" s="7" t="str">
        <f>Master!$S17 &amp; ""</f>
        <v>YL</v>
      </c>
      <c r="E17" s="7" t="str">
        <f t="array" ref="E17">IF(A17&lt;&gt;"",IF(Master!$AB17="X","X","")&amp;IF(Master!$AC17="X","X",""), "" )</f>
        <v/>
      </c>
      <c r="F17" s="8"/>
    </row>
    <row r="18" spans="1:6" ht="15" customHeight="1" x14ac:dyDescent="0.25">
      <c r="A18" s="8" t="str">
        <f>Master!$C18 &amp; ""</f>
        <v>Hannah</v>
      </c>
      <c r="B18" s="8" t="str">
        <f>Master!$D18 &amp; ""</f>
        <v>Borton</v>
      </c>
      <c r="C18" s="8" t="str">
        <f>Master!$M18 &amp; ""</f>
        <v>Hotwheels</v>
      </c>
      <c r="D18" s="7" t="str">
        <f>Master!$S18 &amp; ""</f>
        <v>AM</v>
      </c>
      <c r="E18" s="7" t="str">
        <f t="array" ref="E18">IF(A18&lt;&gt;"",IF(Master!$AB18="X","X","")&amp;IF(Master!$AC18="X","X",""), "" )</f>
        <v>X</v>
      </c>
      <c r="F18" s="8"/>
    </row>
    <row r="19" spans="1:6" ht="15" hidden="1" customHeight="1" x14ac:dyDescent="0.25">
      <c r="A19" s="8" t="str">
        <f>Master!$C19 &amp; ""</f>
        <v>Evangelia</v>
      </c>
      <c r="B19" s="8" t="str">
        <f>Master!$D19 &amp; ""</f>
        <v>Bourbakis</v>
      </c>
      <c r="C19" s="8" t="str">
        <f>Master!$M19 &amp; ""</f>
        <v/>
      </c>
      <c r="D19" s="7" t="str">
        <f>Master!$S19 &amp; ""</f>
        <v>AXL</v>
      </c>
      <c r="E19" s="7" t="str">
        <f t="array" ref="E19">IF(A19&lt;&gt;"",IF(Master!$AB19="X","X","")&amp;IF(Master!$AC19="X","X",""), "" )</f>
        <v/>
      </c>
      <c r="F19" s="8"/>
    </row>
    <row r="20" spans="1:6" ht="15" customHeight="1" x14ac:dyDescent="0.25">
      <c r="A20" s="8" t="str">
        <f>Master!$C20 &amp; ""</f>
        <v>Tobias</v>
      </c>
      <c r="B20" s="8" t="str">
        <f>Master!$D20 &amp; ""</f>
        <v>Bowermaster</v>
      </c>
      <c r="C20" s="8" t="str">
        <f>Master!$M20 &amp; ""</f>
        <v/>
      </c>
      <c r="D20" s="7" t="str">
        <f>Master!$S20 &amp; ""</f>
        <v>YXL</v>
      </c>
      <c r="E20" s="7" t="str">
        <f t="array" ref="E20">IF(A20&lt;&gt;"",IF(Master!$AB20="X","X","")&amp;IF(Master!$AC20="X","X",""), "" )</f>
        <v/>
      </c>
      <c r="F20" s="8"/>
    </row>
    <row r="21" spans="1:6" ht="15" hidden="1" customHeight="1" x14ac:dyDescent="0.25">
      <c r="A21" s="8" t="str">
        <f>Master!$C21 &amp; ""</f>
        <v>Dylan</v>
      </c>
      <c r="B21" s="8" t="str">
        <f>Master!$D21 &amp; ""</f>
        <v>Bowling</v>
      </c>
      <c r="C21" s="8" t="str">
        <f>Master!$M21 &amp; ""</f>
        <v>Kickers</v>
      </c>
      <c r="D21" s="7" t="str">
        <f>Master!$S21 &amp; ""</f>
        <v>AXL</v>
      </c>
      <c r="E21" s="7" t="e">
        <f t="array" ref="E21">IF(A21&lt;&gt;"",IF(Master!$AB21="X","X","")&amp;IF(Master!#REF!="X","X",""), "" )</f>
        <v>#REF!</v>
      </c>
      <c r="F21" s="8"/>
    </row>
    <row r="22" spans="1:6" ht="15" customHeight="1" x14ac:dyDescent="0.25">
      <c r="A22" s="8" t="str">
        <f>Master!$C22 &amp; ""</f>
        <v>Aaron</v>
      </c>
      <c r="B22" s="8" t="str">
        <f>Master!$D22 &amp; ""</f>
        <v>Bowman</v>
      </c>
      <c r="C22" s="8" t="str">
        <f>Master!$M22 &amp; ""</f>
        <v>Sweepers</v>
      </c>
      <c r="D22" s="7" t="str">
        <f>Master!$S22 &amp; ""</f>
        <v>A4XL</v>
      </c>
      <c r="E22" s="7" t="str">
        <f t="array" ref="E22">IF(A22&lt;&gt;"",IF(Master!$AB22="X","X","")&amp;IF(Master!$AC22="X","X",""), "" )</f>
        <v>X</v>
      </c>
      <c r="F22" s="8"/>
    </row>
    <row r="23" spans="1:6" ht="15" customHeight="1" x14ac:dyDescent="0.25">
      <c r="A23" s="8" t="str">
        <f>Master!$C23 &amp; ""</f>
        <v>Everette</v>
      </c>
      <c r="B23" s="8" t="str">
        <f>Master!$D23 &amp; ""</f>
        <v>Bowman</v>
      </c>
      <c r="C23" s="8" t="str">
        <f>Master!$M23 &amp; ""</f>
        <v>Dribblers</v>
      </c>
      <c r="D23" s="7" t="str">
        <f>Master!$S23 &amp; ""</f>
        <v>YM</v>
      </c>
      <c r="E23" s="7" t="str">
        <f t="array" ref="E23">IF(A23&lt;&gt;"",IF(Master!$AB23="X","X","")&amp;IF(Master!$AC23="X","X",""), "" )</f>
        <v>X</v>
      </c>
      <c r="F23" s="8"/>
    </row>
    <row r="24" spans="1:6" ht="15" customHeight="1" x14ac:dyDescent="0.25">
      <c r="A24" s="8" t="str">
        <f>Master!$C24 &amp; ""</f>
        <v>Gretchen</v>
      </c>
      <c r="B24" s="8" t="str">
        <f>Master!$D24 &amp; ""</f>
        <v>Braun</v>
      </c>
      <c r="C24" s="8" t="str">
        <f>Master!$M24 &amp; ""</f>
        <v>Hotwheels</v>
      </c>
      <c r="D24" s="7" t="str">
        <f>Master!$S24 &amp; ""</f>
        <v>YL</v>
      </c>
      <c r="E24" s="7" t="str">
        <f t="array" ref="E24">IF(A24&lt;&gt;"",IF(Master!$AB24="X","X","")&amp;IF(Master!$AC24="X","X",""), "" )</f>
        <v>X</v>
      </c>
      <c r="F24" s="8"/>
    </row>
    <row r="25" spans="1:6" ht="15" hidden="1" customHeight="1" x14ac:dyDescent="0.25">
      <c r="A25" s="8" t="str">
        <f>Master!$C25 &amp; ""</f>
        <v>Charles</v>
      </c>
      <c r="B25" s="8" t="str">
        <f>Master!$D25 &amp; ""</f>
        <v>Brewer</v>
      </c>
      <c r="C25" s="8" t="str">
        <f>Master!$M25 &amp; ""</f>
        <v>Kickers</v>
      </c>
      <c r="D25" s="7" t="str">
        <f>Master!$S25 &amp; ""</f>
        <v>AM</v>
      </c>
      <c r="E25" s="7" t="str">
        <f t="array" ref="E25">IF(A25&lt;&gt;"",IF(Master!$AB25="X","X","")&amp;IF(Master!$AC25="X","X",""), "" )</f>
        <v>X</v>
      </c>
      <c r="F25" s="8"/>
    </row>
    <row r="26" spans="1:6" ht="15" customHeight="1" x14ac:dyDescent="0.25">
      <c r="A26" s="8" t="str">
        <f>Master!$C26 &amp; ""</f>
        <v>Benjamin</v>
      </c>
      <c r="B26" s="8" t="str">
        <f>Master!$D26 &amp; ""</f>
        <v>Browning</v>
      </c>
      <c r="C26" s="8" t="str">
        <f>Master!$M26 &amp; ""</f>
        <v/>
      </c>
      <c r="D26" s="7" t="str">
        <f>Master!$S26 &amp; ""</f>
        <v>YS</v>
      </c>
      <c r="E26" s="7" t="str">
        <f t="array" ref="E26">IF(A26&lt;&gt;"",IF(Master!$AB26="X","X","")&amp;IF(Master!$AC26="X","X",""), "" )</f>
        <v/>
      </c>
      <c r="F26" s="8"/>
    </row>
    <row r="27" spans="1:6" ht="15" customHeight="1" x14ac:dyDescent="0.25">
      <c r="A27" s="8" t="str">
        <f>Master!$C27 &amp; ""</f>
        <v>Janice</v>
      </c>
      <c r="B27" s="8" t="str">
        <f>Master!$D27 &amp; ""</f>
        <v>Brun</v>
      </c>
      <c r="C27" s="8" t="str">
        <f>Master!$M27 &amp; ""</f>
        <v>Hotwheels</v>
      </c>
      <c r="D27" s="7" t="str">
        <f>Master!$S27 &amp; ""</f>
        <v>AM</v>
      </c>
      <c r="E27" s="7" t="str">
        <f t="array" ref="E27">IF(A27&lt;&gt;"",IF(Master!$AB27="X","X","")&amp;IF(Master!$AC27="X","X",""), "" )</f>
        <v>X</v>
      </c>
      <c r="F27" s="8"/>
    </row>
    <row r="28" spans="1:6" ht="15" customHeight="1" x14ac:dyDescent="0.25">
      <c r="A28" s="8" t="str">
        <f>Master!$C28 &amp; ""</f>
        <v>Niklaus</v>
      </c>
      <c r="B28" s="8" t="str">
        <f>Master!$D28 &amp; ""</f>
        <v>Burtnett</v>
      </c>
      <c r="C28" s="8" t="str">
        <f>Master!$M28 &amp; ""</f>
        <v>Hotwheels</v>
      </c>
      <c r="D28" s="7" t="str">
        <f>Master!$S28 &amp; ""</f>
        <v>YM</v>
      </c>
      <c r="E28" s="7" t="str">
        <f t="array" ref="E28">IF(A28&lt;&gt;"",IF(Master!$AB28="X","X","")&amp;IF(Master!$AC28="X","X",""), "" )</f>
        <v>X</v>
      </c>
      <c r="F28" s="8"/>
    </row>
    <row r="29" spans="1:6" ht="15" customHeight="1" x14ac:dyDescent="0.25">
      <c r="A29" s="8" t="str">
        <f>Master!$C29 &amp; ""</f>
        <v>Noah</v>
      </c>
      <c r="B29" s="8" t="str">
        <f>Master!$D29 &amp; ""</f>
        <v>Bush</v>
      </c>
      <c r="C29" s="8" t="str">
        <f>Master!$M29 &amp; ""</f>
        <v>Shooters</v>
      </c>
      <c r="D29" s="7" t="str">
        <f>Master!$S29 &amp; ""</f>
        <v>YS</v>
      </c>
      <c r="E29" s="7" t="str">
        <f t="array" ref="E29">IF(A29&lt;&gt;"",IF(Master!$AB29="X","X","")&amp;IF(Master!$AC29="X","X",""), "" )</f>
        <v>X</v>
      </c>
      <c r="F29" s="8"/>
    </row>
    <row r="30" spans="1:6" ht="15" hidden="1" customHeight="1" x14ac:dyDescent="0.25">
      <c r="A30" s="8" t="str">
        <f>Master!$C30 &amp; ""</f>
        <v>Fred</v>
      </c>
      <c r="B30" s="8" t="str">
        <f>Master!$D30 &amp; ""</f>
        <v>Cairo</v>
      </c>
      <c r="C30" s="8" t="str">
        <f>Master!$M30 &amp; ""</f>
        <v>Sweepers</v>
      </c>
      <c r="D30" s="7" t="str">
        <f>Master!$S30 &amp; ""</f>
        <v>AXL</v>
      </c>
      <c r="E30" s="7" t="str">
        <f t="array" ref="E30">IF(A30&lt;&gt;"",IF(Master!$AB30="X","X","")&amp;IF(Master!$AC30="X","X",""), "" )</f>
        <v>X</v>
      </c>
      <c r="F30" s="8"/>
    </row>
    <row r="31" spans="1:6" ht="15" hidden="1" customHeight="1" x14ac:dyDescent="0.25">
      <c r="A31" s="8" t="str">
        <f>Master!$C31 &amp; ""</f>
        <v>Benny</v>
      </c>
      <c r="B31" s="8" t="str">
        <f>Master!$D31 &amp; ""</f>
        <v>Calcutta</v>
      </c>
      <c r="C31" s="8" t="str">
        <f>Master!$M31 &amp; ""</f>
        <v>Passers</v>
      </c>
      <c r="D31" s="7" t="str">
        <f>Master!$S31 &amp; ""</f>
        <v>AM</v>
      </c>
      <c r="E31" s="7" t="str">
        <f t="array" ref="E31">IF(A31&lt;&gt;"",IF(Master!$AB31="X","X","")&amp;IF(Master!$AC31="X","X",""), "" )</f>
        <v>X</v>
      </c>
      <c r="F31" s="8"/>
    </row>
    <row r="32" spans="1:6" ht="15" customHeight="1" x14ac:dyDescent="0.25">
      <c r="A32" s="8" t="str">
        <f>Master!$C32 &amp; ""</f>
        <v>Beckett</v>
      </c>
      <c r="B32" s="8" t="str">
        <f>Master!$D32 &amp; ""</f>
        <v>Calfee</v>
      </c>
      <c r="C32" s="8" t="str">
        <f>Master!$M32 &amp; ""</f>
        <v/>
      </c>
      <c r="D32" s="7" t="str">
        <f>Master!$S32 &amp; ""</f>
        <v>AM</v>
      </c>
      <c r="E32" s="7" t="str">
        <f t="array" ref="E32">IF(A32&lt;&gt;"",IF(Master!$AB32="X","X","")&amp;IF(Master!$AC32="X","X",""), "" )</f>
        <v/>
      </c>
      <c r="F32" s="8"/>
    </row>
    <row r="33" spans="1:6" ht="15" customHeight="1" x14ac:dyDescent="0.25">
      <c r="A33" s="8" t="str">
        <f>Master!$C33 &amp; ""</f>
        <v>Jacob</v>
      </c>
      <c r="B33" s="8" t="str">
        <f>Master!$D33 &amp; ""</f>
        <v>Candy</v>
      </c>
      <c r="C33" s="8" t="str">
        <f>Master!$M33 &amp; ""</f>
        <v/>
      </c>
      <c r="D33" s="7" t="str">
        <f>Master!$S33 &amp; ""</f>
        <v>AM</v>
      </c>
      <c r="E33" s="7" t="str">
        <f t="array" ref="E33">IF(A33&lt;&gt;"",IF(Master!$AB33="X","X","")&amp;IF(Master!$AC33="X","X",""), "" )</f>
        <v/>
      </c>
      <c r="F33" s="8"/>
    </row>
    <row r="34" spans="1:6" ht="15" hidden="1" customHeight="1" x14ac:dyDescent="0.25">
      <c r="A34" s="8" t="str">
        <f>Master!$C34 &amp; ""</f>
        <v>Luca</v>
      </c>
      <c r="B34" s="8" t="str">
        <f>Master!$D34 &amp; ""</f>
        <v>Carlton</v>
      </c>
      <c r="C34" s="8" t="str">
        <f>Master!$M34 &amp; ""</f>
        <v/>
      </c>
      <c r="D34" s="7" t="str">
        <f>Master!$S34 &amp; ""</f>
        <v>YS</v>
      </c>
      <c r="E34" s="7" t="str">
        <f t="array" ref="E34">IF(A34&lt;&gt;"",IF(Master!$AB34="X","X","")&amp;IF(Master!$AC34="X","X",""), "" )</f>
        <v/>
      </c>
      <c r="F34" s="8"/>
    </row>
    <row r="35" spans="1:6" ht="15" customHeight="1" x14ac:dyDescent="0.25">
      <c r="A35" s="8" t="str">
        <f>Master!$C35 &amp; ""</f>
        <v>Jackson</v>
      </c>
      <c r="B35" s="8" t="str">
        <f>Master!$D35 &amp; ""</f>
        <v>Chockey</v>
      </c>
      <c r="C35" s="8" t="str">
        <f>Master!$M35 &amp; ""</f>
        <v>Passers</v>
      </c>
      <c r="D35" s="7" t="str">
        <f>Master!$S35 &amp; ""</f>
        <v>AL</v>
      </c>
      <c r="E35" s="7" t="str">
        <f t="array" ref="E35">IF(A35&lt;&gt;"",IF(Master!$AB35="X","X","")&amp;IF(Master!$AC35="X","X",""), "" )</f>
        <v>X</v>
      </c>
      <c r="F35" s="8"/>
    </row>
    <row r="36" spans="1:6" ht="15" customHeight="1" x14ac:dyDescent="0.25">
      <c r="A36" s="8" t="str">
        <f>Master!$C36 &amp; ""</f>
        <v>Bailey</v>
      </c>
      <c r="B36" s="8" t="str">
        <f>Master!$D36 &amp; ""</f>
        <v>Clark</v>
      </c>
      <c r="C36" s="8" t="str">
        <f>Master!$M36 &amp; ""</f>
        <v/>
      </c>
      <c r="D36" s="7" t="str">
        <f>Master!$S36 &amp; ""</f>
        <v/>
      </c>
      <c r="E36" s="7" t="str">
        <f t="array" ref="E36">IF(A36&lt;&gt;"",IF(Master!$AB36="X","X","")&amp;IF(Master!$AC36="X","X",""), "" )</f>
        <v/>
      </c>
      <c r="F36" s="8"/>
    </row>
    <row r="37" spans="1:6" ht="15" customHeight="1" x14ac:dyDescent="0.25">
      <c r="A37" s="8" t="str">
        <f>Master!$C37 &amp; ""</f>
        <v>Emma</v>
      </c>
      <c r="B37" s="8" t="str">
        <f>Master!$D37 &amp; ""</f>
        <v>Cloyes</v>
      </c>
      <c r="C37" s="8" t="str">
        <f>Master!$M37 &amp; ""</f>
        <v>Passers</v>
      </c>
      <c r="D37" s="7" t="str">
        <f>Master!$S37 &amp; ""</f>
        <v>AXL</v>
      </c>
      <c r="E37" s="7" t="str">
        <f t="array" ref="E37">IF(A37&lt;&gt;"",IF(Master!$AB37="X","X","")&amp;IF(Master!$AC37="X","X",""), "" )</f>
        <v>X</v>
      </c>
      <c r="F37" s="8"/>
    </row>
    <row r="38" spans="1:6" ht="15" customHeight="1" x14ac:dyDescent="0.25">
      <c r="A38" s="8" t="str">
        <f>Master!$C38 &amp; ""</f>
        <v>Charlie</v>
      </c>
      <c r="B38" s="8" t="str">
        <f>Master!$D38 &amp; ""</f>
        <v>Coleman</v>
      </c>
      <c r="C38" s="8" t="str">
        <f>Master!$M38 &amp; ""</f>
        <v/>
      </c>
      <c r="D38" s="7" t="str">
        <f>Master!$S38 &amp; ""</f>
        <v>YM</v>
      </c>
      <c r="E38" s="7" t="str">
        <f t="array" ref="E38">IF(A38&lt;&gt;"",IF(Master!$AB38="X","X","")&amp;IF(Master!$AC38="X","X",""), "" )</f>
        <v/>
      </c>
      <c r="F38" s="8"/>
    </row>
    <row r="39" spans="1:6" ht="15" hidden="1" customHeight="1" x14ac:dyDescent="0.25">
      <c r="A39" s="8" t="str">
        <f>Master!$C39 &amp; ""</f>
        <v>Jack</v>
      </c>
      <c r="B39" s="8" t="str">
        <f>Master!$D39 &amp; ""</f>
        <v>Coleman</v>
      </c>
      <c r="C39" s="8" t="str">
        <f>Master!$M39 &amp; ""</f>
        <v/>
      </c>
      <c r="D39" s="7" t="str">
        <f>Master!$S39 &amp; ""</f>
        <v>YL</v>
      </c>
      <c r="E39" s="7" t="str">
        <f t="array" ref="E39">IF(A39&lt;&gt;"",IF(Master!$AB39="X","X","")&amp;IF(Master!$AC39="X","X",""), "" )</f>
        <v/>
      </c>
      <c r="F39" s="8"/>
    </row>
    <row r="40" spans="1:6" ht="15" customHeight="1" x14ac:dyDescent="0.25">
      <c r="A40" s="8" t="str">
        <f>Master!$C40 &amp; ""</f>
        <v>Steven</v>
      </c>
      <c r="B40" s="8" t="str">
        <f>Master!$D40 &amp; ""</f>
        <v>Conlee</v>
      </c>
      <c r="C40" s="8" t="str">
        <f>Master!$M40 &amp; ""</f>
        <v>Strikers</v>
      </c>
      <c r="D40" s="7" t="str">
        <f>Master!$S40 &amp; ""</f>
        <v>AL</v>
      </c>
      <c r="E40" s="7" t="str">
        <f t="array" ref="E40">IF(A40&lt;&gt;"",IF(Master!$AB40="X","X","")&amp;IF(Master!$AC40="X","X",""), "" )</f>
        <v>X</v>
      </c>
      <c r="F40" s="8"/>
    </row>
    <row r="41" spans="1:6" ht="15" customHeight="1" x14ac:dyDescent="0.25">
      <c r="A41" s="8" t="str">
        <f>Master!$C41 &amp; ""</f>
        <v>Alexander</v>
      </c>
      <c r="B41" s="8" t="str">
        <f>Master!$D41 &amp; ""</f>
        <v>Coomer</v>
      </c>
      <c r="C41" s="8" t="str">
        <f>Master!$M41 &amp; ""</f>
        <v/>
      </c>
      <c r="D41" s="7" t="str">
        <f>Master!$S41 &amp; ""</f>
        <v>YS</v>
      </c>
      <c r="E41" s="7" t="str">
        <f t="array" ref="E41">IF(A41&lt;&gt;"",IF(Master!$AB41="X","X","")&amp;IF(Master!$AC41="X","X",""), "" )</f>
        <v/>
      </c>
      <c r="F41" s="8"/>
    </row>
    <row r="42" spans="1:6" ht="15" customHeight="1" x14ac:dyDescent="0.25">
      <c r="A42" s="8" t="str">
        <f>Master!$C42 &amp; ""</f>
        <v>Aiyanna</v>
      </c>
      <c r="B42" s="8" t="str">
        <f>Master!$D42 &amp; ""</f>
        <v>Cornell</v>
      </c>
      <c r="C42" s="8" t="str">
        <f>Master!$M42 &amp; ""</f>
        <v>Passers</v>
      </c>
      <c r="D42" s="7" t="str">
        <f>Master!$S42 &amp; ""</f>
        <v>AS</v>
      </c>
      <c r="E42" s="7" t="str">
        <f t="array" ref="E42">IF(A42&lt;&gt;"",IF(Master!$AB42="X","X","")&amp;IF(Master!$AC42="X","X",""), "" )</f>
        <v>X</v>
      </c>
      <c r="F42" s="8"/>
    </row>
    <row r="43" spans="1:6" ht="15" customHeight="1" x14ac:dyDescent="0.25">
      <c r="A43" s="8" t="str">
        <f>Master!$C43 &amp; ""</f>
        <v>Carter</v>
      </c>
      <c r="B43" s="8" t="str">
        <f>Master!$D43 &amp; ""</f>
        <v>Cornell</v>
      </c>
      <c r="C43" s="8" t="str">
        <f>Master!$M43 &amp; ""</f>
        <v>Hotwheels</v>
      </c>
      <c r="D43" s="7" t="str">
        <f>Master!$S43 &amp; ""</f>
        <v>YXL</v>
      </c>
      <c r="E43" s="7" t="str">
        <f t="array" ref="E43">IF(A43&lt;&gt;"",IF(Master!$AB43="X","X","")&amp;IF(Master!$AC43="X","X",""), "" )</f>
        <v>X</v>
      </c>
      <c r="F43" s="8"/>
    </row>
    <row r="44" spans="1:6" ht="15" hidden="1" customHeight="1" x14ac:dyDescent="0.25">
      <c r="A44" s="8" t="str">
        <f>Master!$C44 &amp; ""</f>
        <v>Andrew</v>
      </c>
      <c r="B44" s="8" t="str">
        <f>Master!$D44 &amp; ""</f>
        <v>Crosby</v>
      </c>
      <c r="C44" s="8" t="str">
        <f>Master!$M44 &amp; ""</f>
        <v>Strikers</v>
      </c>
      <c r="D44" s="7" t="str">
        <f>Master!$S44 &amp; ""</f>
        <v>A3XL</v>
      </c>
      <c r="E44" s="7" t="str">
        <f t="array" ref="E44">IF(A44&lt;&gt;"",IF(Master!$AB44="X","X","")&amp;IF(Master!$AC44="X","X",""), "" )</f>
        <v>X</v>
      </c>
      <c r="F44" s="8"/>
    </row>
    <row r="45" spans="1:6" ht="15" customHeight="1" x14ac:dyDescent="0.25">
      <c r="A45" s="8" t="str">
        <f>Master!$C45 &amp; ""</f>
        <v>Noah</v>
      </c>
      <c r="B45" s="8" t="str">
        <f>Master!$D45 &amp; ""</f>
        <v>Curtis</v>
      </c>
      <c r="C45" s="8" t="str">
        <f>Master!$M45 &amp; ""</f>
        <v>Hotwheels</v>
      </c>
      <c r="D45" s="7" t="str">
        <f>Master!$S45 &amp; ""</f>
        <v>YM</v>
      </c>
      <c r="E45" s="7" t="str">
        <f t="array" ref="E45">IF(A45&lt;&gt;"",IF(Master!$AB45="X","X","")&amp;IF(Master!$AC45="X","X",""), "" )</f>
        <v>X</v>
      </c>
      <c r="F45" s="8"/>
    </row>
    <row r="46" spans="1:6" ht="15" customHeight="1" x14ac:dyDescent="0.25">
      <c r="A46" s="8" t="str">
        <f>Master!$C46 &amp; ""</f>
        <v>Vada</v>
      </c>
      <c r="B46" s="8" t="str">
        <f>Master!$D46 &amp; ""</f>
        <v>Daniels</v>
      </c>
      <c r="C46" s="8" t="str">
        <f>Master!$M46 &amp; ""</f>
        <v>Shooters</v>
      </c>
      <c r="D46" s="7" t="str">
        <f>Master!$S46 &amp; ""</f>
        <v>YL</v>
      </c>
      <c r="E46" s="7" t="str">
        <f t="array" ref="E46">IF(A46&lt;&gt;"",IF(Master!$AB46="X","X","")&amp;IF(Master!$AC46="X","X",""), "" )</f>
        <v>X</v>
      </c>
      <c r="F46" s="8"/>
    </row>
    <row r="47" spans="1:6" ht="15" customHeight="1" x14ac:dyDescent="0.25">
      <c r="A47" s="8" t="str">
        <f>Master!$C47 &amp; ""</f>
        <v>Ellie</v>
      </c>
      <c r="B47" s="8" t="str">
        <f>Master!$D47 &amp; ""</f>
        <v>Davenport</v>
      </c>
      <c r="C47" s="8" t="str">
        <f>Master!$M47 &amp; ""</f>
        <v/>
      </c>
      <c r="D47" s="7" t="str">
        <f>Master!$S47 &amp; ""</f>
        <v>AS</v>
      </c>
      <c r="E47" s="7" t="str">
        <f t="array" ref="E47">IF(A47&lt;&gt;"",IF(Master!$AB47="X","X","")&amp;IF(Master!$AC47="X","X",""), "" )</f>
        <v/>
      </c>
      <c r="F47" s="8"/>
    </row>
    <row r="48" spans="1:6" ht="15" customHeight="1" x14ac:dyDescent="0.25">
      <c r="A48" s="8" t="str">
        <f>Master!$C48 &amp; ""</f>
        <v>Ian</v>
      </c>
      <c r="B48" s="8" t="str">
        <f>Master!$D48 &amp; ""</f>
        <v>Davis</v>
      </c>
      <c r="C48" s="8" t="str">
        <f>Master!$M48 &amp; ""</f>
        <v>Kickers</v>
      </c>
      <c r="D48" s="7" t="str">
        <f>Master!$S48 &amp; ""</f>
        <v>AXL</v>
      </c>
      <c r="E48" s="7" t="str">
        <f t="array" ref="E48">IF(A48&lt;&gt;"",IF(Master!$AB48="X","X","")&amp;IF(Master!$AC48="X","X",""), "" )</f>
        <v>X</v>
      </c>
      <c r="F48" s="8"/>
    </row>
    <row r="49" spans="1:6" ht="15" customHeight="1" x14ac:dyDescent="0.25">
      <c r="A49" s="8" t="str">
        <f>Master!$C49 &amp; ""</f>
        <v>Payson</v>
      </c>
      <c r="B49" s="8" t="str">
        <f>Master!$D49 &amp; ""</f>
        <v>Davis</v>
      </c>
      <c r="C49" s="8" t="str">
        <f>Master!$M49 &amp; ""</f>
        <v>Shooters</v>
      </c>
      <c r="D49" s="7" t="str">
        <f>Master!$S49 &amp; ""</f>
        <v>AS</v>
      </c>
      <c r="E49" s="7" t="str">
        <f t="array" ref="E49">IF(A49&lt;&gt;"",IF(Master!$AB49="X","X","")&amp;IF(Master!$AC49="X","X",""), "" )</f>
        <v>X</v>
      </c>
      <c r="F49" s="8"/>
    </row>
    <row r="50" spans="1:6" ht="15" customHeight="1" x14ac:dyDescent="0.25">
      <c r="A50" s="8" t="str">
        <f>Master!$C50 &amp; ""</f>
        <v>Nolan</v>
      </c>
      <c r="B50" s="8" t="str">
        <f>Master!$D50 &amp; ""</f>
        <v>DeGrazia</v>
      </c>
      <c r="C50" s="8" t="str">
        <f>Master!$M50 &amp; ""</f>
        <v>Dribblers</v>
      </c>
      <c r="D50" s="7" t="str">
        <f>Master!$S50 &amp; ""</f>
        <v>YS</v>
      </c>
      <c r="E50" s="7" t="str">
        <f t="array" ref="E50">IF(A50&lt;&gt;"",IF(Master!$AB50="X","X","")&amp;IF(Master!$AC50="X","X",""), "" )</f>
        <v>X</v>
      </c>
      <c r="F50" s="8"/>
    </row>
    <row r="51" spans="1:6" ht="15" customHeight="1" x14ac:dyDescent="0.25">
      <c r="A51" s="8" t="str">
        <f>Master!$C51 &amp; ""</f>
        <v>Kendra</v>
      </c>
      <c r="B51" s="8" t="str">
        <f>Master!$D51 &amp; ""</f>
        <v>Denlinger</v>
      </c>
      <c r="C51" s="8" t="str">
        <f>Master!$M51 &amp; ""</f>
        <v>Sweepers</v>
      </c>
      <c r="D51" s="7" t="str">
        <f>Master!$S51 &amp; ""</f>
        <v>AM</v>
      </c>
      <c r="E51" s="7" t="str">
        <f t="array" ref="E51">IF(A51&lt;&gt;"",IF(Master!$AB51="X","X","")&amp;IF(Master!$AC51="X","X",""), "" )</f>
        <v>X</v>
      </c>
      <c r="F51" s="8"/>
    </row>
    <row r="52" spans="1:6" ht="15" customHeight="1" x14ac:dyDescent="0.25">
      <c r="A52" s="8" t="str">
        <f>Master!$C52 &amp; ""</f>
        <v>Ryan</v>
      </c>
      <c r="B52" s="8" t="str">
        <f>Master!$D52 &amp; ""</f>
        <v>DeWine</v>
      </c>
      <c r="C52" s="8" t="str">
        <f>Master!$M52 &amp; ""</f>
        <v>Sweepers</v>
      </c>
      <c r="D52" s="7" t="str">
        <f>Master!$S52 &amp; ""</f>
        <v>AL</v>
      </c>
      <c r="E52" s="7" t="str">
        <f t="array" ref="E52">IF(A52&lt;&gt;"",IF(Master!$AB52="X","X","")&amp;IF(Master!$AC52="X","X",""), "" )</f>
        <v>X</v>
      </c>
      <c r="F52" s="8"/>
    </row>
    <row r="53" spans="1:6" ht="15" customHeight="1" x14ac:dyDescent="0.25">
      <c r="A53" s="8" t="str">
        <f>Master!$C53 &amp; ""</f>
        <v>Brandon</v>
      </c>
      <c r="B53" s="8" t="str">
        <f>Master!$D53 &amp; ""</f>
        <v>Dietsch</v>
      </c>
      <c r="C53" s="8" t="str">
        <f>Master!$M53 &amp; ""</f>
        <v>Hotwheels</v>
      </c>
      <c r="D53" s="7" t="str">
        <f>Master!$S53 &amp; ""</f>
        <v>YM</v>
      </c>
      <c r="E53" s="7" t="str">
        <f t="array" ref="E53">IF(A53&lt;&gt;"",IF(Master!$AB53="X","X","")&amp;IF(Master!$AC53="X","X",""), "" )</f>
        <v>X</v>
      </c>
      <c r="F53" s="8"/>
    </row>
    <row r="54" spans="1:6" ht="15" customHeight="1" x14ac:dyDescent="0.25">
      <c r="A54" s="8" t="str">
        <f>Master!$C54 &amp; ""</f>
        <v>Grant</v>
      </c>
      <c r="B54" s="8" t="str">
        <f>Master!$D54 &amp; ""</f>
        <v>Dismuke</v>
      </c>
      <c r="C54" s="8" t="str">
        <f>Master!$M54 &amp; ""</f>
        <v/>
      </c>
      <c r="D54" s="7" t="str">
        <f>Master!$S54 &amp; ""</f>
        <v>YM</v>
      </c>
      <c r="E54" s="7" t="str">
        <f t="array" ref="E54">IF(A54&lt;&gt;"",IF(Master!$AB54="X","X","")&amp;IF(Master!$AC54="X","X",""), "" )</f>
        <v/>
      </c>
      <c r="F54" s="8"/>
    </row>
    <row r="55" spans="1:6" ht="15" customHeight="1" x14ac:dyDescent="0.25">
      <c r="A55" s="8" t="str">
        <f>Master!$C55 &amp; ""</f>
        <v>Matt</v>
      </c>
      <c r="B55" s="8" t="str">
        <f>Master!$D55 &amp; ""</f>
        <v>Dorn</v>
      </c>
      <c r="C55" s="8" t="str">
        <f>Master!$M55 &amp; ""</f>
        <v>Sweepers</v>
      </c>
      <c r="D55" s="7" t="str">
        <f>Master!$S55 &amp; ""</f>
        <v>AXL</v>
      </c>
      <c r="E55" s="7" t="str">
        <f t="array" ref="E55">IF(A55&lt;&gt;"",IF(Master!$AB55="X","X","")&amp;IF(Master!$AC55="X","X",""), "" )</f>
        <v>X</v>
      </c>
      <c r="F55" s="8"/>
    </row>
    <row r="56" spans="1:6" ht="15" hidden="1" customHeight="1" x14ac:dyDescent="0.25">
      <c r="A56" s="8" t="str">
        <f>Master!$C56 &amp; ""</f>
        <v>Laura</v>
      </c>
      <c r="B56" s="8" t="str">
        <f>Master!$D56 &amp; ""</f>
        <v>Doroh</v>
      </c>
      <c r="C56" s="8" t="str">
        <f>Master!$M56 &amp; ""</f>
        <v>Strikers</v>
      </c>
      <c r="D56" s="7" t="str">
        <f>Master!$S56 &amp; ""</f>
        <v>AM</v>
      </c>
      <c r="E56" s="7" t="str">
        <f t="array" ref="E56">IF(A56&lt;&gt;"",IF(Master!$AB56="X","X","")&amp;IF(Master!$AC56="X","X",""), "" )</f>
        <v>X</v>
      </c>
      <c r="F56" s="8"/>
    </row>
    <row r="57" spans="1:6" ht="15" customHeight="1" x14ac:dyDescent="0.25">
      <c r="A57" s="8" t="str">
        <f>Master!$C57 &amp; ""</f>
        <v>Will</v>
      </c>
      <c r="B57" s="8" t="str">
        <f>Master!$D57 &amp; ""</f>
        <v>Drerup</v>
      </c>
      <c r="C57" s="8" t="str">
        <f>Master!$M57 &amp; ""</f>
        <v>Passers</v>
      </c>
      <c r="D57" s="7" t="str">
        <f>Master!$S57 &amp; ""</f>
        <v>A4XL</v>
      </c>
      <c r="E57" s="7" t="str">
        <f t="array" ref="E57">IF(A57&lt;&gt;"",IF(Master!$AB57="X","X","")&amp;IF(Master!$AC57="X","X",""), "" )</f>
        <v>X</v>
      </c>
      <c r="F57" s="8"/>
    </row>
    <row r="58" spans="1:6" ht="15" hidden="1" customHeight="1" x14ac:dyDescent="0.25">
      <c r="A58" s="8" t="str">
        <f>Master!$C58 &amp; ""</f>
        <v>Nick</v>
      </c>
      <c r="B58" s="8" t="str">
        <f>Master!$D58 &amp; ""</f>
        <v>Drewry</v>
      </c>
      <c r="C58" s="8" t="str">
        <f>Master!$M58 &amp; ""</f>
        <v>Strikers</v>
      </c>
      <c r="D58" s="7" t="str">
        <f>Master!$S58 &amp; ""</f>
        <v>A2XL</v>
      </c>
      <c r="E58" s="7" t="str">
        <f t="array" ref="E58">IF(A58&lt;&gt;"",IF(Master!$AB58="X","X","")&amp;IF(Master!$AC58="X","X",""), "" )</f>
        <v>X</v>
      </c>
      <c r="F58" s="8"/>
    </row>
    <row r="59" spans="1:6" ht="15" hidden="1" customHeight="1" x14ac:dyDescent="0.25">
      <c r="A59" s="8" t="str">
        <f>Master!$C59 &amp; ""</f>
        <v>Jack</v>
      </c>
      <c r="B59" s="8" t="str">
        <f>Master!$D59 &amp; ""</f>
        <v>Duckro</v>
      </c>
      <c r="C59" s="8" t="str">
        <f>Master!$M59 &amp; ""</f>
        <v>Strikers</v>
      </c>
      <c r="D59" s="7" t="str">
        <f>Master!$S59 &amp; ""</f>
        <v>AL</v>
      </c>
      <c r="E59" s="7" t="str">
        <f t="array" ref="E59">IF(A59&lt;&gt;"",IF(Master!$AB59="X","X","")&amp;IF(Master!$AC59="X","X",""), "" )</f>
        <v>X</v>
      </c>
      <c r="F59" s="8"/>
    </row>
    <row r="60" spans="1:6" ht="15" customHeight="1" x14ac:dyDescent="0.25">
      <c r="A60" s="8" t="e">
        <f>Master!#REF! &amp; ""</f>
        <v>#REF!</v>
      </c>
      <c r="B60" s="8" t="e">
        <f>Master!#REF! &amp; ""</f>
        <v>#REF!</v>
      </c>
      <c r="C60" s="8" t="e">
        <f>Master!#REF! &amp; ""</f>
        <v>#REF!</v>
      </c>
      <c r="D60" s="7" t="e">
        <f>Master!#REF! &amp; ""</f>
        <v>#REF!</v>
      </c>
      <c r="E60" s="7" t="e">
        <f t="array" ref="E60">IF(A60&lt;&gt;"",IF(Master!#REF!="X","X","")&amp;IF(Master!#REF!="X","X",""), "" )</f>
        <v>#REF!</v>
      </c>
      <c r="F60" s="8"/>
    </row>
    <row r="61" spans="1:6" ht="15" hidden="1" customHeight="1" x14ac:dyDescent="0.25">
      <c r="A61" s="8" t="e">
        <f>Master!#REF! &amp; ""</f>
        <v>#REF!</v>
      </c>
      <c r="B61" s="8" t="e">
        <f>Master!#REF! &amp; ""</f>
        <v>#REF!</v>
      </c>
      <c r="C61" s="8" t="e">
        <f>Master!#REF! &amp; ""</f>
        <v>#REF!</v>
      </c>
      <c r="D61" s="7" t="e">
        <f>Master!#REF! &amp; ""</f>
        <v>#REF!</v>
      </c>
      <c r="E61" s="7" t="e">
        <f t="array" ref="E61">IF(A61&lt;&gt;"",IF(Master!#REF!="X","X","")&amp;IF(Master!#REF!="X","X",""), "" )</f>
        <v>#REF!</v>
      </c>
      <c r="F61" s="8"/>
    </row>
    <row r="62" spans="1:6" ht="15" customHeight="1" x14ac:dyDescent="0.25">
      <c r="A62" s="8" t="e">
        <f>Master!#REF! &amp; ""</f>
        <v>#REF!</v>
      </c>
      <c r="B62" s="8" t="e">
        <f>Master!#REF! &amp; ""</f>
        <v>#REF!</v>
      </c>
      <c r="C62" s="8" t="e">
        <f>Master!#REF! &amp; ""</f>
        <v>#REF!</v>
      </c>
      <c r="D62" s="7" t="e">
        <f>Master!#REF! &amp; ""</f>
        <v>#REF!</v>
      </c>
      <c r="E62" s="7" t="e">
        <f t="array" ref="E62">IF(A62&lt;&gt;"",IF(Master!#REF!="X","X","")&amp;IF(Master!#REF!="X","X",""), "" )</f>
        <v>#REF!</v>
      </c>
      <c r="F62" s="8"/>
    </row>
    <row r="63" spans="1:6" ht="15" customHeight="1" x14ac:dyDescent="0.25">
      <c r="A63" s="8" t="str">
        <f>Master!$C60 &amp; ""</f>
        <v>Leighton</v>
      </c>
      <c r="B63" s="8" t="str">
        <f>Master!$D60 &amp; ""</f>
        <v>Ellinger</v>
      </c>
      <c r="C63" s="8" t="str">
        <f>Master!$M60 &amp; ""</f>
        <v>Kickers</v>
      </c>
      <c r="D63" s="7" t="str">
        <f>Master!$S60 &amp; ""</f>
        <v>AM</v>
      </c>
      <c r="E63" s="7" t="str">
        <f t="array" ref="E63">IF(A63&lt;&gt;"",IF(Master!$AB60="X","X","")&amp;IF(Master!$AC60="X","X",""), "" )</f>
        <v>X</v>
      </c>
      <c r="F63" s="8"/>
    </row>
    <row r="64" spans="1:6" ht="15" customHeight="1" x14ac:dyDescent="0.25">
      <c r="A64" s="8" t="str">
        <f>Master!$C61 &amp; ""</f>
        <v>Freddie</v>
      </c>
      <c r="B64" s="8" t="str">
        <f>Master!$D61 &amp; ""</f>
        <v>Engle</v>
      </c>
      <c r="C64" s="8" t="str">
        <f>Master!$M61 &amp; ""</f>
        <v/>
      </c>
      <c r="D64" s="7" t="str">
        <f>Master!$S61 &amp; ""</f>
        <v/>
      </c>
      <c r="E64" s="7" t="str">
        <f t="array" ref="E64">IF(A64&lt;&gt;"",IF(Master!$AB61="X","X","")&amp;IF(Master!$AC61="X","X",""), "" )</f>
        <v/>
      </c>
      <c r="F64" s="8"/>
    </row>
    <row r="65" spans="1:6" ht="15" hidden="1" customHeight="1" x14ac:dyDescent="0.25">
      <c r="A65" s="8" t="str">
        <f>Master!$C62 &amp; ""</f>
        <v>Graham</v>
      </c>
      <c r="B65" s="8" t="str">
        <f>Master!$D62 &amp; ""</f>
        <v>Enneking</v>
      </c>
      <c r="C65" s="8" t="str">
        <f>Master!$M62 &amp; ""</f>
        <v/>
      </c>
      <c r="D65" s="7" t="str">
        <f>Master!$S62 &amp; ""</f>
        <v>YM</v>
      </c>
      <c r="E65" s="7" t="str">
        <f t="array" ref="E65">IF(A65&lt;&gt;"",IF(Master!$AB62="X","X","")&amp;IF(Master!$AC62="X","X",""), "" )</f>
        <v/>
      </c>
      <c r="F65" s="8"/>
    </row>
    <row r="66" spans="1:6" ht="15" customHeight="1" x14ac:dyDescent="0.25">
      <c r="A66" s="8" t="str">
        <f>Master!$C63 &amp; ""</f>
        <v>Jake</v>
      </c>
      <c r="B66" s="8" t="str">
        <f>Master!$D63 &amp; ""</f>
        <v>Everson</v>
      </c>
      <c r="C66" s="8" t="str">
        <f>Master!$M63 &amp; ""</f>
        <v>Sweepers</v>
      </c>
      <c r="D66" s="7" t="str">
        <f>Master!$S63 &amp; ""</f>
        <v>A2XL</v>
      </c>
      <c r="E66" s="7" t="str">
        <f t="array" ref="E66">IF(A66&lt;&gt;"",IF(Master!$AB63="X","X","")&amp;IF(Master!$AC63="X","X",""), "" )</f>
        <v>X</v>
      </c>
      <c r="F66" s="8"/>
    </row>
    <row r="67" spans="1:6" ht="15" customHeight="1" x14ac:dyDescent="0.25">
      <c r="A67" s="8" t="str">
        <f>Master!$C64 &amp; ""</f>
        <v>Henry</v>
      </c>
      <c r="B67" s="8" t="str">
        <f>Master!$D64 &amp; ""</f>
        <v>Farrell</v>
      </c>
      <c r="C67" s="8" t="str">
        <f>Master!$M64 &amp; ""</f>
        <v/>
      </c>
      <c r="D67" s="7" t="str">
        <f>Master!$S64 &amp; ""</f>
        <v>YL</v>
      </c>
      <c r="E67" s="7" t="str">
        <f t="array" ref="E67">IF(A67&lt;&gt;"",IF(Master!$AB64="X","X","")&amp;IF(Master!$AC64="X","X",""), "" )</f>
        <v/>
      </c>
      <c r="F67" s="8"/>
    </row>
    <row r="68" spans="1:6" ht="15" hidden="1" customHeight="1" x14ac:dyDescent="0.25">
      <c r="A68" s="8" t="str">
        <f>Master!$C65 &amp; ""</f>
        <v>Elias</v>
      </c>
      <c r="B68" s="8" t="str">
        <f>Master!$D65 &amp; ""</f>
        <v>Felton</v>
      </c>
      <c r="C68" s="8" t="str">
        <f>Master!$M65 &amp; ""</f>
        <v/>
      </c>
      <c r="D68" s="7" t="str">
        <f>Master!$S65 &amp; ""</f>
        <v>YS</v>
      </c>
      <c r="E68" s="7" t="str">
        <f t="array" ref="E68">IF(A68&lt;&gt;"",IF(Master!$AB65="X","X","")&amp;IF(Master!$AC65="X","X",""), "" )</f>
        <v/>
      </c>
      <c r="F68" s="8"/>
    </row>
    <row r="69" spans="1:6" ht="15" hidden="1" customHeight="1" x14ac:dyDescent="0.25">
      <c r="A69" s="8" t="str">
        <f>Master!$C66 &amp; ""</f>
        <v>Jack</v>
      </c>
      <c r="B69" s="8" t="str">
        <f>Master!$D66 &amp; ""</f>
        <v>Ferguson</v>
      </c>
      <c r="C69" s="8" t="str">
        <f>Master!$M66 &amp; ""</f>
        <v/>
      </c>
      <c r="D69" s="7" t="str">
        <f>Master!$S66 &amp; ""</f>
        <v>YS</v>
      </c>
      <c r="E69" s="7" t="str">
        <f t="array" ref="E69">IF(A69&lt;&gt;"",IF(Master!$AB66="X","X","")&amp;IF(Master!$AC66="X","X",""), "" )</f>
        <v/>
      </c>
      <c r="F69" s="8"/>
    </row>
    <row r="70" spans="1:6" ht="15" hidden="1" customHeight="1" x14ac:dyDescent="0.25">
      <c r="A70" s="8" t="str">
        <f>Master!$C67 &amp; ""</f>
        <v>Tracie</v>
      </c>
      <c r="B70" s="8" t="str">
        <f>Master!$D67 &amp; ""</f>
        <v>Ferrara</v>
      </c>
      <c r="C70" s="8" t="str">
        <f>Master!$M67 &amp; ""</f>
        <v>Strikers</v>
      </c>
      <c r="D70" s="7" t="str">
        <f>Master!$S67 &amp; ""</f>
        <v>AM</v>
      </c>
      <c r="E70" s="7" t="str">
        <f t="array" ref="E70">IF(A70&lt;&gt;"",IF(Master!$AB67="X","X","")&amp;IF(Master!$AC67="X","X",""), "" )</f>
        <v>X</v>
      </c>
      <c r="F70" s="8"/>
    </row>
    <row r="71" spans="1:6" ht="15" customHeight="1" x14ac:dyDescent="0.25">
      <c r="A71" s="8" t="str">
        <f>Master!$C68 &amp; ""</f>
        <v>Isaiah</v>
      </c>
      <c r="B71" s="8" t="str">
        <f>Master!$D68 &amp; ""</f>
        <v>Fisher</v>
      </c>
      <c r="C71" s="8" t="str">
        <f>Master!$M68 &amp; ""</f>
        <v/>
      </c>
      <c r="D71" s="7" t="str">
        <f>Master!$S68 &amp; ""</f>
        <v>YM</v>
      </c>
      <c r="E71" s="7" t="str">
        <f t="array" ref="E71">IF(A71&lt;&gt;"",IF(Master!$AB68="X","X","")&amp;IF(Master!$AC68="X","X",""), "" )</f>
        <v/>
      </c>
      <c r="F71" s="8"/>
    </row>
    <row r="72" spans="1:6" ht="15" customHeight="1" x14ac:dyDescent="0.25">
      <c r="A72" s="8" t="str">
        <f>Master!$C69 &amp; ""</f>
        <v>Adam</v>
      </c>
      <c r="B72" s="8" t="str">
        <f>Master!$D69 &amp; ""</f>
        <v>Flowers</v>
      </c>
      <c r="C72" s="8" t="str">
        <f>Master!$M69 &amp; ""</f>
        <v/>
      </c>
      <c r="D72" s="7" t="str">
        <f>Master!$S69 &amp; ""</f>
        <v>AL</v>
      </c>
      <c r="E72" s="7" t="str">
        <f t="array" ref="E72">IF(A72&lt;&gt;"",IF(Master!$AB69="X","X","")&amp;IF(Master!$AC69="X","X",""), "" )</f>
        <v/>
      </c>
      <c r="F72" s="8"/>
    </row>
    <row r="73" spans="1:6" ht="15" customHeight="1" x14ac:dyDescent="0.25">
      <c r="A73" s="8" t="str">
        <f>Master!$C70 &amp; ""</f>
        <v>Kaizyr</v>
      </c>
      <c r="B73" s="8" t="str">
        <f>Master!$D70 &amp; ""</f>
        <v>Forgy</v>
      </c>
      <c r="C73" s="8" t="str">
        <f>Master!$M70 &amp; ""</f>
        <v/>
      </c>
      <c r="D73" s="7" t="str">
        <f>Master!$S70 &amp; ""</f>
        <v>YM</v>
      </c>
      <c r="E73" s="7" t="str">
        <f t="array" ref="E73">IF(A73&lt;&gt;"",IF(Master!$AB70="X","X","")&amp;IF(Master!$AC70="X","X",""), "" )</f>
        <v/>
      </c>
      <c r="F73" s="8"/>
    </row>
    <row r="74" spans="1:6" ht="15" customHeight="1" x14ac:dyDescent="0.25">
      <c r="A74" s="8" t="str">
        <f>Master!$C71 &amp; ""</f>
        <v>Sarah</v>
      </c>
      <c r="B74" s="8" t="str">
        <f>Master!$D71 &amp; ""</f>
        <v>Forman</v>
      </c>
      <c r="C74" s="8" t="str">
        <f>Master!$M71 &amp; ""</f>
        <v/>
      </c>
      <c r="D74" s="7" t="str">
        <f>Master!$S71 &amp; ""</f>
        <v>AM</v>
      </c>
      <c r="E74" s="7" t="str">
        <f t="array" ref="E74">IF(A74&lt;&gt;"",IF(Master!$AB71="X","X","")&amp;IF(Master!$AC71="X","X",""), "" )</f>
        <v/>
      </c>
      <c r="F74" s="8"/>
    </row>
    <row r="75" spans="1:6" ht="15" hidden="1" customHeight="1" x14ac:dyDescent="0.25">
      <c r="A75" s="8" t="str">
        <f>Master!$C72 &amp; ""</f>
        <v>Shawn</v>
      </c>
      <c r="B75" s="8" t="str">
        <f>Master!$D72 &amp; ""</f>
        <v>Frederick</v>
      </c>
      <c r="C75" s="8" t="str">
        <f>Master!$M72 &amp; ""</f>
        <v/>
      </c>
      <c r="D75" s="7" t="str">
        <f>Master!$S72 &amp; ""</f>
        <v>AXL</v>
      </c>
      <c r="E75" s="7" t="str">
        <f t="array" ref="E75">IF(A75&lt;&gt;"",IF(Master!$AB72="X","X","")&amp;IF(Master!$AC72="X","X",""), "" )</f>
        <v/>
      </c>
      <c r="F75" s="8"/>
    </row>
    <row r="76" spans="1:6" ht="15" customHeight="1" x14ac:dyDescent="0.25">
      <c r="A76" s="8" t="str">
        <f>Master!$C73 &amp; ""</f>
        <v>Matthew</v>
      </c>
      <c r="B76" s="8" t="str">
        <f>Master!$D73 &amp; ""</f>
        <v>Fry</v>
      </c>
      <c r="C76" s="8" t="str">
        <f>Master!$M73 &amp; ""</f>
        <v/>
      </c>
      <c r="D76" s="7" t="str">
        <f>Master!$S73 &amp; ""</f>
        <v/>
      </c>
      <c r="E76" s="7" t="str">
        <f t="array" ref="E76">IF(A76&lt;&gt;"",IF(Master!$AB73="X","X","")&amp;IF(Master!$AC73="X","X",""), "" )</f>
        <v/>
      </c>
      <c r="F76" s="8"/>
    </row>
    <row r="77" spans="1:6" ht="15" customHeight="1" x14ac:dyDescent="0.25">
      <c r="A77" s="8" t="str">
        <f>Master!$C74 &amp; ""</f>
        <v>Blane</v>
      </c>
      <c r="B77" s="8" t="str">
        <f>Master!$D74 &amp; ""</f>
        <v>Gallagher</v>
      </c>
      <c r="C77" s="8" t="str">
        <f>Master!$M74 &amp; ""</f>
        <v>Sweepers</v>
      </c>
      <c r="D77" s="7" t="str">
        <f>Master!$S74 &amp; ""</f>
        <v>A2XL</v>
      </c>
      <c r="E77" s="7" t="str">
        <f t="array" ref="E77">IF(A77&lt;&gt;"",IF(Master!$AB74="X","X","")&amp;IF(Master!$AC74="X","X",""), "" )</f>
        <v>X</v>
      </c>
      <c r="F77" s="8"/>
    </row>
    <row r="78" spans="1:6" ht="15" hidden="1" customHeight="1" x14ac:dyDescent="0.25">
      <c r="A78" s="8" t="str">
        <f>Master!$C75 &amp; ""</f>
        <v>Julianne</v>
      </c>
      <c r="B78" s="8" t="str">
        <f>Master!$D75 &amp; ""</f>
        <v>Gillespie</v>
      </c>
      <c r="C78" s="8" t="str">
        <f>Master!$M75 &amp; ""</f>
        <v>Hotwheels</v>
      </c>
      <c r="D78" s="7" t="str">
        <f>Master!$S75 &amp; ""</f>
        <v>AM</v>
      </c>
      <c r="E78" s="7" t="str">
        <f t="array" ref="E78">IF(A78&lt;&gt;"",IF(Master!$AB75="X","X","")&amp;IF(Master!$AC75="X","X",""), "" )</f>
        <v>X</v>
      </c>
      <c r="F78" s="8"/>
    </row>
    <row r="79" spans="1:6" ht="15" hidden="1" customHeight="1" x14ac:dyDescent="0.25">
      <c r="A79" s="8" t="str">
        <f>Master!$C76 &amp; ""</f>
        <v>Avery</v>
      </c>
      <c r="B79" s="8" t="str">
        <f>Master!$D76 &amp; ""</f>
        <v>Gillette</v>
      </c>
      <c r="C79" s="8" t="str">
        <f>Master!$M76 &amp; ""</f>
        <v>Passers</v>
      </c>
      <c r="D79" s="7" t="str">
        <f>Master!$S76 &amp; ""</f>
        <v>A3XL</v>
      </c>
      <c r="E79" s="7" t="str">
        <f t="array" ref="E79">IF(A79&lt;&gt;"",IF(Master!$AB76="X","X","")&amp;IF(Master!$AC76="X","X",""), "" )</f>
        <v>X</v>
      </c>
      <c r="F79" s="8"/>
    </row>
    <row r="80" spans="1:6" ht="15" customHeight="1" x14ac:dyDescent="0.25">
      <c r="A80" s="8" t="str">
        <f>Master!$C77 &amp; ""</f>
        <v>Ella</v>
      </c>
      <c r="B80" s="8" t="str">
        <f>Master!$D77 &amp; ""</f>
        <v>Gillette</v>
      </c>
      <c r="C80" s="8" t="str">
        <f>Master!$M77 &amp; ""</f>
        <v>Wings</v>
      </c>
      <c r="D80" s="7" t="str">
        <f>Master!$S77 &amp; ""</f>
        <v>AXL</v>
      </c>
      <c r="E80" s="7" t="str">
        <f t="array" ref="E80">IF(A80&lt;&gt;"",IF(Master!$AB77="X","X","")&amp;IF(Master!$AC77="X","X",""), "" )</f>
        <v>X</v>
      </c>
      <c r="F80" s="8"/>
    </row>
    <row r="81" spans="1:6" ht="15" customHeight="1" x14ac:dyDescent="0.25">
      <c r="A81" s="8" t="str">
        <f>Master!$C78 &amp; ""</f>
        <v>Killian</v>
      </c>
      <c r="B81" s="8" t="str">
        <f>Master!$D78 &amp; ""</f>
        <v>Gillette</v>
      </c>
      <c r="C81" s="8" t="str">
        <f>Master!$M78 &amp; ""</f>
        <v>Passers</v>
      </c>
      <c r="D81" s="7" t="str">
        <f>Master!$S78 &amp; ""</f>
        <v>A4XL</v>
      </c>
      <c r="E81" s="7" t="str">
        <f t="array" ref="E81">IF(A81&lt;&gt;"",IF(Master!$AB78="X","X","")&amp;IF(Master!$AC78="X","X",""), "" )</f>
        <v>X</v>
      </c>
      <c r="F81" s="8"/>
    </row>
    <row r="82" spans="1:6" ht="15" hidden="1" customHeight="1" x14ac:dyDescent="0.25">
      <c r="A82" s="8" t="str">
        <f>Master!$C79 &amp; ""</f>
        <v>Balen</v>
      </c>
      <c r="B82" s="8" t="str">
        <f>Master!$D79 &amp; ""</f>
        <v>Glover</v>
      </c>
      <c r="C82" s="8" t="str">
        <f>Master!$M79 &amp; ""</f>
        <v/>
      </c>
      <c r="D82" s="7" t="str">
        <f>Master!$S79 &amp; ""</f>
        <v>YS</v>
      </c>
      <c r="E82" s="7" t="str">
        <f t="array" ref="E82">IF(A82&lt;&gt;"",IF(Master!$AB79="X","X","")&amp;IF(Master!$AC79="X","X",""), "" )</f>
        <v/>
      </c>
      <c r="F82" s="8"/>
    </row>
    <row r="83" spans="1:6" ht="15" hidden="1" customHeight="1" x14ac:dyDescent="0.25">
      <c r="A83" s="8" t="str">
        <f>Master!$C80 &amp; ""</f>
        <v>Gabriel</v>
      </c>
      <c r="B83" s="8" t="str">
        <f>Master!$D80 &amp; ""</f>
        <v>Gogel</v>
      </c>
      <c r="C83" s="8" t="str">
        <f>Master!$M80 &amp; ""</f>
        <v/>
      </c>
      <c r="D83" s="7" t="str">
        <f>Master!$S80 &amp; ""</f>
        <v>YS</v>
      </c>
      <c r="E83" s="7" t="str">
        <f t="array" ref="E83">IF(A83&lt;&gt;"",IF(Master!$AB80="X","X","")&amp;IF(Master!$AC80="X","X",""), "" )</f>
        <v/>
      </c>
      <c r="F83" s="8"/>
    </row>
    <row r="84" spans="1:6" ht="15" customHeight="1" x14ac:dyDescent="0.25">
      <c r="A84" s="8" t="str">
        <f>Master!$C81 &amp; ""</f>
        <v>Matthew</v>
      </c>
      <c r="B84" s="8" t="str">
        <f>Master!$D81 &amp; ""</f>
        <v>Greely</v>
      </c>
      <c r="C84" s="8" t="str">
        <f>Master!$M81 &amp; ""</f>
        <v>Kickers</v>
      </c>
      <c r="D84" s="7" t="str">
        <f>Master!$S81 &amp; ""</f>
        <v>AXL</v>
      </c>
      <c r="E84" s="7" t="str">
        <f t="array" ref="E84">IF(A84&lt;&gt;"",IF(Master!$AB81="X","X","")&amp;IF(Master!$AC81="X","X",""), "" )</f>
        <v>X</v>
      </c>
      <c r="F84" s="8"/>
    </row>
    <row r="85" spans="1:6" ht="15" customHeight="1" x14ac:dyDescent="0.25">
      <c r="A85" s="8" t="str">
        <f>Master!$C82 &amp; ""</f>
        <v>Summer</v>
      </c>
      <c r="B85" s="8" t="str">
        <f>Master!$D82 &amp; ""</f>
        <v>Greenspan</v>
      </c>
      <c r="C85" s="8" t="str">
        <f>Master!$M82 &amp; ""</f>
        <v/>
      </c>
      <c r="D85" s="7" t="str">
        <f>Master!$S82 &amp; ""</f>
        <v>YM</v>
      </c>
      <c r="E85" s="7" t="str">
        <f t="array" ref="E85">IF(A85&lt;&gt;"",IF(Master!$AB82="X","X","")&amp;IF(Master!$AC82="X","X",""), "" )</f>
        <v/>
      </c>
      <c r="F85" s="8"/>
    </row>
    <row r="86" spans="1:6" ht="15" customHeight="1" x14ac:dyDescent="0.25">
      <c r="A86" s="8" t="str">
        <f>Master!$C83 &amp; ""</f>
        <v>Nora</v>
      </c>
      <c r="B86" s="8" t="str">
        <f>Master!$D83 &amp; ""</f>
        <v>Grimsley</v>
      </c>
      <c r="C86" s="8" t="str">
        <f>Master!$M83 &amp; ""</f>
        <v>Shooters</v>
      </c>
      <c r="D86" s="7" t="str">
        <f>Master!$S83 &amp; ""</f>
        <v>YM</v>
      </c>
      <c r="E86" s="7" t="str">
        <f t="array" ref="E86">IF(A86&lt;&gt;"",IF(Master!$AB83="X","X","")&amp;IF(Master!$AC83="X","X",""), "" )</f>
        <v>X</v>
      </c>
      <c r="F86" s="8"/>
    </row>
    <row r="87" spans="1:6" ht="15" customHeight="1" x14ac:dyDescent="0.25">
      <c r="A87" s="8" t="str">
        <f>Master!$C84 &amp; ""</f>
        <v>Tyler</v>
      </c>
      <c r="B87" s="8" t="str">
        <f>Master!$D84 &amp; ""</f>
        <v>Gustafson</v>
      </c>
      <c r="C87" s="8" t="str">
        <f>Master!$M84 &amp; ""</f>
        <v/>
      </c>
      <c r="D87" s="7" t="str">
        <f>Master!$S84 &amp; ""</f>
        <v/>
      </c>
      <c r="E87" s="7" t="str">
        <f t="array" ref="E87">IF(A87&lt;&gt;"",IF(Master!$AB84="X","X","")&amp;IF(Master!$AC84="X","X",""), "" )</f>
        <v/>
      </c>
      <c r="F87" s="8"/>
    </row>
    <row r="88" spans="1:6" ht="15" customHeight="1" x14ac:dyDescent="0.25">
      <c r="A88" s="8" t="str">
        <f>Master!$C85 &amp; ""</f>
        <v>Zayn</v>
      </c>
      <c r="B88" s="8" t="str">
        <f>Master!$D85 &amp; ""</f>
        <v>Hahn</v>
      </c>
      <c r="C88" s="8" t="str">
        <f>Master!$M85 &amp; ""</f>
        <v>Shooters</v>
      </c>
      <c r="D88" s="7" t="str">
        <f>Master!$S85 &amp; ""</f>
        <v>YM</v>
      </c>
      <c r="E88" s="7" t="str">
        <f t="array" ref="E88">IF(A88&lt;&gt;"",IF(Master!$AB85="X","X","")&amp;IF(Master!$AC85="X","X",""), "" )</f>
        <v>X</v>
      </c>
      <c r="F88" s="8"/>
    </row>
    <row r="89" spans="1:6" ht="15" customHeight="1" x14ac:dyDescent="0.25">
      <c r="A89" s="8" t="str">
        <f>Master!$C86 &amp; ""</f>
        <v>Myron</v>
      </c>
      <c r="B89" s="8" t="str">
        <f>Master!$D86 &amp; ""</f>
        <v>Hall</v>
      </c>
      <c r="C89" s="8" t="str">
        <f>Master!$M86 &amp; ""</f>
        <v/>
      </c>
      <c r="D89" s="7" t="str">
        <f>Master!$S86 &amp; ""</f>
        <v>A2XL</v>
      </c>
      <c r="E89" s="7" t="str">
        <f t="array" ref="E89">IF(A89&lt;&gt;"",IF(Master!$AB86="X","X","")&amp;IF(Master!$AC86="X","X",""), "" )</f>
        <v/>
      </c>
      <c r="F89" s="8"/>
    </row>
    <row r="90" spans="1:6" ht="15" customHeight="1" x14ac:dyDescent="0.25">
      <c r="A90" s="8" t="str">
        <f>Master!$C87 &amp; ""</f>
        <v>Alicia</v>
      </c>
      <c r="B90" s="8" t="str">
        <f>Master!$D87 &amp; ""</f>
        <v>Hanna</v>
      </c>
      <c r="C90" s="8" t="str">
        <f>Master!$M87 &amp; ""</f>
        <v/>
      </c>
      <c r="D90" s="7" t="str">
        <f>Master!$S87 &amp; ""</f>
        <v/>
      </c>
      <c r="E90" s="7" t="str">
        <f t="array" ref="E90">IF(A90&lt;&gt;"",IF(Master!$AB87="X","X","")&amp;IF(Master!$AC87="X","X",""), "" )</f>
        <v/>
      </c>
      <c r="F90" s="8"/>
    </row>
    <row r="91" spans="1:6" ht="15" customHeight="1" x14ac:dyDescent="0.25">
      <c r="A91" s="8" t="str">
        <f>Master!$C88 &amp; ""</f>
        <v>Gavin</v>
      </c>
      <c r="B91" s="8" t="str">
        <f>Master!$D88 &amp; ""</f>
        <v>Hardy</v>
      </c>
      <c r="C91" s="8" t="str">
        <f>Master!$M88 &amp; ""</f>
        <v/>
      </c>
      <c r="D91" s="7" t="str">
        <f>Master!$S88 &amp; ""</f>
        <v/>
      </c>
      <c r="E91" s="7" t="str">
        <f t="array" ref="E91">IF(A91&lt;&gt;"",IF(Master!$AB88="X","X","")&amp;IF(Master!$AC88="X","X",""), "" )</f>
        <v/>
      </c>
      <c r="F91" s="8"/>
    </row>
    <row r="92" spans="1:6" ht="15" hidden="1" customHeight="1" x14ac:dyDescent="0.25">
      <c r="A92" s="8" t="str">
        <f>Master!$C89 &amp; ""</f>
        <v>Marilyn</v>
      </c>
      <c r="B92" s="8" t="str">
        <f>Master!$D89 &amp; ""</f>
        <v>Hatfield</v>
      </c>
      <c r="C92" s="8" t="str">
        <f>Master!$M89 &amp; ""</f>
        <v/>
      </c>
      <c r="D92" s="7" t="str">
        <f>Master!$S89 &amp; ""</f>
        <v>AXL</v>
      </c>
      <c r="E92" s="7" t="str">
        <f t="array" ref="E92">IF(A92&lt;&gt;"",IF(Master!$AB89="X","X","")&amp;IF(Master!$AC89="X","X",""), "" )</f>
        <v/>
      </c>
      <c r="F92" s="8"/>
    </row>
    <row r="93" spans="1:6" ht="15" customHeight="1" x14ac:dyDescent="0.25">
      <c r="A93" s="8" t="str">
        <f>Master!$C90 &amp; ""</f>
        <v>Neil</v>
      </c>
      <c r="B93" s="8" t="str">
        <f>Master!$D90 &amp; ""</f>
        <v>Heller</v>
      </c>
      <c r="C93" s="8" t="str">
        <f>Master!$M90 &amp; ""</f>
        <v>Hotwheels</v>
      </c>
      <c r="D93" s="7" t="str">
        <f>Master!$S90 &amp; ""</f>
        <v>AS</v>
      </c>
      <c r="E93" s="7" t="str">
        <f t="array" ref="E93">IF(A93&lt;&gt;"",IF(Master!$AB90="X","X","")&amp;IF(Master!$AC90="X","X",""), "" )</f>
        <v>X</v>
      </c>
      <c r="F93" s="8"/>
    </row>
    <row r="94" spans="1:6" ht="15" hidden="1" customHeight="1" x14ac:dyDescent="0.25">
      <c r="A94" s="8" t="str">
        <f>Master!$C91 &amp; ""</f>
        <v>Cody</v>
      </c>
      <c r="B94" s="8" t="str">
        <f>Master!$D91 &amp; ""</f>
        <v>Heyne</v>
      </c>
      <c r="C94" s="8" t="str">
        <f>Master!$M91 &amp; ""</f>
        <v>Strikers</v>
      </c>
      <c r="D94" s="7" t="str">
        <f>Master!$S91 &amp; ""</f>
        <v>AL</v>
      </c>
      <c r="E94" s="7" t="str">
        <f t="array" ref="E94">IF(A94&lt;&gt;"",IF(Master!$AB91="X","X","")&amp;IF(Master!$AC91="X","X",""), "" )</f>
        <v>X</v>
      </c>
      <c r="F94" s="8"/>
    </row>
    <row r="95" spans="1:6" ht="15" hidden="1" customHeight="1" x14ac:dyDescent="0.25">
      <c r="A95" s="8" t="str">
        <f>Master!$C92 &amp; ""</f>
        <v>Michael</v>
      </c>
      <c r="B95" s="8" t="str">
        <f>Master!$D92 &amp; ""</f>
        <v>Heyne</v>
      </c>
      <c r="C95" s="8" t="str">
        <f>Master!$M92 &amp; ""</f>
        <v>Strikers</v>
      </c>
      <c r="D95" s="7" t="str">
        <f>Master!$S92 &amp; ""</f>
        <v>AXL</v>
      </c>
      <c r="E95" s="7" t="str">
        <f t="array" ref="E95">IF(A95&lt;&gt;"",IF(Master!$AB92="X","X","")&amp;IF(Master!$AC92="X","X",""), "" )</f>
        <v>X</v>
      </c>
      <c r="F95" s="8"/>
    </row>
    <row r="96" spans="1:6" ht="15" customHeight="1" x14ac:dyDescent="0.25">
      <c r="A96" s="8" t="str">
        <f>Master!$C93 &amp; ""</f>
        <v>Nicolas</v>
      </c>
      <c r="B96" s="8" t="str">
        <f>Master!$D93 &amp; ""</f>
        <v>Heyne</v>
      </c>
      <c r="C96" s="8" t="str">
        <f>Master!$M93 &amp; ""</f>
        <v>Wings</v>
      </c>
      <c r="D96" s="7" t="str">
        <f>Master!$S93 &amp; ""</f>
        <v>YXL</v>
      </c>
      <c r="E96" s="7" t="str">
        <f t="array" ref="E96">IF(A96&lt;&gt;"",IF(Master!$AB93="X","X","")&amp;IF(Master!$AC93="X","X",""), "" )</f>
        <v>X</v>
      </c>
      <c r="F96" s="8"/>
    </row>
    <row r="97" spans="1:6" ht="15" customHeight="1" x14ac:dyDescent="0.25">
      <c r="A97" s="8" t="str">
        <f>Master!$C94 &amp; ""</f>
        <v>Alexander</v>
      </c>
      <c r="B97" s="8" t="str">
        <f>Master!$D94 &amp; ""</f>
        <v>Holecek</v>
      </c>
      <c r="C97" s="8" t="str">
        <f>Master!$M94 &amp; ""</f>
        <v>Kickers</v>
      </c>
      <c r="D97" s="7" t="str">
        <f>Master!$S94 &amp; ""</f>
        <v>AS</v>
      </c>
      <c r="E97" s="7" t="str">
        <f t="array" ref="E97">IF(A97&lt;&gt;"",IF(Master!$AB94="X","X","")&amp;IF(Master!$AC94="X","X",""), "" )</f>
        <v>X</v>
      </c>
      <c r="F97" s="8"/>
    </row>
    <row r="98" spans="1:6" ht="15" customHeight="1" x14ac:dyDescent="0.25">
      <c r="A98" s="8" t="str">
        <f>Master!$C95 &amp; ""</f>
        <v>Kenley</v>
      </c>
      <c r="B98" s="8" t="str">
        <f>Master!$D95 &amp; ""</f>
        <v>Holtz</v>
      </c>
      <c r="C98" s="8" t="str">
        <f>Master!$M95 &amp; ""</f>
        <v>Wings</v>
      </c>
      <c r="D98" s="7" t="str">
        <f>Master!$S95 &amp; ""</f>
        <v>YM</v>
      </c>
      <c r="E98" s="7" t="str">
        <f t="array" ref="E98">IF(A98&lt;&gt;"",IF(Master!$AB95="X","X","")&amp;IF(Master!$AC95="X","X",""), "" )</f>
        <v>X</v>
      </c>
      <c r="F98" s="8"/>
    </row>
    <row r="99" spans="1:6" ht="15" hidden="1" customHeight="1" x14ac:dyDescent="0.25">
      <c r="A99" s="8" t="str">
        <f>Master!$C96 &amp; ""</f>
        <v>Carlee</v>
      </c>
      <c r="B99" s="8" t="str">
        <f>Master!$D96 &amp; ""</f>
        <v>Honius</v>
      </c>
      <c r="C99" s="8" t="str">
        <f>Master!$M96 &amp; ""</f>
        <v/>
      </c>
      <c r="D99" s="7" t="str">
        <f>Master!$S96 &amp; ""</f>
        <v>AS</v>
      </c>
      <c r="E99" s="7" t="str">
        <f t="array" ref="E99">IF(A99&lt;&gt;"",IF(Master!$AB96="X","X","")&amp;IF(Master!$AC96="X","X",""), "" )</f>
        <v/>
      </c>
      <c r="F99" s="8"/>
    </row>
    <row r="100" spans="1:6" ht="15" customHeight="1" x14ac:dyDescent="0.25">
      <c r="A100" s="8" t="str">
        <f>Master!$C97 &amp; ""</f>
        <v>Mikey</v>
      </c>
      <c r="B100" s="8" t="str">
        <f>Master!$D97 &amp; ""</f>
        <v>Hoptry</v>
      </c>
      <c r="C100" s="8" t="str">
        <f>Master!$M97 &amp; ""</f>
        <v>Dribblers</v>
      </c>
      <c r="D100" s="7" t="str">
        <f>Master!$S97 &amp; ""</f>
        <v>YS</v>
      </c>
      <c r="E100" s="7" t="str">
        <f t="array" ref="E100">IF(A100&lt;&gt;"",IF(Master!$AB97="X","X","")&amp;IF(Master!$AC97="X","X",""), "" )</f>
        <v>X</v>
      </c>
      <c r="F100" s="8"/>
    </row>
    <row r="101" spans="1:6" ht="15" hidden="1" customHeight="1" x14ac:dyDescent="0.25">
      <c r="A101" s="8" t="str">
        <f>Master!$C98 &amp; ""</f>
        <v>Beth</v>
      </c>
      <c r="B101" s="8" t="str">
        <f>Master!$D98 &amp; ""</f>
        <v>Horstman</v>
      </c>
      <c r="C101" s="8" t="str">
        <f>Master!$M98 &amp; ""</f>
        <v/>
      </c>
      <c r="D101" s="7" t="str">
        <f>Master!$S98 &amp; ""</f>
        <v>AL</v>
      </c>
      <c r="E101" s="7" t="str">
        <f t="array" ref="E101">IF(A101&lt;&gt;"",IF(Master!$AB98="X","X","")&amp;IF(Master!$AC98="X","X",""), "" )</f>
        <v/>
      </c>
      <c r="F101" s="8"/>
    </row>
    <row r="102" spans="1:6" ht="15" hidden="1" customHeight="1" x14ac:dyDescent="0.25">
      <c r="A102" s="8" t="str">
        <f>Master!$C99 &amp; ""</f>
        <v>Alexander</v>
      </c>
      <c r="B102" s="8" t="str">
        <f>Master!$D99 &amp; ""</f>
        <v>Horton</v>
      </c>
      <c r="C102" s="8" t="str">
        <f>Master!$M99 &amp; ""</f>
        <v>Sweepers</v>
      </c>
      <c r="D102" s="7" t="str">
        <f>Master!$S99 &amp; ""</f>
        <v>A2XL</v>
      </c>
      <c r="E102" s="7" t="str">
        <f t="array" ref="E102">IF(A102&lt;&gt;"",IF(Master!$AB99="X","X","")&amp;IF(Master!$AC99="X","X",""), "" )</f>
        <v>X</v>
      </c>
      <c r="F102" s="8"/>
    </row>
    <row r="103" spans="1:6" ht="15" customHeight="1" x14ac:dyDescent="0.25">
      <c r="A103" s="8" t="str">
        <f>Master!$C100 &amp; ""</f>
        <v>Patience</v>
      </c>
      <c r="B103" s="8" t="str">
        <f>Master!$D100 &amp; ""</f>
        <v>Howard</v>
      </c>
      <c r="C103" s="8" t="str">
        <f>Master!$M100 &amp; ""</f>
        <v/>
      </c>
      <c r="D103" s="7" t="str">
        <f>Master!$S100 &amp; ""</f>
        <v>AL</v>
      </c>
      <c r="E103" s="7" t="str">
        <f t="array" ref="E103">IF(A103&lt;&gt;"",IF(Master!$AB100="X","X","")&amp;IF(Master!$AC100="X","X",""), "" )</f>
        <v/>
      </c>
      <c r="F103" s="8"/>
    </row>
    <row r="104" spans="1:6" ht="15" customHeight="1" x14ac:dyDescent="0.25">
      <c r="A104" s="8" t="str">
        <f>Master!$C101 &amp; ""</f>
        <v>Jakob</v>
      </c>
      <c r="B104" s="8" t="str">
        <f>Master!$D101 &amp; ""</f>
        <v>Howson</v>
      </c>
      <c r="C104" s="8" t="str">
        <f>Master!$M101 &amp; ""</f>
        <v/>
      </c>
      <c r="D104" s="7" t="str">
        <f>Master!$S101 &amp; ""</f>
        <v>A4XL</v>
      </c>
      <c r="E104" s="7" t="str">
        <f t="array" ref="E104">IF(A104&lt;&gt;"",IF(Master!$AB101="X","X","")&amp;IF(Master!$AC101="X","X",""), "" )</f>
        <v/>
      </c>
      <c r="F104" s="8"/>
    </row>
    <row r="105" spans="1:6" ht="15" hidden="1" customHeight="1" x14ac:dyDescent="0.25">
      <c r="A105" s="8" t="str">
        <f>Master!$C102 &amp; ""</f>
        <v>Corey</v>
      </c>
      <c r="B105" s="8" t="str">
        <f>Master!$D102 &amp; ""</f>
        <v>Hume</v>
      </c>
      <c r="C105" s="8" t="str">
        <f>Master!$M102 &amp; ""</f>
        <v>Hotwheels</v>
      </c>
      <c r="D105" s="7" t="str">
        <f>Master!$S102 &amp; ""</f>
        <v>AS</v>
      </c>
      <c r="E105" s="7" t="str">
        <f t="array" ref="E105">IF(A105&lt;&gt;"",IF(Master!$AB102="X","X","")&amp;IF(Master!$AC21="X","X",""), "" )</f>
        <v>X</v>
      </c>
      <c r="F105" s="8"/>
    </row>
    <row r="106" spans="1:6" ht="15" customHeight="1" x14ac:dyDescent="0.25">
      <c r="A106" s="8" t="str">
        <f>Master!$C103 &amp; ""</f>
        <v>Skylar</v>
      </c>
      <c r="B106" s="8" t="str">
        <f>Master!$D103 &amp; ""</f>
        <v>Hurley</v>
      </c>
      <c r="C106" s="8" t="str">
        <f>Master!$M103 &amp; ""</f>
        <v>Hotwheels</v>
      </c>
      <c r="D106" s="7" t="str">
        <f>Master!$S103 &amp; ""</f>
        <v>YM</v>
      </c>
      <c r="E106" s="7" t="str">
        <f t="array" ref="E106">IF(A106&lt;&gt;"",IF(Master!$AB103="X","X","")&amp;IF(Master!$AC103="X","X",""), "" )</f>
        <v>X</v>
      </c>
      <c r="F106" s="8"/>
    </row>
    <row r="107" spans="1:6" ht="15" hidden="1" customHeight="1" x14ac:dyDescent="0.25">
      <c r="A107" s="8" t="str">
        <f>Master!$C104 &amp; ""</f>
        <v>Jeffery</v>
      </c>
      <c r="B107" s="8" t="str">
        <f>Master!$D104 &amp; ""</f>
        <v>Isbell</v>
      </c>
      <c r="C107" s="8" t="str">
        <f>Master!$M104 &amp; ""</f>
        <v>Shooters</v>
      </c>
      <c r="D107" s="7" t="str">
        <f>Master!$S104 &amp; ""</f>
        <v>YM</v>
      </c>
      <c r="E107" s="7" t="str">
        <f t="array" ref="E107">IF(A107&lt;&gt;"",IF(Master!$AB104="X","X","")&amp;IF(Master!$AC104="X","X",""), "" )</f>
        <v>X</v>
      </c>
      <c r="F107" s="8"/>
    </row>
    <row r="108" spans="1:6" ht="15" hidden="1" customHeight="1" x14ac:dyDescent="0.25">
      <c r="A108" s="8" t="str">
        <f>Master!$C105 &amp; ""</f>
        <v>Sophie</v>
      </c>
      <c r="B108" s="8" t="str">
        <f>Master!$D105 &amp; ""</f>
        <v>Jackson</v>
      </c>
      <c r="C108" s="8" t="str">
        <f>Master!$M105 &amp; ""</f>
        <v>Kickers</v>
      </c>
      <c r="D108" s="7" t="str">
        <f>Master!$S105 &amp; ""</f>
        <v>AXL</v>
      </c>
      <c r="E108" s="7" t="str">
        <f t="array" ref="E108">IF(A108&lt;&gt;"",IF(Master!$AB105="X","X","")&amp;IF(Master!$AC105="X","X",""), "" )</f>
        <v>X</v>
      </c>
      <c r="F108" s="8"/>
    </row>
    <row r="109" spans="1:6" ht="15" customHeight="1" x14ac:dyDescent="0.25">
      <c r="A109" s="8" t="str">
        <f>Master!$C106 &amp; ""</f>
        <v>Mohammed</v>
      </c>
      <c r="B109" s="8" t="str">
        <f>Master!$D106 &amp; ""</f>
        <v>Jamal</v>
      </c>
      <c r="C109" s="8" t="str">
        <f>Master!$M106 &amp; ""</f>
        <v/>
      </c>
      <c r="D109" s="7" t="str">
        <f>Master!$S106 &amp; ""</f>
        <v>AM</v>
      </c>
      <c r="E109" s="7" t="str">
        <f t="array" ref="E109">IF(A109&lt;&gt;"",IF(Master!$AB106="X","X","")&amp;IF(Master!$AC106="X","X",""), "" )</f>
        <v/>
      </c>
      <c r="F109" s="8"/>
    </row>
    <row r="110" spans="1:6" ht="15" hidden="1" customHeight="1" x14ac:dyDescent="0.25">
      <c r="A110" s="8" t="str">
        <f>Master!$C107 &amp; ""</f>
        <v>Annie</v>
      </c>
      <c r="B110" s="8" t="str">
        <f>Master!$D107 &amp; ""</f>
        <v>Jansen</v>
      </c>
      <c r="C110" s="8" t="str">
        <f>Master!$M107 &amp; ""</f>
        <v>Sweepers</v>
      </c>
      <c r="D110" s="7" t="str">
        <f>Master!$S107 &amp; ""</f>
        <v>AXL</v>
      </c>
      <c r="E110" s="7" t="str">
        <f t="array" ref="E110">IF(A110&lt;&gt;"",IF(Master!$AB107="X","X","")&amp;IF(Master!$AC107="X","X",""), "" )</f>
        <v>X</v>
      </c>
      <c r="F110" s="8"/>
    </row>
    <row r="111" spans="1:6" ht="15" hidden="1" customHeight="1" x14ac:dyDescent="0.25">
      <c r="A111" s="8" t="str">
        <f>Master!$C108 &amp; ""</f>
        <v>Micah</v>
      </c>
      <c r="B111" s="8" t="str">
        <f>Master!$D108 &amp; ""</f>
        <v>Jegede</v>
      </c>
      <c r="C111" s="8" t="str">
        <f>Master!$M108 &amp; ""</f>
        <v>Shooters</v>
      </c>
      <c r="D111" s="7" t="str">
        <f>Master!$S108 &amp; ""</f>
        <v>YL</v>
      </c>
      <c r="E111" s="7" t="str">
        <f t="array" ref="E111">IF(A111&lt;&gt;"",IF(Master!$AB108="X","X","")&amp;IF(Master!$AC108="X","X",""), "" )</f>
        <v>X</v>
      </c>
      <c r="F111" s="8"/>
    </row>
    <row r="112" spans="1:6" ht="15" hidden="1" customHeight="1" x14ac:dyDescent="0.25">
      <c r="A112" s="8" t="str">
        <f>Master!$C109 &amp; ""</f>
        <v>Ethan</v>
      </c>
      <c r="B112" s="8" t="str">
        <f>Master!$D109 &amp; ""</f>
        <v xml:space="preserve">Jo </v>
      </c>
      <c r="C112" s="8" t="str">
        <f>Master!$M109 &amp; ""</f>
        <v/>
      </c>
      <c r="D112" s="7" t="str">
        <f>Master!$S109 &amp; ""</f>
        <v>YL</v>
      </c>
      <c r="E112" s="7" t="str">
        <f t="array" ref="E112">IF(A112&lt;&gt;"",IF(Master!$AB109="X","X","")&amp;IF(Master!$AC109="X","X",""), "" )</f>
        <v/>
      </c>
      <c r="F112" s="8"/>
    </row>
    <row r="113" spans="1:6" ht="15" hidden="1" customHeight="1" x14ac:dyDescent="0.25">
      <c r="A113" s="8" t="str">
        <f>Master!$C110 &amp; ""</f>
        <v>Noah</v>
      </c>
      <c r="B113" s="8" t="str">
        <f>Master!$D110 &amp; ""</f>
        <v>Jobson</v>
      </c>
      <c r="C113" s="8" t="str">
        <f>Master!$M110 &amp; ""</f>
        <v/>
      </c>
      <c r="D113" s="7" t="str">
        <f>Master!$S110 &amp; ""</f>
        <v>YM</v>
      </c>
      <c r="E113" s="7" t="str">
        <f t="array" ref="E113">IF(A113&lt;&gt;"",IF(Master!$AB110="X","X","")&amp;IF(Master!$AC110="X","X",""), "" )</f>
        <v/>
      </c>
      <c r="F113" s="8"/>
    </row>
    <row r="114" spans="1:6" ht="15" hidden="1" customHeight="1" x14ac:dyDescent="0.25">
      <c r="A114" s="8" t="str">
        <f>Master!$C111 &amp; ""</f>
        <v>Everett</v>
      </c>
      <c r="B114" s="8" t="str">
        <f>Master!$D111 &amp; ""</f>
        <v>Jones</v>
      </c>
      <c r="C114" s="8" t="str">
        <f>Master!$M111 &amp; ""</f>
        <v>Kickers</v>
      </c>
      <c r="D114" s="7" t="str">
        <f>Master!$S111 &amp; ""</f>
        <v>A2XL</v>
      </c>
      <c r="E114" s="7" t="str">
        <f t="array" ref="E114">IF(A114&lt;&gt;"",IF(Master!$AB111="X","X","")&amp;IF(Master!$AC111="X","X",""), "" )</f>
        <v>X</v>
      </c>
      <c r="F114" s="8"/>
    </row>
    <row r="115" spans="1:6" ht="15" customHeight="1" x14ac:dyDescent="0.25">
      <c r="A115" s="8" t="str">
        <f>Master!$C112 &amp; ""</f>
        <v>Korey</v>
      </c>
      <c r="B115" s="8" t="str">
        <f>Master!$D112 &amp; ""</f>
        <v xml:space="preserve">Joseph </v>
      </c>
      <c r="C115" s="8" t="str">
        <f>Master!$M112 &amp; ""</f>
        <v>Hotwheels</v>
      </c>
      <c r="D115" s="7" t="str">
        <f>Master!$S112 &amp; ""</f>
        <v>AXL</v>
      </c>
      <c r="E115" s="7" t="e">
        <f t="array" ref="E115">IF(A115&lt;&gt;"",IF(Master!$AC112="X","X","")&amp;IF(Master!#REF!="X","X",""), "" )</f>
        <v>#REF!</v>
      </c>
      <c r="F115" s="8"/>
    </row>
    <row r="116" spans="1:6" ht="15" customHeight="1" x14ac:dyDescent="0.25">
      <c r="A116" s="8" t="str">
        <f>Master!$C113 &amp; ""</f>
        <v>Akshay</v>
      </c>
      <c r="B116" s="8" t="str">
        <f>Master!$D113 &amp; ""</f>
        <v>Kalani</v>
      </c>
      <c r="C116" s="8" t="str">
        <f>Master!$M113 &amp; ""</f>
        <v/>
      </c>
      <c r="D116" s="7" t="str">
        <f>Master!$S113 &amp; ""</f>
        <v>AS</v>
      </c>
      <c r="E116" s="7" t="str">
        <f t="array" ref="E116">IF(A116&lt;&gt;"",IF(Master!$AB113="X","X","")&amp;IF(Master!$AC113="X","X",""), "" )</f>
        <v/>
      </c>
      <c r="F116" s="8"/>
    </row>
    <row r="117" spans="1:6" ht="15" hidden="1" customHeight="1" x14ac:dyDescent="0.25">
      <c r="A117" s="8" t="str">
        <f>Master!$C114 &amp; ""</f>
        <v>Trent</v>
      </c>
      <c r="B117" s="8" t="str">
        <f>Master!$D114 &amp; ""</f>
        <v>Kapfhammer</v>
      </c>
      <c r="C117" s="8" t="str">
        <f>Master!$M114 &amp; ""</f>
        <v>Hotwheels</v>
      </c>
      <c r="D117" s="7" t="str">
        <f>Master!$S114 &amp; ""</f>
        <v>YM</v>
      </c>
      <c r="E117" s="7" t="str">
        <f t="array" ref="E117">IF(A117&lt;&gt;"",IF(Master!$AB114="X","X","")&amp;IF(Master!$AC114="X","X",""), "" )</f>
        <v>X</v>
      </c>
      <c r="F117" s="8"/>
    </row>
    <row r="118" spans="1:6" ht="15" customHeight="1" x14ac:dyDescent="0.25">
      <c r="A118" s="8" t="str">
        <f>Master!$C115 &amp; ""</f>
        <v>Diane Georgia</v>
      </c>
      <c r="B118" s="8" t="str">
        <f>Master!$D115 &amp; ""</f>
        <v>Kesner</v>
      </c>
      <c r="C118" s="8" t="str">
        <f>Master!$M115 &amp; ""</f>
        <v>Passers</v>
      </c>
      <c r="D118" s="7" t="str">
        <f>Master!$S115 &amp; ""</f>
        <v>AXL</v>
      </c>
      <c r="E118" s="7" t="str">
        <f t="array" ref="E118">IF(A118&lt;&gt;"",IF(Master!$AB115="X","X","")&amp;IF(Master!$AC115="X","X",""), "" )</f>
        <v>X</v>
      </c>
      <c r="F118" s="8"/>
    </row>
    <row r="119" spans="1:6" ht="15" customHeight="1" x14ac:dyDescent="0.25">
      <c r="A119" s="8" t="str">
        <f>Master!$C116 &amp; ""</f>
        <v>Katy</v>
      </c>
      <c r="B119" s="8" t="str">
        <f>Master!$D116 &amp; ""</f>
        <v>Kindopp</v>
      </c>
      <c r="C119" s="8" t="str">
        <f>Master!$M116 &amp; ""</f>
        <v/>
      </c>
      <c r="D119" s="7" t="str">
        <f>Master!$S116 &amp; ""</f>
        <v>AL</v>
      </c>
      <c r="E119" s="7" t="str">
        <f t="array" ref="E119">IF(A119&lt;&gt;"",IF(Master!$AB116="X","X","")&amp;IF(Master!$AC116="X","X",""), "" )</f>
        <v/>
      </c>
      <c r="F119" s="8"/>
    </row>
    <row r="120" spans="1:6" ht="15" hidden="1" customHeight="1" x14ac:dyDescent="0.25">
      <c r="A120" s="8" t="str">
        <f>Master!$C117 &amp; ""</f>
        <v>Mark</v>
      </c>
      <c r="B120" s="8" t="str">
        <f>Master!$D117 &amp; ""</f>
        <v>Kindopp</v>
      </c>
      <c r="C120" s="8" t="str">
        <f>Master!$M117 &amp; ""</f>
        <v/>
      </c>
      <c r="D120" s="7" t="str">
        <f>Master!$S117 &amp; ""</f>
        <v>AL</v>
      </c>
      <c r="E120" s="7" t="str">
        <f t="array" ref="E120">IF(A120&lt;&gt;"",IF(Master!$AB117="X","X","")&amp;IF(Master!$AC117="X","X",""), "" )</f>
        <v/>
      </c>
      <c r="F120" s="8"/>
    </row>
    <row r="121" spans="1:6" ht="15" hidden="1" customHeight="1" x14ac:dyDescent="0.25">
      <c r="A121" s="8" t="str">
        <f>Master!$C118 &amp; ""</f>
        <v>Keaton</v>
      </c>
      <c r="B121" s="8" t="str">
        <f>Master!$D118 &amp; ""</f>
        <v>Kinney</v>
      </c>
      <c r="C121" s="8" t="str">
        <f>Master!$M118 &amp; ""</f>
        <v>Shooters</v>
      </c>
      <c r="D121" s="7" t="str">
        <f>Master!$S118 &amp; ""</f>
        <v>YL</v>
      </c>
      <c r="E121" s="7" t="str">
        <f t="array" ref="E121">IF(A121&lt;&gt;"",IF(Master!$AB118="X","X","")&amp;IF(Master!$AC118="X","X",""), "" )</f>
        <v>X</v>
      </c>
      <c r="F121" s="8"/>
    </row>
    <row r="122" spans="1:6" ht="15" customHeight="1" x14ac:dyDescent="0.25">
      <c r="A122" s="8" t="str">
        <f>Master!$C119 &amp; ""</f>
        <v>Parth</v>
      </c>
      <c r="B122" s="8" t="str">
        <f>Master!$D119 &amp; ""</f>
        <v>Kulkarni</v>
      </c>
      <c r="C122" s="8" t="str">
        <f>Master!$M119 &amp; ""</f>
        <v/>
      </c>
      <c r="D122" s="7" t="str">
        <f>Master!$S119 &amp; ""</f>
        <v>AL</v>
      </c>
      <c r="E122" s="7" t="str">
        <f t="array" ref="E122">IF(A122&lt;&gt;"",IF(Master!$AB119="X","X","")&amp;IF(Master!$AC119="X","X",""), "" )</f>
        <v/>
      </c>
      <c r="F122" s="8"/>
    </row>
    <row r="123" spans="1:6" ht="15" customHeight="1" x14ac:dyDescent="0.25">
      <c r="A123" s="8" t="str">
        <f>Master!$C120 &amp; ""</f>
        <v>Dylan</v>
      </c>
      <c r="B123" s="8" t="str">
        <f>Master!$D120 &amp; ""</f>
        <v>Kunka</v>
      </c>
      <c r="C123" s="8" t="str">
        <f>Master!$M120 &amp; ""</f>
        <v/>
      </c>
      <c r="D123" s="7" t="str">
        <f>Master!$S120 &amp; ""</f>
        <v/>
      </c>
      <c r="E123" s="7" t="str">
        <f t="array" ref="E123">IF(A123&lt;&gt;"",IF(Master!$AB120="X","X","")&amp;IF(Master!$AC120="X","X",""), "" )</f>
        <v/>
      </c>
      <c r="F123" s="8"/>
    </row>
    <row r="124" spans="1:6" ht="15" hidden="1" customHeight="1" x14ac:dyDescent="0.25">
      <c r="A124" s="8" t="str">
        <f>Master!$C121 &amp; ""</f>
        <v>Xander</v>
      </c>
      <c r="B124" s="8" t="str">
        <f>Master!$D121 &amp; ""</f>
        <v>Kuschnerus</v>
      </c>
      <c r="C124" s="8" t="str">
        <f>Master!$M121 &amp; ""</f>
        <v/>
      </c>
      <c r="D124" s="7" t="str">
        <f>Master!$S121 &amp; ""</f>
        <v>YM</v>
      </c>
      <c r="E124" s="7" t="str">
        <f t="array" ref="E124">IF(A124&lt;&gt;"",IF(Master!$AB121="X","X","")&amp;IF(Master!$AC121="X","X",""), "" )</f>
        <v/>
      </c>
      <c r="F124" s="8"/>
    </row>
    <row r="125" spans="1:6" ht="15" hidden="1" customHeight="1" x14ac:dyDescent="0.25">
      <c r="A125" s="8" t="str">
        <f>Master!$C122 &amp; ""</f>
        <v>Julia</v>
      </c>
      <c r="B125" s="8" t="str">
        <f>Master!$D122 &amp; ""</f>
        <v>Kutter</v>
      </c>
      <c r="C125" s="8" t="str">
        <f>Master!$M122 &amp; ""</f>
        <v/>
      </c>
      <c r="D125" s="7" t="str">
        <f>Master!$S122 &amp; ""</f>
        <v>AS</v>
      </c>
      <c r="E125" s="7" t="str">
        <f t="array" ref="E125">IF(A125&lt;&gt;"",IF(Master!$AB122="X","X","")&amp;IF(Master!$AC122="X","X",""), "" )</f>
        <v/>
      </c>
      <c r="F125" s="8"/>
    </row>
    <row r="126" spans="1:6" ht="15" customHeight="1" x14ac:dyDescent="0.25">
      <c r="A126" s="8" t="str">
        <f>Master!$C123 &amp; ""</f>
        <v>Thomas</v>
      </c>
      <c r="B126" s="8" t="str">
        <f>Master!$D123 &amp; ""</f>
        <v>Kutter</v>
      </c>
      <c r="C126" s="8" t="str">
        <f>Master!$M123 &amp; ""</f>
        <v/>
      </c>
      <c r="D126" s="7" t="str">
        <f>Master!$S123 &amp; ""</f>
        <v/>
      </c>
      <c r="E126" s="7" t="str">
        <f t="array" ref="E126">IF(A126&lt;&gt;"",IF(Master!$AB123="X","X","")&amp;IF(Master!$AC123="X","X",""), "" )</f>
        <v/>
      </c>
      <c r="F126" s="8"/>
    </row>
    <row r="127" spans="1:6" ht="15" hidden="1" customHeight="1" x14ac:dyDescent="0.25">
      <c r="A127" s="8" t="str">
        <f>Master!$C124 &amp; ""</f>
        <v>Elliot</v>
      </c>
      <c r="B127" s="8" t="str">
        <f>Master!$D124 &amp; ""</f>
        <v>Ladd</v>
      </c>
      <c r="C127" s="8" t="str">
        <f>Master!$M124 &amp; ""</f>
        <v>Dribblers</v>
      </c>
      <c r="D127" s="7" t="str">
        <f>Master!$S124 &amp; ""</f>
        <v>YS</v>
      </c>
      <c r="E127" s="7" t="str">
        <f t="array" ref="E127">IF(A127&lt;&gt;"",IF(Master!$AB124="X","X","")&amp;IF(Master!$AC124="X","X",""), "" )</f>
        <v>X</v>
      </c>
      <c r="F127" s="8"/>
    </row>
    <row r="128" spans="1:6" ht="15" hidden="1" customHeight="1" x14ac:dyDescent="0.25">
      <c r="A128" s="8" t="str">
        <f>Master!$C125 &amp; ""</f>
        <v>Cade</v>
      </c>
      <c r="B128" s="8" t="str">
        <f>Master!$D125 &amp; ""</f>
        <v>LaFontsee</v>
      </c>
      <c r="C128" s="8" t="str">
        <f>Master!$M125 &amp; ""</f>
        <v>Dribblers</v>
      </c>
      <c r="D128" s="7" t="str">
        <f>Master!$S125 &amp; ""</f>
        <v>YS</v>
      </c>
      <c r="E128" s="7" t="str">
        <f t="array" ref="E128">IF(A128&lt;&gt;"",IF(Master!$AB125="X","X","")&amp;IF(Master!$AC125="X","X",""), "" )</f>
        <v>X</v>
      </c>
      <c r="F128" s="8"/>
    </row>
    <row r="129" spans="1:6" ht="15" customHeight="1" x14ac:dyDescent="0.25">
      <c r="A129" s="8" t="str">
        <f>Master!$C127 &amp; ""</f>
        <v>Madison</v>
      </c>
      <c r="B129" s="8" t="str">
        <f>Master!$D127 &amp; ""</f>
        <v>Landers</v>
      </c>
      <c r="C129" s="8" t="str">
        <f>Master!$M127 &amp; ""</f>
        <v>Kickers</v>
      </c>
      <c r="D129" s="7" t="str">
        <f>Master!$S127 &amp; ""</f>
        <v>AM</v>
      </c>
      <c r="E129" s="7" t="str">
        <f t="array" ref="E129">IF(A129&lt;&gt;"",IF(Master!$AB127="X","X","")&amp;IF(Master!$AC127="X","X",""), "" )</f>
        <v>X</v>
      </c>
      <c r="F129" s="8"/>
    </row>
    <row r="130" spans="1:6" ht="15" customHeight="1" x14ac:dyDescent="0.25">
      <c r="A130" s="8" t="str">
        <f>Master!$C128 &amp; ""</f>
        <v>Mariah</v>
      </c>
      <c r="B130" s="8" t="str">
        <f>Master!$D128 &amp; ""</f>
        <v>Lane</v>
      </c>
      <c r="C130" s="8" t="str">
        <f>Master!$M128 &amp; ""</f>
        <v/>
      </c>
      <c r="D130" s="7" t="str">
        <f>Master!$S128 &amp; ""</f>
        <v>YS</v>
      </c>
      <c r="E130" s="7" t="str">
        <f t="array" ref="E130">IF(A130&lt;&gt;"",IF(Master!$AB128="X","X","")&amp;IF(Master!$AC128="X","X",""), "" )</f>
        <v/>
      </c>
      <c r="F130" s="8"/>
    </row>
    <row r="131" spans="1:6" ht="15" hidden="1" customHeight="1" x14ac:dyDescent="0.25">
      <c r="A131" s="8" t="str">
        <f>Master!$C129 &amp; ""</f>
        <v>Mason</v>
      </c>
      <c r="B131" s="8" t="str">
        <f>Master!$D129 &amp; ""</f>
        <v>Lane</v>
      </c>
      <c r="C131" s="8" t="str">
        <f>Master!$M129 &amp; ""</f>
        <v/>
      </c>
      <c r="D131" s="7" t="str">
        <f>Master!$S129 &amp; ""</f>
        <v>YS</v>
      </c>
      <c r="E131" s="7" t="str">
        <f t="array" ref="E131">IF(A131&lt;&gt;"",IF(Master!$AB129="X","X","")&amp;IF(Master!$AC129="X","X",""), "" )</f>
        <v/>
      </c>
      <c r="F131" s="8"/>
    </row>
    <row r="132" spans="1:6" ht="15" customHeight="1" x14ac:dyDescent="0.25">
      <c r="A132" s="8" t="str">
        <f>Master!$C130 &amp; ""</f>
        <v>Alishalyn</v>
      </c>
      <c r="B132" s="8" t="str">
        <f>Master!$D130 &amp; ""</f>
        <v>Lang</v>
      </c>
      <c r="C132" s="8" t="str">
        <f>Master!$M130 &amp; ""</f>
        <v/>
      </c>
      <c r="D132" s="7" t="str">
        <f>Master!$S130 &amp; ""</f>
        <v/>
      </c>
      <c r="E132" s="7" t="str">
        <f t="array" ref="E132">IF(A132&lt;&gt;"",IF(Master!$AB130="X","X","")&amp;IF(Master!$AC130="X","X",""), "" )</f>
        <v/>
      </c>
      <c r="F132" s="8"/>
    </row>
    <row r="133" spans="1:6" ht="15" customHeight="1" x14ac:dyDescent="0.25">
      <c r="A133" s="8" t="str">
        <f>Master!$C131 &amp; ""</f>
        <v>Grayson</v>
      </c>
      <c r="B133" s="8" t="str">
        <f>Master!$D131 &amp; ""</f>
        <v>Leffew</v>
      </c>
      <c r="C133" s="8" t="str">
        <f>Master!$M131 &amp; ""</f>
        <v/>
      </c>
      <c r="D133" s="7" t="str">
        <f>Master!$S131 &amp; ""</f>
        <v>YS</v>
      </c>
      <c r="E133" s="7" t="str">
        <f t="array" ref="E133">IF(A133&lt;&gt;"",IF(Master!$AB131="X","X","")&amp;IF(Master!$AC131="X","X",""), "" )</f>
        <v/>
      </c>
      <c r="F133" s="8"/>
    </row>
    <row r="134" spans="1:6" ht="15" customHeight="1" x14ac:dyDescent="0.25">
      <c r="A134" s="8" t="str">
        <f>Master!$C132 &amp; ""</f>
        <v>Isabella</v>
      </c>
      <c r="B134" s="8" t="str">
        <f>Master!$D132 &amp; ""</f>
        <v>Leonard</v>
      </c>
      <c r="C134" s="8" t="str">
        <f>Master!$M132 &amp; ""</f>
        <v/>
      </c>
      <c r="D134" s="7" t="str">
        <f>Master!$S132 &amp; ""</f>
        <v>AL</v>
      </c>
      <c r="E134" s="7" t="str">
        <f t="array" ref="E134">IF(A134&lt;&gt;"",IF(Master!$AB132="X","X","")&amp;IF(Master!$AC132="X","X",""), "" )</f>
        <v/>
      </c>
      <c r="F134" s="8"/>
    </row>
    <row r="135" spans="1:6" ht="15" hidden="1" customHeight="1" x14ac:dyDescent="0.25">
      <c r="A135" s="8" t="str">
        <f>Master!$C133 &amp; ""</f>
        <v>Lochlan</v>
      </c>
      <c r="B135" s="8" t="str">
        <f>Master!$D133 &amp; ""</f>
        <v>Leonard</v>
      </c>
      <c r="C135" s="8" t="str">
        <f>Master!$M133 &amp; ""</f>
        <v/>
      </c>
      <c r="D135" s="7" t="str">
        <f>Master!$S133 &amp; ""</f>
        <v>YS</v>
      </c>
      <c r="E135" s="7" t="str">
        <f t="array" ref="E135">IF(A135&lt;&gt;"",IF(Master!$AB133="X","X","")&amp;IF(Master!$AC133="X","X",""), "" )</f>
        <v/>
      </c>
      <c r="F135" s="8"/>
    </row>
    <row r="136" spans="1:6" ht="15" hidden="1" customHeight="1" x14ac:dyDescent="0.25">
      <c r="A136" s="8" t="str">
        <f>Master!$C134 &amp; ""</f>
        <v>Rhett</v>
      </c>
      <c r="B136" s="8" t="str">
        <f>Master!$D134 &amp; ""</f>
        <v>List</v>
      </c>
      <c r="C136" s="8" t="str">
        <f>Master!$M134 &amp; ""</f>
        <v/>
      </c>
      <c r="D136" s="7" t="str">
        <f>Master!$S134 &amp; ""</f>
        <v>YS</v>
      </c>
      <c r="E136" s="7" t="str">
        <f t="array" ref="E136">IF(A136&lt;&gt;"",IF(Master!$AB134="X","X","")&amp;IF(Master!$AC134="X","X",""), "" )</f>
        <v/>
      </c>
      <c r="F136" s="8"/>
    </row>
    <row r="137" spans="1:6" ht="15" customHeight="1" x14ac:dyDescent="0.25">
      <c r="A137" s="8" t="str">
        <f>Master!$C135 &amp; ""</f>
        <v xml:space="preserve">Kyra </v>
      </c>
      <c r="B137" s="8" t="str">
        <f>Master!$D135 &amp; ""</f>
        <v>Lovings</v>
      </c>
      <c r="C137" s="8" t="str">
        <f>Master!$M135 &amp; ""</f>
        <v/>
      </c>
      <c r="D137" s="7" t="str">
        <f>Master!$S135 &amp; ""</f>
        <v>AS</v>
      </c>
      <c r="E137" s="7" t="str">
        <f t="array" ref="E137">IF(A137&lt;&gt;"",IF(Master!$AB135="X","X","")&amp;IF(Master!$AC135="X","X",""), "" )</f>
        <v/>
      </c>
      <c r="F137" s="8"/>
    </row>
    <row r="138" spans="1:6" ht="15" customHeight="1" x14ac:dyDescent="0.25">
      <c r="A138" s="8" t="str">
        <f>Master!$C136 &amp; ""</f>
        <v>Bodey</v>
      </c>
      <c r="B138" s="8" t="str">
        <f>Master!$D136 &amp; ""</f>
        <v>Maher</v>
      </c>
      <c r="C138" s="8" t="str">
        <f>Master!$M136 &amp; ""</f>
        <v>Wings</v>
      </c>
      <c r="D138" s="7" t="str">
        <f>Master!$S136 &amp; ""</f>
        <v>YXL</v>
      </c>
      <c r="E138" s="7" t="str">
        <f t="array" ref="E138">IF(A138&lt;&gt;"",IF(Master!$AB136="X","X","")&amp;IF(Master!$AC136="X","X",""), "" )</f>
        <v>X</v>
      </c>
      <c r="F138" s="8"/>
    </row>
    <row r="139" spans="1:6" ht="15" customHeight="1" x14ac:dyDescent="0.25">
      <c r="A139" s="8" t="str">
        <f>Master!$C137 &amp; ""</f>
        <v>Artie</v>
      </c>
      <c r="B139" s="8" t="str">
        <f>Master!$D137 &amp; ""</f>
        <v>Mahl</v>
      </c>
      <c r="C139" s="8" t="str">
        <f>Master!$M137 &amp; ""</f>
        <v/>
      </c>
      <c r="D139" s="7" t="str">
        <f>Master!$S137 &amp; ""</f>
        <v/>
      </c>
      <c r="E139" s="7" t="str">
        <f t="array" ref="E139">IF(A139&lt;&gt;"",IF(Master!$AB137="X","X","")&amp;IF(Master!$AC137="X","X",""), "" )</f>
        <v/>
      </c>
      <c r="F139" s="8"/>
    </row>
    <row r="140" spans="1:6" ht="15" customHeight="1" x14ac:dyDescent="0.25">
      <c r="A140" s="8" t="str">
        <f>Master!$C138 &amp; ""</f>
        <v>Lucia</v>
      </c>
      <c r="B140" s="8" t="str">
        <f>Master!$D138 &amp; ""</f>
        <v>Malott</v>
      </c>
      <c r="C140" s="8" t="str">
        <f>Master!$M138 &amp; ""</f>
        <v/>
      </c>
      <c r="D140" s="7" t="str">
        <f>Master!$S138 &amp; ""</f>
        <v>AL</v>
      </c>
      <c r="E140" s="7" t="str">
        <f t="array" ref="E140">IF(A140&lt;&gt;"",IF(Master!$AB138="X","X","")&amp;IF(Master!$AC138="X","X",""), "" )</f>
        <v/>
      </c>
      <c r="F140" s="8"/>
    </row>
    <row r="141" spans="1:6" ht="15" customHeight="1" x14ac:dyDescent="0.25">
      <c r="A141" s="8" t="str">
        <f>Master!$C139 &amp; ""</f>
        <v>Drake</v>
      </c>
      <c r="B141" s="8" t="str">
        <f>Master!$D139 &amp; ""</f>
        <v>Marks</v>
      </c>
      <c r="C141" s="8" t="str">
        <f>Master!$M139 &amp; ""</f>
        <v/>
      </c>
      <c r="D141" s="7" t="str">
        <f>Master!$S139 &amp; ""</f>
        <v>AS</v>
      </c>
      <c r="E141" s="7" t="str">
        <f t="array" ref="E141">IF(A141&lt;&gt;"",IF(Master!$AB139="X","X","")&amp;IF(Master!$AC139="X","X",""), "" )</f>
        <v/>
      </c>
      <c r="F141" s="8"/>
    </row>
    <row r="142" spans="1:6" ht="15" customHeight="1" x14ac:dyDescent="0.25">
      <c r="A142" s="8" t="str">
        <f>Master!$C140 &amp; ""</f>
        <v>Kaely</v>
      </c>
      <c r="B142" s="8" t="str">
        <f>Master!$D140 &amp; ""</f>
        <v>Marks</v>
      </c>
      <c r="C142" s="8" t="str">
        <f>Master!$M140 &amp; ""</f>
        <v/>
      </c>
      <c r="D142" s="7" t="str">
        <f>Master!$S140 &amp; ""</f>
        <v>YL</v>
      </c>
      <c r="E142" s="7" t="str">
        <f t="array" ref="E142">IF(A142&lt;&gt;"",IF(Master!$AB140="X","X","")&amp;IF(Master!$AC140="X","X",""), "" )</f>
        <v/>
      </c>
      <c r="F142" s="8"/>
    </row>
    <row r="143" spans="1:6" ht="15" customHeight="1" x14ac:dyDescent="0.25">
      <c r="A143" s="8" t="str">
        <f>Master!$C141 &amp; ""</f>
        <v>Scarlett</v>
      </c>
      <c r="B143" s="8" t="str">
        <f>Master!$D141 &amp; ""</f>
        <v>Marquette</v>
      </c>
      <c r="C143" s="8" t="str">
        <f>Master!$M141 &amp; ""</f>
        <v/>
      </c>
      <c r="D143" s="7" t="str">
        <f>Master!$S141 &amp; ""</f>
        <v>YS</v>
      </c>
      <c r="E143" s="7" t="str">
        <f t="array" ref="E143">IF(A143&lt;&gt;"",IF(Master!$AB141="X","X","")&amp;IF(Master!$AC141="X","X",""), "" )</f>
        <v/>
      </c>
      <c r="F143" s="8"/>
    </row>
    <row r="144" spans="1:6" ht="15" hidden="1" customHeight="1" x14ac:dyDescent="0.25">
      <c r="A144" s="8" t="str">
        <f>Master!$C142 &amp; ""</f>
        <v>Aaron</v>
      </c>
      <c r="B144" s="8" t="str">
        <f>Master!$D142 &amp; ""</f>
        <v>Marshall</v>
      </c>
      <c r="C144" s="8" t="str">
        <f>Master!$M142 &amp; ""</f>
        <v>Sweepers</v>
      </c>
      <c r="D144" s="7" t="str">
        <f>Master!$S142 &amp; ""</f>
        <v>AL</v>
      </c>
      <c r="E144" s="7" t="str">
        <f t="array" ref="E144">IF(A144&lt;&gt;"",IF(Master!$AB142="X","X","")&amp;IF(Master!$AC142="X","X",""), "" )</f>
        <v>X</v>
      </c>
      <c r="F144" s="8"/>
    </row>
    <row r="145" spans="1:6" ht="15" hidden="1" customHeight="1" x14ac:dyDescent="0.25">
      <c r="A145" s="8" t="str">
        <f>Master!$C143 &amp; ""</f>
        <v>Ian</v>
      </c>
      <c r="B145" s="8" t="str">
        <f>Master!$D143 &amp; ""</f>
        <v>Mauersberg</v>
      </c>
      <c r="C145" s="8" t="str">
        <f>Master!$M143 &amp; ""</f>
        <v>Passers</v>
      </c>
      <c r="D145" s="7" t="str">
        <f>Master!$S143 &amp; ""</f>
        <v>AL</v>
      </c>
      <c r="E145" s="7" t="str">
        <f t="array" ref="E145">IF(A145&lt;&gt;"",IF(Master!$AB143="X","X","")&amp;IF(Master!$AC143="X","X",""), "" )</f>
        <v>X</v>
      </c>
      <c r="F145" s="8"/>
    </row>
    <row r="146" spans="1:6" ht="15" customHeight="1" x14ac:dyDescent="0.25">
      <c r="A146" s="8" t="str">
        <f>Master!$C144 &amp; ""</f>
        <v>Carly</v>
      </c>
      <c r="B146" s="8" t="str">
        <f>Master!$D144 &amp; ""</f>
        <v>McCall</v>
      </c>
      <c r="C146" s="8" t="str">
        <f>Master!$M144 &amp; ""</f>
        <v>Passers</v>
      </c>
      <c r="D146" s="7" t="str">
        <f>Master!$S144 &amp; ""</f>
        <v>AL</v>
      </c>
      <c r="E146" s="7" t="str">
        <f t="array" ref="E146">IF(A146&lt;&gt;"",IF(Master!$AB144="X","X","")&amp;IF(Master!$AC144="X","X",""), "" )</f>
        <v>X</v>
      </c>
      <c r="F146" s="8"/>
    </row>
    <row r="147" spans="1:6" ht="15" customHeight="1" x14ac:dyDescent="0.25">
      <c r="A147" s="8" t="str">
        <f>Master!$C145 &amp; ""</f>
        <v>Timothy</v>
      </c>
      <c r="B147" s="8" t="str">
        <f>Master!$D145 &amp; ""</f>
        <v>McCleese</v>
      </c>
      <c r="C147" s="8" t="str">
        <f>Master!$M145 &amp; ""</f>
        <v/>
      </c>
      <c r="D147" s="7" t="str">
        <f>Master!$S145 &amp; ""</f>
        <v>AM</v>
      </c>
      <c r="E147" s="7" t="str">
        <f t="array" ref="E147">IF(A147&lt;&gt;"",IF(Master!$AB145="X","X","")&amp;IF(Master!$AC145="X","X",""), "" )</f>
        <v/>
      </c>
      <c r="F147" s="8"/>
    </row>
    <row r="148" spans="1:6" ht="15" hidden="1" customHeight="1" x14ac:dyDescent="0.25">
      <c r="A148" s="8" t="str">
        <f>Master!$C146 &amp; ""</f>
        <v>Michael</v>
      </c>
      <c r="B148" s="8" t="str">
        <f>Master!$D146 &amp; ""</f>
        <v>McDonald</v>
      </c>
      <c r="C148" s="8" t="str">
        <f>Master!$M146 &amp; ""</f>
        <v/>
      </c>
      <c r="D148" s="7" t="str">
        <f>Master!$S146 &amp; ""</f>
        <v>AXL</v>
      </c>
      <c r="E148" s="7" t="str">
        <f t="array" ref="E148">IF(A148&lt;&gt;"",IF(Master!$AB146="X","X","")&amp;IF(Master!$AC146="X","X",""), "" )</f>
        <v/>
      </c>
      <c r="F148" s="8"/>
    </row>
    <row r="149" spans="1:6" ht="15" customHeight="1" x14ac:dyDescent="0.25">
      <c r="A149" s="8" t="str">
        <f>Master!$C147 &amp; ""</f>
        <v>Kayley</v>
      </c>
      <c r="B149" s="8" t="str">
        <f>Master!$D147 &amp; ""</f>
        <v>McGovern</v>
      </c>
      <c r="C149" s="8" t="str">
        <f>Master!$M147 &amp; ""</f>
        <v/>
      </c>
      <c r="D149" s="7" t="str">
        <f>Master!$S147 &amp; ""</f>
        <v>AM</v>
      </c>
      <c r="E149" s="7" t="str">
        <f t="array" ref="E149">IF(A149&lt;&gt;"",IF(Master!$AB147="X","X","")&amp;IF(Master!$AC147="X","X",""), "" )</f>
        <v/>
      </c>
      <c r="F149" s="8"/>
    </row>
    <row r="150" spans="1:6" ht="15" customHeight="1" x14ac:dyDescent="0.25">
      <c r="A150" s="8" t="str">
        <f>Master!$C148 &amp; ""</f>
        <v>Charlotte</v>
      </c>
      <c r="B150" s="8" t="str">
        <f>Master!$D148 &amp; ""</f>
        <v>McKinnson</v>
      </c>
      <c r="C150" s="8" t="str">
        <f>Master!$M148 &amp; ""</f>
        <v>Shooters</v>
      </c>
      <c r="D150" s="7" t="str">
        <f>Master!$S148 &amp; ""</f>
        <v>YL</v>
      </c>
      <c r="E150" s="7" t="str">
        <f t="array" ref="E150">IF(A150&lt;&gt;"",IF(Master!$AB148="X","X","")&amp;IF(Master!$AC148="X","X",""), "" )</f>
        <v>X</v>
      </c>
      <c r="F150" s="8"/>
    </row>
    <row r="151" spans="1:6" ht="15" customHeight="1" x14ac:dyDescent="0.25">
      <c r="A151" s="8" t="str">
        <f>Master!$C149 &amp; ""</f>
        <v>Roman</v>
      </c>
      <c r="B151" s="8" t="str">
        <f>Master!$D149 &amp; ""</f>
        <v>Meyers</v>
      </c>
      <c r="C151" s="8" t="str">
        <f>Master!$M149 &amp; ""</f>
        <v/>
      </c>
      <c r="D151" s="7" t="str">
        <f>Master!$S149 &amp; ""</f>
        <v>YM</v>
      </c>
      <c r="E151" s="7" t="str">
        <f t="array" ref="E151">IF(A151&lt;&gt;"",IF(Master!$AB149="X","X","")&amp;IF(Master!$AC149="X","X",""), "" )</f>
        <v/>
      </c>
      <c r="F151" s="8"/>
    </row>
    <row r="152" spans="1:6" ht="15" hidden="1" customHeight="1" x14ac:dyDescent="0.25">
      <c r="A152" s="8" t="str">
        <f>Master!$C150 &amp; ""</f>
        <v>Benji</v>
      </c>
      <c r="B152" s="8" t="str">
        <f>Master!$D150 &amp; ""</f>
        <v>Mezera</v>
      </c>
      <c r="C152" s="8" t="str">
        <f>Master!$M150 &amp; ""</f>
        <v>Dribblers</v>
      </c>
      <c r="D152" s="7" t="str">
        <f>Master!$S150 &amp; ""</f>
        <v>AS</v>
      </c>
      <c r="E152" s="7" t="str">
        <f t="array" ref="E152">IF(A152&lt;&gt;"",IF(Master!$AB150="X","X","")&amp;IF(Master!$AC150="X","X",""), "" )</f>
        <v>X</v>
      </c>
      <c r="F152" s="8"/>
    </row>
    <row r="153" spans="1:6" ht="15" customHeight="1" x14ac:dyDescent="0.25">
      <c r="A153" s="8" t="str">
        <f>Master!$C151 &amp; ""</f>
        <v>Hudsen</v>
      </c>
      <c r="B153" s="8" t="str">
        <f>Master!$D151 &amp; ""</f>
        <v>Millen</v>
      </c>
      <c r="C153" s="8" t="str">
        <f>Master!$M151 &amp; ""</f>
        <v>Passers</v>
      </c>
      <c r="D153" s="7" t="str">
        <f>Master!$S151 &amp; ""</f>
        <v>A2XL</v>
      </c>
      <c r="E153" s="7" t="str">
        <f t="array" ref="E153">IF(A153&lt;&gt;"",IF(Master!$AB151="X","X","")&amp;IF(Master!$AC151="X","X",""), "" )</f>
        <v>X</v>
      </c>
      <c r="F153" s="8"/>
    </row>
    <row r="154" spans="1:6" ht="15" customHeight="1" x14ac:dyDescent="0.25">
      <c r="A154" s="8" t="str">
        <f>Master!$C152 &amp; ""</f>
        <v>Jayla</v>
      </c>
      <c r="B154" s="8" t="str">
        <f>Master!$D152 &amp; ""</f>
        <v>Miller</v>
      </c>
      <c r="C154" s="8" t="str">
        <f>Master!$M152 &amp; ""</f>
        <v>Hotwheels</v>
      </c>
      <c r="D154" s="7" t="str">
        <f>Master!$S152 &amp; ""</f>
        <v>AXL</v>
      </c>
      <c r="E154" s="7" t="str">
        <f t="array" ref="E154">IF(A154&lt;&gt;"",IF(Master!$AB152="X","X","")&amp;IF(Master!$AC152="X","X",""), "" )</f>
        <v>X</v>
      </c>
      <c r="F154" s="8"/>
    </row>
    <row r="155" spans="1:6" ht="15" customHeight="1" x14ac:dyDescent="0.25">
      <c r="A155" s="8" t="str">
        <f>Master!$C153 &amp; ""</f>
        <v>Alan</v>
      </c>
      <c r="B155" s="8" t="str">
        <f>Master!$D153 &amp; ""</f>
        <v>Millhouse</v>
      </c>
      <c r="C155" s="8" t="str">
        <f>Master!$M153 &amp; ""</f>
        <v>Passers</v>
      </c>
      <c r="D155" s="7" t="str">
        <f>Master!$S153 &amp; ""</f>
        <v>AM</v>
      </c>
      <c r="E155" s="7" t="str">
        <f t="array" ref="E155">IF(A155&lt;&gt;"",IF(Master!$AB153="X","X","")&amp;IF(Master!$AC153="X","X",""), "" )</f>
        <v>X</v>
      </c>
      <c r="F155" s="8"/>
    </row>
    <row r="156" spans="1:6" ht="15" customHeight="1" x14ac:dyDescent="0.25">
      <c r="A156" s="8" t="str">
        <f>Master!$C154 &amp; ""</f>
        <v>Marley</v>
      </c>
      <c r="B156" s="8" t="str">
        <f>Master!$D154 &amp; ""</f>
        <v>Minch</v>
      </c>
      <c r="C156" s="8" t="str">
        <f>Master!$M154 &amp; ""</f>
        <v/>
      </c>
      <c r="D156" s="7" t="str">
        <f>Master!$S154 &amp; ""</f>
        <v/>
      </c>
      <c r="E156" s="7" t="str">
        <f t="array" ref="E156">IF(A156&lt;&gt;"",IF(Master!$AB154="X","X","")&amp;IF(Master!$AC154="X","X",""), "" )</f>
        <v/>
      </c>
      <c r="F156" s="8"/>
    </row>
    <row r="157" spans="1:6" ht="15" hidden="1" customHeight="1" x14ac:dyDescent="0.25">
      <c r="A157" s="8" t="str">
        <f>Master!$C155 &amp; ""</f>
        <v>Dalton</v>
      </c>
      <c r="B157" s="8" t="str">
        <f>Master!$D155 &amp; ""</f>
        <v>Mitchell</v>
      </c>
      <c r="C157" s="8" t="str">
        <f>Master!$M155 &amp; ""</f>
        <v>Dribblers</v>
      </c>
      <c r="D157" s="7" t="str">
        <f>Master!$S155 &amp; ""</f>
        <v>YXL</v>
      </c>
      <c r="E157" s="7" t="str">
        <f t="array" ref="E157">IF(A157&lt;&gt;"",IF(Master!$AB155="X","X","")&amp;IF(Master!$AC155="X","X",""), "" )</f>
        <v>X</v>
      </c>
      <c r="F157" s="8"/>
    </row>
    <row r="158" spans="1:6" ht="15" customHeight="1" x14ac:dyDescent="0.25">
      <c r="A158" s="8" t="str">
        <f>Master!$C156 &amp; ""</f>
        <v>Henry</v>
      </c>
      <c r="B158" s="8" t="str">
        <f>Master!$D156 &amp; ""</f>
        <v>Mochocki</v>
      </c>
      <c r="C158" s="8" t="str">
        <f>Master!$M156 &amp; ""</f>
        <v/>
      </c>
      <c r="D158" s="7" t="str">
        <f>Master!$S156 &amp; ""</f>
        <v>YM</v>
      </c>
      <c r="E158" s="7" t="str">
        <f t="array" ref="E158">IF(A158&lt;&gt;"",IF(Master!$AB156="X","X","")&amp;IF(Master!$AC156="X","X",""), "" )</f>
        <v/>
      </c>
      <c r="F158" s="8"/>
    </row>
    <row r="159" spans="1:6" ht="15" hidden="1" customHeight="1" x14ac:dyDescent="0.25">
      <c r="A159" s="8" t="str">
        <f>Master!$C157 &amp; ""</f>
        <v>Penelope</v>
      </c>
      <c r="B159" s="8" t="str">
        <f>Master!$D157 &amp; ""</f>
        <v>Mogollon-Faris</v>
      </c>
      <c r="C159" s="8" t="str">
        <f>Master!$M157 &amp; ""</f>
        <v>Wings</v>
      </c>
      <c r="D159" s="7" t="str">
        <f>Master!$S157 &amp; ""</f>
        <v>YXL</v>
      </c>
      <c r="E159" s="7" t="str">
        <f t="array" ref="E159">IF(A159&lt;&gt;"",IF(Master!$AB157="X","X","")&amp;IF(Master!$AC157="X","X",""), "" )</f>
        <v>X</v>
      </c>
      <c r="F159" s="8"/>
    </row>
    <row r="160" spans="1:6" ht="15" hidden="1" customHeight="1" x14ac:dyDescent="0.25">
      <c r="A160" s="8" t="str">
        <f>Master!$C158 &amp; ""</f>
        <v>Owen</v>
      </c>
      <c r="B160" s="8" t="str">
        <f>Master!$D158 &amp; ""</f>
        <v>Moore</v>
      </c>
      <c r="C160" s="8" t="str">
        <f>Master!$M158 &amp; ""</f>
        <v>Hotwheels</v>
      </c>
      <c r="D160" s="7" t="str">
        <f>Master!$S158 &amp; ""</f>
        <v>YM</v>
      </c>
      <c r="E160" s="7" t="str">
        <f t="array" ref="E160">IF(A160&lt;&gt;"",IF(Master!$AB158="X","X","")&amp;IF(Master!$AC158="X","X",""), "" )</f>
        <v>X</v>
      </c>
      <c r="F160" s="8"/>
    </row>
    <row r="161" spans="1:6" ht="15" hidden="1" customHeight="1" x14ac:dyDescent="0.25">
      <c r="A161" s="8" t="str">
        <f>Master!$C159 &amp; ""</f>
        <v>Serenity</v>
      </c>
      <c r="B161" s="8" t="str">
        <f>Master!$D159 &amp; ""</f>
        <v>Morton</v>
      </c>
      <c r="C161" s="8" t="str">
        <f>Master!$M159 &amp; ""</f>
        <v/>
      </c>
      <c r="D161" s="7" t="str">
        <f>Master!$S159 &amp; ""</f>
        <v/>
      </c>
      <c r="E161" s="7" t="str">
        <f t="array" ref="E161">IF(A161&lt;&gt;"",IF(Master!$AB159="X","X","")&amp;IF(Master!$AC159="X","X",""), "" )</f>
        <v/>
      </c>
      <c r="F161" s="8"/>
    </row>
    <row r="162" spans="1:6" ht="15" hidden="1" customHeight="1" x14ac:dyDescent="0.25">
      <c r="A162" s="8" t="str">
        <f>Master!$C160 &amp; ""</f>
        <v>Jay LaNell</v>
      </c>
      <c r="B162" s="8" t="str">
        <f>Master!$D160 &amp; ""</f>
        <v>Myer</v>
      </c>
      <c r="C162" s="8" t="str">
        <f>Master!$M160 &amp; ""</f>
        <v/>
      </c>
      <c r="D162" s="7" t="str">
        <f>Master!$S160 &amp; ""</f>
        <v>YS</v>
      </c>
      <c r="E162" s="7" t="str">
        <f t="array" ref="E162">IF(A162&lt;&gt;"",IF(Master!$AB160="X","X","")&amp;IF(Master!$AC160="X","X",""), "" )</f>
        <v/>
      </c>
      <c r="F162" s="8"/>
    </row>
    <row r="163" spans="1:6" ht="15" customHeight="1" x14ac:dyDescent="0.25">
      <c r="A163" s="8" t="str">
        <f>Master!$C161 &amp; ""</f>
        <v>Joe</v>
      </c>
      <c r="B163" s="8" t="str">
        <f>Master!$D161 &amp; ""</f>
        <v>Nartker</v>
      </c>
      <c r="C163" s="8" t="str">
        <f>Master!$M161 &amp; ""</f>
        <v>Sweepers</v>
      </c>
      <c r="D163" s="7" t="str">
        <f>Master!$S161 &amp; ""</f>
        <v>AXL</v>
      </c>
      <c r="E163" s="7" t="str">
        <f t="array" ref="E163">IF(A163&lt;&gt;"",IF(Master!$AB161="X","X","")&amp;IF(Master!$AC161="X","X",""), "" )</f>
        <v>X</v>
      </c>
      <c r="F163" s="8"/>
    </row>
    <row r="164" spans="1:6" ht="15" hidden="1" customHeight="1" x14ac:dyDescent="0.25">
      <c r="A164" s="8" t="str">
        <f>Master!$C162 &amp; ""</f>
        <v>Sofia</v>
      </c>
      <c r="B164" s="8" t="str">
        <f>Master!$D162 &amp; ""</f>
        <v>Neff</v>
      </c>
      <c r="C164" s="8" t="str">
        <f>Master!$M162 &amp; ""</f>
        <v/>
      </c>
      <c r="D164" s="7" t="str">
        <f>Master!$S162 &amp; ""</f>
        <v>A2XL</v>
      </c>
      <c r="E164" s="7" t="str">
        <f t="array" ref="E164">IF(A164&lt;&gt;"",IF(Master!$AB162="X","X","")&amp;IF(Master!$AC162="X","X",""), "" )</f>
        <v/>
      </c>
      <c r="F164" s="8"/>
    </row>
    <row r="165" spans="1:6" ht="15" customHeight="1" x14ac:dyDescent="0.25">
      <c r="A165" s="8" t="str">
        <f>Master!$C163 &amp; ""</f>
        <v>Joey</v>
      </c>
      <c r="B165" s="8" t="str">
        <f>Master!$D163 &amp; ""</f>
        <v>Neiman</v>
      </c>
      <c r="C165" s="8" t="str">
        <f>Master!$M163 &amp; ""</f>
        <v/>
      </c>
      <c r="D165" s="7" t="str">
        <f>Master!$S163 &amp; ""</f>
        <v>AXL</v>
      </c>
      <c r="E165" s="7" t="str">
        <f t="array" ref="E165">IF(A165&lt;&gt;"",IF(Master!$AB163="X","X","")&amp;IF(Master!$AC163="X","X",""), "" )</f>
        <v/>
      </c>
      <c r="F165" s="8"/>
    </row>
    <row r="166" spans="1:6" ht="15" hidden="1" customHeight="1" x14ac:dyDescent="0.25">
      <c r="A166" s="8" t="str">
        <f>Master!$C164 &amp; ""</f>
        <v>Gemma</v>
      </c>
      <c r="B166" s="8" t="str">
        <f>Master!$D164 &amp; ""</f>
        <v>Nessler</v>
      </c>
      <c r="C166" s="8" t="str">
        <f>Master!$M164 &amp; ""</f>
        <v>Kickers</v>
      </c>
      <c r="D166" s="7" t="str">
        <f>Master!$S164 &amp; ""</f>
        <v>AL</v>
      </c>
      <c r="E166" s="7" t="str">
        <f t="array" ref="E166">IF(A166&lt;&gt;"",IF(Master!$AB164="X","X","")&amp;IF(Master!$AC164="X","X",""), "" )</f>
        <v>X</v>
      </c>
      <c r="F166" s="8"/>
    </row>
    <row r="167" spans="1:6" ht="15" customHeight="1" x14ac:dyDescent="0.25">
      <c r="A167" s="8" t="str">
        <f>Master!$C165 &amp; ""</f>
        <v>Shanae</v>
      </c>
      <c r="B167" s="8" t="str">
        <f>Master!$D165 &amp; ""</f>
        <v>Nicholes</v>
      </c>
      <c r="C167" s="8" t="str">
        <f>Master!$M165 &amp; ""</f>
        <v>Sweepers</v>
      </c>
      <c r="D167" s="7" t="str">
        <f>Master!$S165 &amp; ""</f>
        <v>AM</v>
      </c>
      <c r="E167" s="7" t="str">
        <f t="array" ref="E167">IF(A167&lt;&gt;"",IF(Master!$AB165="X","X","")&amp;IF(Master!$AC165="X","X",""), "" )</f>
        <v>X</v>
      </c>
      <c r="F167" s="8"/>
    </row>
    <row r="168" spans="1:6" ht="15" customHeight="1" x14ac:dyDescent="0.25">
      <c r="A168" s="8" t="str">
        <f>Master!$C166 &amp; ""</f>
        <v>Patrick</v>
      </c>
      <c r="B168" s="8" t="str">
        <f>Master!$D166 &amp; ""</f>
        <v>O'Brien</v>
      </c>
      <c r="C168" s="8" t="str">
        <f>Master!$M166 &amp; ""</f>
        <v>Kickers</v>
      </c>
      <c r="D168" s="7" t="str">
        <f>Master!$S166 &amp; ""</f>
        <v>AS</v>
      </c>
      <c r="E168" s="7" t="str">
        <f t="array" ref="E168">IF(A168&lt;&gt;"",IF(Master!$AB166="X","X","")&amp;IF(Master!$AC166="X","X",""), "" )</f>
        <v>X</v>
      </c>
      <c r="F168" s="8"/>
    </row>
    <row r="169" spans="1:6" ht="15" hidden="1" customHeight="1" x14ac:dyDescent="0.25">
      <c r="A169" s="8" t="str">
        <f>Master!$C167 &amp; ""</f>
        <v>Raphael</v>
      </c>
      <c r="B169" s="8" t="str">
        <f>Master!$D167 &amp; ""</f>
        <v>Ojezua</v>
      </c>
      <c r="C169" s="8" t="str">
        <f>Master!$M167 &amp; ""</f>
        <v/>
      </c>
      <c r="D169" s="7" t="str">
        <f>Master!$S167 &amp; ""</f>
        <v>AS</v>
      </c>
      <c r="E169" s="7" t="str">
        <f t="array" ref="E169">IF(A169&lt;&gt;"",IF(Master!$AB167="X","X","")&amp;IF(Master!$AC167="X","X",""), "" )</f>
        <v/>
      </c>
      <c r="F169" s="8"/>
    </row>
    <row r="170" spans="1:6" ht="15" hidden="1" customHeight="1" x14ac:dyDescent="0.25">
      <c r="A170" s="8" t="str">
        <f>Master!$C168 &amp; ""</f>
        <v>Everett</v>
      </c>
      <c r="B170" s="8" t="str">
        <f>Master!$D168 &amp; ""</f>
        <v>O'Meara</v>
      </c>
      <c r="C170" s="8" t="str">
        <f>Master!$M168 &amp; ""</f>
        <v/>
      </c>
      <c r="D170" s="7" t="str">
        <f>Master!$S168 &amp; ""</f>
        <v/>
      </c>
      <c r="E170" s="7" t="str">
        <f t="array" ref="E170">IF(A170&lt;&gt;"",IF(Master!$AB168="X","X","")&amp;IF(Master!$AC168="X","X",""), "" )</f>
        <v/>
      </c>
      <c r="F170" s="8"/>
    </row>
    <row r="171" spans="1:6" ht="15" customHeight="1" x14ac:dyDescent="0.25">
      <c r="A171" s="8" t="str">
        <f>Master!$C169 &amp; ""</f>
        <v>Lindsay</v>
      </c>
      <c r="B171" s="8" t="str">
        <f>Master!$D169 &amp; ""</f>
        <v>O'Neill</v>
      </c>
      <c r="C171" s="8" t="str">
        <f>Master!$M169 &amp; ""</f>
        <v/>
      </c>
      <c r="D171" s="7" t="str">
        <f>Master!$S169 &amp; ""</f>
        <v>AXL</v>
      </c>
      <c r="E171" s="7" t="str">
        <f t="array" ref="E171">IF(A171&lt;&gt;"",IF(Master!$AB169="X","X","")&amp;IF(Master!$AC169="X","X",""), "" )</f>
        <v/>
      </c>
      <c r="F171" s="8"/>
    </row>
    <row r="172" spans="1:6" ht="15" customHeight="1" x14ac:dyDescent="0.25">
      <c r="A172" s="8" t="str">
        <f>Master!$C170 &amp; ""</f>
        <v>Mallory</v>
      </c>
      <c r="B172" s="8" t="str">
        <f>Master!$D170 &amp; ""</f>
        <v>O'Neill</v>
      </c>
      <c r="C172" s="8" t="str">
        <f>Master!$M170 &amp; ""</f>
        <v>Wings</v>
      </c>
      <c r="D172" s="7" t="str">
        <f>Master!$S170 &amp; ""</f>
        <v>AL</v>
      </c>
      <c r="E172" s="7" t="str">
        <f t="array" ref="E172">IF(A172&lt;&gt;"",IF(Master!$AB170="X","X","")&amp;IF(Master!$AC170="X","X",""), "" )</f>
        <v>X</v>
      </c>
      <c r="F172" s="8"/>
    </row>
    <row r="173" spans="1:6" ht="15" hidden="1" customHeight="1" x14ac:dyDescent="0.25">
      <c r="A173" s="8" t="str">
        <f>Master!$C171 &amp; ""</f>
        <v>Sean</v>
      </c>
      <c r="B173" s="8" t="str">
        <f>Master!$D171 &amp; ""</f>
        <v>O'Reilly</v>
      </c>
      <c r="C173" s="8" t="str">
        <f>Master!$M171 &amp; ""</f>
        <v/>
      </c>
      <c r="D173" s="7" t="str">
        <f>Master!$S171 &amp; ""</f>
        <v>A2XL</v>
      </c>
      <c r="E173" s="7" t="str">
        <f t="array" ref="E173">IF(A173&lt;&gt;"",IF(Master!$AB171="X","X","")&amp;IF(Master!$AC171="X","X",""), "" )</f>
        <v/>
      </c>
      <c r="F173" s="8"/>
    </row>
    <row r="174" spans="1:6" ht="15" customHeight="1" x14ac:dyDescent="0.25">
      <c r="A174" s="8" t="str">
        <f>Master!$C172 &amp; ""</f>
        <v>Benny</v>
      </c>
      <c r="B174" s="8" t="str">
        <f>Master!$D172 &amp; ""</f>
        <v>Pate</v>
      </c>
      <c r="C174" s="8" t="str">
        <f>Master!$M172 &amp; ""</f>
        <v>Dribblers</v>
      </c>
      <c r="D174" s="7" t="str">
        <f>Master!$S172 &amp; ""</f>
        <v>YXL</v>
      </c>
      <c r="E174" s="7" t="str">
        <f t="array" ref="E174">IF(A174&lt;&gt;"",IF(Master!$AB172="X","X","")&amp;IF(Master!$AC172="X","X",""), "" )</f>
        <v>X</v>
      </c>
      <c r="F174" s="8"/>
    </row>
    <row r="175" spans="1:6" ht="15" customHeight="1" x14ac:dyDescent="0.25">
      <c r="A175" s="8" t="str">
        <f>Master!$C173 &amp; ""</f>
        <v>Giuliana</v>
      </c>
      <c r="B175" s="8" t="str">
        <f>Master!$D173 &amp; ""</f>
        <v>Patterson</v>
      </c>
      <c r="C175" s="8" t="str">
        <f>Master!$M173 &amp; ""</f>
        <v/>
      </c>
      <c r="D175" s="7" t="str">
        <f>Master!$S173 &amp; ""</f>
        <v>YL</v>
      </c>
      <c r="E175" s="7" t="str">
        <f t="array" ref="E175">IF(A175&lt;&gt;"",IF(Master!$AB173="X","X","")&amp;IF(Master!$AC173="X","X",""), "" )</f>
        <v/>
      </c>
      <c r="F175" s="8"/>
    </row>
    <row r="176" spans="1:6" ht="15" hidden="1" customHeight="1" x14ac:dyDescent="0.25">
      <c r="A176" s="8" t="str">
        <f>Master!$C174 &amp; ""</f>
        <v>Jaiven</v>
      </c>
      <c r="B176" s="8" t="str">
        <f>Master!$D174 &amp; ""</f>
        <v>Pattson</v>
      </c>
      <c r="C176" s="8" t="str">
        <f>Master!$M174 &amp; ""</f>
        <v>Hotwheels</v>
      </c>
      <c r="D176" s="7" t="str">
        <f>Master!$S174 &amp; ""</f>
        <v>YL</v>
      </c>
      <c r="E176" s="7" t="str">
        <f t="array" ref="E176">IF(A176&lt;&gt;"",IF(Master!$AB174="X","X","")&amp;IF(Master!$AC174="X","X",""), "" )</f>
        <v>X</v>
      </c>
      <c r="F176" s="8"/>
    </row>
    <row r="177" spans="1:6" ht="15" hidden="1" customHeight="1" x14ac:dyDescent="0.25">
      <c r="A177" s="8" t="str">
        <f>Master!$C175 &amp; ""</f>
        <v>Christian</v>
      </c>
      <c r="B177" s="8" t="str">
        <f>Master!$D175 &amp; ""</f>
        <v>Peffley</v>
      </c>
      <c r="C177" s="8" t="str">
        <f>Master!$M175 &amp; ""</f>
        <v/>
      </c>
      <c r="D177" s="7" t="str">
        <f>Master!$S175 &amp; ""</f>
        <v>YL</v>
      </c>
      <c r="E177" s="7" t="str">
        <f t="array" ref="E177">IF(A177&lt;&gt;"",IF(Master!$AB175="X","X","")&amp;IF(Master!$AC175="X","X",""), "" )</f>
        <v/>
      </c>
      <c r="F177" s="8"/>
    </row>
    <row r="178" spans="1:6" ht="15" customHeight="1" x14ac:dyDescent="0.25">
      <c r="A178" s="8" t="str">
        <f>Master!$C176 &amp; ""</f>
        <v>Kylie</v>
      </c>
      <c r="B178" s="8" t="str">
        <f>Master!$D176 &amp; ""</f>
        <v>Peters</v>
      </c>
      <c r="C178" s="8" t="str">
        <f>Master!$M176 &amp; ""</f>
        <v>Kickers</v>
      </c>
      <c r="D178" s="7" t="str">
        <f>Master!$S176 &amp; ""</f>
        <v>AL</v>
      </c>
      <c r="E178" s="7" t="str">
        <f t="array" ref="E178">IF(A178&lt;&gt;"",IF(Master!$AB176="X","X","")&amp;IF(Master!$AC176="X","X",""), "" )</f>
        <v>X</v>
      </c>
      <c r="F178" s="8"/>
    </row>
    <row r="179" spans="1:6" ht="15" hidden="1" customHeight="1" x14ac:dyDescent="0.25">
      <c r="A179" s="8" t="str">
        <f>Master!$C177 &amp; ""</f>
        <v>Callie</v>
      </c>
      <c r="B179" s="8" t="str">
        <f>Master!$D177 &amp; ""</f>
        <v>Phillips</v>
      </c>
      <c r="C179" s="8" t="str">
        <f>Master!$M177 &amp; ""</f>
        <v/>
      </c>
      <c r="D179" s="7" t="str">
        <f>Master!$S177 &amp; ""</f>
        <v/>
      </c>
      <c r="E179" s="7" t="str">
        <f t="array" ref="E179">IF(A179&lt;&gt;"",IF(Master!$AB177="X","X","")&amp;IF(Master!$AC177="X","X",""), "" )</f>
        <v/>
      </c>
      <c r="F179" s="8"/>
    </row>
    <row r="180" spans="1:6" ht="15" customHeight="1" x14ac:dyDescent="0.25">
      <c r="A180" s="8" t="str">
        <f>Master!$C178 &amp; ""</f>
        <v>Lukas</v>
      </c>
      <c r="B180" s="8" t="str">
        <f>Master!$D178 &amp; ""</f>
        <v>Pickett</v>
      </c>
      <c r="C180" s="8" t="str">
        <f>Master!$M178 &amp; ""</f>
        <v>Wings</v>
      </c>
      <c r="D180" s="7" t="str">
        <f>Master!$S178 &amp; ""</f>
        <v>AM</v>
      </c>
      <c r="E180" s="7" t="str">
        <f t="array" ref="E180">IF(A180&lt;&gt;"",IF(Master!$AB178="X","X","")&amp;IF(Master!$AC178="X","X",""), "" )</f>
        <v>X</v>
      </c>
      <c r="F180" s="8"/>
    </row>
    <row r="181" spans="1:6" ht="15" hidden="1" customHeight="1" x14ac:dyDescent="0.25">
      <c r="A181" s="8" t="str">
        <f>Master!$C179 &amp; ""</f>
        <v>Priya</v>
      </c>
      <c r="B181" s="8" t="str">
        <f>Master!$D179 &amp; ""</f>
        <v>Pinkerton</v>
      </c>
      <c r="C181" s="8" t="str">
        <f>Master!$M179 &amp; ""</f>
        <v/>
      </c>
      <c r="D181" s="7" t="str">
        <f>Master!$S179 &amp; ""</f>
        <v>YM</v>
      </c>
      <c r="E181" s="7" t="str">
        <f t="array" ref="E181">IF(A181&lt;&gt;"",IF(Master!$AB179="X","X","")&amp;IF(Master!$AC179="X","X",""), "" )</f>
        <v/>
      </c>
      <c r="F181" s="8"/>
    </row>
    <row r="182" spans="1:6" ht="15" hidden="1" customHeight="1" x14ac:dyDescent="0.25">
      <c r="A182" s="8" t="str">
        <f>Master!$C180 &amp; ""</f>
        <v>Priya</v>
      </c>
      <c r="B182" s="8" t="str">
        <f>Master!$D180 &amp; ""</f>
        <v>Pinkerton</v>
      </c>
      <c r="C182" s="8" t="str">
        <f>Master!$M180 &amp; ""</f>
        <v/>
      </c>
      <c r="D182" s="7" t="str">
        <f>Master!$S180 &amp; ""</f>
        <v>AS</v>
      </c>
      <c r="E182" s="7" t="str">
        <f t="array" ref="E182">IF(A182&lt;&gt;"",IF(Master!$AB180="X","X","")&amp;IF(Master!$AC180="X","X",""), "" )</f>
        <v/>
      </c>
      <c r="F182" s="8"/>
    </row>
    <row r="183" spans="1:6" ht="15" hidden="1" customHeight="1" x14ac:dyDescent="0.25">
      <c r="A183" s="8" t="str">
        <f>Master!$C181 &amp; ""</f>
        <v>Fallon</v>
      </c>
      <c r="B183" s="8" t="str">
        <f>Master!$D181 &amp; ""</f>
        <v>Poellnitz</v>
      </c>
      <c r="C183" s="8" t="str">
        <f>Master!$M181 &amp; ""</f>
        <v/>
      </c>
      <c r="D183" s="7" t="str">
        <f>Master!$S181 &amp; ""</f>
        <v>YM</v>
      </c>
      <c r="E183" s="7" t="str">
        <f t="array" ref="E183">IF(A183&lt;&gt;"",IF(Master!$AB181="X","X","")&amp;IF(Master!$AC181="X","X",""), "" )</f>
        <v/>
      </c>
      <c r="F183" s="8"/>
    </row>
    <row r="184" spans="1:6" ht="15" customHeight="1" x14ac:dyDescent="0.25">
      <c r="A184" s="8" t="str">
        <f>Master!$C182 &amp; ""</f>
        <v>Brayden</v>
      </c>
      <c r="B184" s="8" t="str">
        <f>Master!$D182 &amp; ""</f>
        <v>Poulsen</v>
      </c>
      <c r="C184" s="8" t="str">
        <f>Master!$M182 &amp; ""</f>
        <v/>
      </c>
      <c r="D184" s="7" t="str">
        <f>Master!$S182 &amp; ""</f>
        <v>YS</v>
      </c>
      <c r="E184" s="7" t="str">
        <f t="array" ref="E184">IF(A184&lt;&gt;"",IF(Master!$AB182="X","X","")&amp;IF(Master!$AC182="X","X",""), "" )</f>
        <v/>
      </c>
      <c r="F184" s="8"/>
    </row>
    <row r="185" spans="1:6" ht="15" hidden="1" customHeight="1" x14ac:dyDescent="0.25">
      <c r="A185" s="8" t="str">
        <f>Master!$C183 &amp; ""</f>
        <v>Evangeline</v>
      </c>
      <c r="B185" s="8" t="str">
        <f>Master!$D183 &amp; ""</f>
        <v>Poulsen</v>
      </c>
      <c r="C185" s="8" t="str">
        <f>Master!$M183 &amp; ""</f>
        <v/>
      </c>
      <c r="D185" s="7" t="str">
        <f>Master!$S183 &amp; ""</f>
        <v>YM</v>
      </c>
      <c r="E185" s="7" t="str">
        <f t="array" ref="E185">IF(A185&lt;&gt;"",IF(Master!$AB183="X","X","")&amp;IF(Master!$AC183="X","X",""), "" )</f>
        <v/>
      </c>
      <c r="F185" s="8"/>
    </row>
    <row r="186" spans="1:6" ht="15" hidden="1" customHeight="1" x14ac:dyDescent="0.25">
      <c r="A186" s="8" t="str">
        <f>Master!$C184 &amp; ""</f>
        <v>Patrick</v>
      </c>
      <c r="B186" s="8" t="str">
        <f>Master!$D184 &amp; ""</f>
        <v>Powell</v>
      </c>
      <c r="C186" s="8" t="str">
        <f>Master!$M184 &amp; ""</f>
        <v/>
      </c>
      <c r="D186" s="7" t="str">
        <f>Master!$S184 &amp; ""</f>
        <v>A2XL</v>
      </c>
      <c r="E186" s="7" t="str">
        <f t="array" ref="E186">IF(A186&lt;&gt;"",IF(Master!$AB184="X","X","")&amp;IF(Master!$AC184="X","X",""), "" )</f>
        <v/>
      </c>
      <c r="F186" s="8"/>
    </row>
    <row r="187" spans="1:6" ht="15" hidden="1" customHeight="1" x14ac:dyDescent="0.25">
      <c r="A187" s="8" t="str">
        <f>Master!$C186 &amp; ""</f>
        <v>Levi</v>
      </c>
      <c r="B187" s="8" t="str">
        <f>Master!$D186 &amp; ""</f>
        <v>Pullins</v>
      </c>
      <c r="C187" s="8" t="str">
        <f>Master!$M186 &amp; ""</f>
        <v>Shooters</v>
      </c>
      <c r="D187" s="7" t="str">
        <f>Master!$S186 &amp; ""</f>
        <v>YM</v>
      </c>
      <c r="E187" s="7" t="str">
        <f t="array" ref="E187">IF(A187&lt;&gt;"",IF(Master!$AB186="X","X","")&amp;IF(Master!$AC186="X","X",""), "" )</f>
        <v>X</v>
      </c>
      <c r="F187" s="8"/>
    </row>
    <row r="188" spans="1:6" ht="15" customHeight="1" x14ac:dyDescent="0.25">
      <c r="A188" s="8" t="str">
        <f>Master!$C187 &amp; ""</f>
        <v>Isa</v>
      </c>
      <c r="B188" s="8" t="str">
        <f>Master!$D187 &amp; ""</f>
        <v>Rasheed</v>
      </c>
      <c r="C188" s="8" t="str">
        <f>Master!$M187 &amp; ""</f>
        <v>Dribblers</v>
      </c>
      <c r="D188" s="7" t="str">
        <f>Master!$S187 &amp; ""</f>
        <v>YS</v>
      </c>
      <c r="E188" s="7" t="str">
        <f t="array" ref="E188">IF(A188&lt;&gt;"",IF(Master!$AB187="X","X","")&amp;IF(Master!$AC187="X","X",""), "" )</f>
        <v>X</v>
      </c>
      <c r="F188" s="8"/>
    </row>
    <row r="189" spans="1:6" ht="15" customHeight="1" x14ac:dyDescent="0.25">
      <c r="A189" s="8" t="str">
        <f>Master!$C188 &amp; ""</f>
        <v>Mason</v>
      </c>
      <c r="B189" s="8" t="str">
        <f>Master!$D188 &amp; ""</f>
        <v>Reed</v>
      </c>
      <c r="C189" s="8" t="str">
        <f>Master!$M188 &amp; ""</f>
        <v>Dribblers</v>
      </c>
      <c r="D189" s="7" t="str">
        <f>Master!$S188 &amp; ""</f>
        <v>YL</v>
      </c>
      <c r="E189" s="7" t="str">
        <f t="array" ref="E189">IF(A189&lt;&gt;"",IF(Master!$AB188="X","X","")&amp;IF(Master!$AC188="X","X",""), "" )</f>
        <v>X</v>
      </c>
      <c r="F189" s="8"/>
    </row>
    <row r="190" spans="1:6" ht="15" customHeight="1" x14ac:dyDescent="0.25">
      <c r="A190" s="8" t="str">
        <f>Master!$C189 &amp; ""</f>
        <v>Grabriel</v>
      </c>
      <c r="B190" s="8" t="str">
        <f>Master!$D189 &amp; ""</f>
        <v>Renk</v>
      </c>
      <c r="C190" s="8" t="str">
        <f>Master!$M189 &amp; ""</f>
        <v/>
      </c>
      <c r="D190" s="7" t="str">
        <f>Master!$S189 &amp; ""</f>
        <v>YL</v>
      </c>
      <c r="E190" s="7" t="str">
        <f t="array" ref="E190">IF(A190&lt;&gt;"",IF(Master!$AB189="X","X","")&amp;IF(Master!$AC189="X","X",""), "" )</f>
        <v/>
      </c>
      <c r="F190" s="8"/>
    </row>
    <row r="191" spans="1:6" ht="15" customHeight="1" x14ac:dyDescent="0.25">
      <c r="A191" s="8" t="str">
        <f>Master!$C190 &amp; ""</f>
        <v>Nathan</v>
      </c>
      <c r="B191" s="8" t="str">
        <f>Master!$D190 &amp; ""</f>
        <v>Richardson</v>
      </c>
      <c r="C191" s="8" t="str">
        <f>Master!$M190 &amp; ""</f>
        <v>Strikers</v>
      </c>
      <c r="D191" s="7" t="str">
        <f>Master!$S190 &amp; ""</f>
        <v>AXL</v>
      </c>
      <c r="E191" s="7" t="str">
        <f t="array" ref="E191">IF(A191&lt;&gt;"",IF(Master!$AB190="X","X","")&amp;IF(Master!$AC190="X","X",""), "" )</f>
        <v>X</v>
      </c>
      <c r="F191" s="8"/>
    </row>
    <row r="192" spans="1:6" ht="15" hidden="1" customHeight="1" x14ac:dyDescent="0.25">
      <c r="A192" s="8" t="str">
        <f>Master!$C191 &amp; ""</f>
        <v>Keira</v>
      </c>
      <c r="B192" s="8" t="str">
        <f>Master!$D191 &amp; ""</f>
        <v>Richison</v>
      </c>
      <c r="C192" s="8" t="str">
        <f>Master!$M191 &amp; ""</f>
        <v>Wings</v>
      </c>
      <c r="D192" s="7" t="str">
        <f>Master!$S191 &amp; ""</f>
        <v>A2XL</v>
      </c>
      <c r="E192" s="7" t="str">
        <f t="array" ref="E192">IF(A192&lt;&gt;"",IF(Master!$AB191="X","X","")&amp;IF(Master!$AC191="X","X",""), "" )</f>
        <v>X</v>
      </c>
      <c r="F192" s="8"/>
    </row>
    <row r="193" spans="1:6" ht="15" hidden="1" customHeight="1" x14ac:dyDescent="0.25">
      <c r="A193" s="8" t="str">
        <f>Master!$C192 &amp; ""</f>
        <v>Daniel</v>
      </c>
      <c r="B193" s="8" t="str">
        <f>Master!$D192 &amp; ""</f>
        <v>Richmond</v>
      </c>
      <c r="C193" s="8" t="str">
        <f>Master!$M192 &amp; ""</f>
        <v/>
      </c>
      <c r="D193" s="7" t="str">
        <f>Master!$S192 &amp; ""</f>
        <v>AXL</v>
      </c>
      <c r="E193" s="7" t="str">
        <f t="array" ref="E193">IF(A193&lt;&gt;"",IF(Master!$AB192="X","X","")&amp;IF(Master!$AC192="X","X",""), "" )</f>
        <v/>
      </c>
      <c r="F193" s="8"/>
    </row>
    <row r="194" spans="1:6" ht="15" customHeight="1" x14ac:dyDescent="0.25">
      <c r="A194" s="8" t="str">
        <f>Master!$C193 &amp; ""</f>
        <v>Kingston</v>
      </c>
      <c r="B194" s="8" t="str">
        <f>Master!$D193 &amp; ""</f>
        <v>Ringold</v>
      </c>
      <c r="C194" s="8" t="str">
        <f>Master!$M193 &amp; ""</f>
        <v/>
      </c>
      <c r="D194" s="7" t="str">
        <f>Master!$S193 &amp; ""</f>
        <v>YS</v>
      </c>
      <c r="E194" s="7" t="str">
        <f t="array" ref="E194">IF(A194&lt;&gt;"",IF(Master!$AB193="X","X","")&amp;IF(Master!$AC193="X","X",""), "" )</f>
        <v/>
      </c>
      <c r="F194" s="8"/>
    </row>
    <row r="195" spans="1:6" ht="15" hidden="1" customHeight="1" x14ac:dyDescent="0.25">
      <c r="A195" s="8" t="str">
        <f>Master!$C194 &amp; ""</f>
        <v>Isaac</v>
      </c>
      <c r="B195" s="8" t="str">
        <f>Master!$D194 &amp; ""</f>
        <v>Robertson</v>
      </c>
      <c r="C195" s="8" t="str">
        <f>Master!$M194 &amp; ""</f>
        <v>Shooters</v>
      </c>
      <c r="D195" s="7" t="str">
        <f>Master!$S194 &amp; ""</f>
        <v>YM</v>
      </c>
      <c r="E195" s="7" t="str">
        <f t="array" ref="E195">IF(A195&lt;&gt;"",IF(Master!$AB194="X","X","")&amp;IF(Master!$AC194="X","X",""), "" )</f>
        <v>X</v>
      </c>
      <c r="F195" s="8"/>
    </row>
    <row r="196" spans="1:6" ht="15" customHeight="1" x14ac:dyDescent="0.25">
      <c r="A196" s="8" t="str">
        <f>Master!$C195 &amp; ""</f>
        <v>Kemper</v>
      </c>
      <c r="B196" s="8" t="str">
        <f>Master!$D195 &amp; ""</f>
        <v>Robinson</v>
      </c>
      <c r="C196" s="8" t="str">
        <f>Master!$M195 &amp; ""</f>
        <v/>
      </c>
      <c r="D196" s="7" t="str">
        <f>Master!$S195 &amp; ""</f>
        <v>YM</v>
      </c>
      <c r="E196" s="7" t="str">
        <f t="array" ref="E196">IF(A196&lt;&gt;"",IF(Master!$AB195="X","X","")&amp;IF(Master!$AC195="X","X",""), "" )</f>
        <v/>
      </c>
      <c r="F196" s="8"/>
    </row>
    <row r="197" spans="1:6" ht="15" customHeight="1" x14ac:dyDescent="0.25">
      <c r="A197" s="8" t="str">
        <f>Master!$C196 &amp; ""</f>
        <v>Tessa</v>
      </c>
      <c r="B197" s="8" t="str">
        <f>Master!$D196 &amp; ""</f>
        <v>Roll</v>
      </c>
      <c r="C197" s="8" t="str">
        <f>Master!$M196 &amp; ""</f>
        <v/>
      </c>
      <c r="D197" s="7" t="str">
        <f>Master!$S196 &amp; ""</f>
        <v>AM</v>
      </c>
      <c r="E197" s="7" t="str">
        <f t="array" ref="E197">IF(A197&lt;&gt;"",IF(Master!$AB196="X","X","")&amp;IF(Master!$AC196="X","X",""), "" )</f>
        <v/>
      </c>
      <c r="F197" s="8"/>
    </row>
    <row r="198" spans="1:6" ht="15" customHeight="1" x14ac:dyDescent="0.25">
      <c r="A198" s="8" t="str">
        <f>Master!$C197 &amp; ""</f>
        <v>Noah</v>
      </c>
      <c r="B198" s="8" t="str">
        <f>Master!$D197 &amp; ""</f>
        <v>Rose</v>
      </c>
      <c r="C198" s="8" t="str">
        <f>Master!$M197 &amp; ""</f>
        <v>Dribblers</v>
      </c>
      <c r="D198" s="7" t="str">
        <f>Master!$S197 &amp; ""</f>
        <v>YS</v>
      </c>
      <c r="E198" s="7" t="str">
        <f t="array" ref="E198">IF(A198&lt;&gt;"",IF(Master!$AB197="X","X","")&amp;IF(Master!$AC197="X","X",""), "" )</f>
        <v>X</v>
      </c>
      <c r="F198" s="8"/>
    </row>
    <row r="199" spans="1:6" ht="15" hidden="1" customHeight="1" x14ac:dyDescent="0.25">
      <c r="A199" s="8" t="str">
        <f>Master!$C198 &amp; ""</f>
        <v>Melissa</v>
      </c>
      <c r="B199" s="8" t="str">
        <f>Master!$D198 &amp; ""</f>
        <v>Roselius</v>
      </c>
      <c r="C199" s="8" t="str">
        <f>Master!$M198 &amp; ""</f>
        <v/>
      </c>
      <c r="D199" s="7" t="str">
        <f>Master!$S198 &amp; ""</f>
        <v/>
      </c>
      <c r="E199" s="7" t="str">
        <f t="array" ref="E199">IF(A199&lt;&gt;"",IF(Master!$AB198="X","X","")&amp;IF(Master!$AC198="X","X",""), "" )</f>
        <v/>
      </c>
      <c r="F199" s="8"/>
    </row>
    <row r="200" spans="1:6" ht="15" customHeight="1" x14ac:dyDescent="0.25">
      <c r="A200" s="8" t="str">
        <f>Master!$C199 &amp; ""</f>
        <v>John</v>
      </c>
      <c r="B200" s="8" t="str">
        <f>Master!$D199 &amp; ""</f>
        <v>Rush</v>
      </c>
      <c r="C200" s="8" t="str">
        <f>Master!$M199 &amp; ""</f>
        <v/>
      </c>
      <c r="D200" s="7" t="str">
        <f>Master!$S199 &amp; ""</f>
        <v>AM</v>
      </c>
      <c r="E200" s="7" t="str">
        <f t="array" ref="E200">IF(A200&lt;&gt;"",IF(Master!$AB199="X","X","")&amp;IF(Master!$AC199="X","X",""), "" )</f>
        <v/>
      </c>
      <c r="F200" s="8"/>
    </row>
    <row r="201" spans="1:6" ht="15" customHeight="1" x14ac:dyDescent="0.25">
      <c r="A201" s="8" t="str">
        <f>Master!$C200 &amp; ""</f>
        <v>Kacie</v>
      </c>
      <c r="B201" s="8" t="str">
        <f>Master!$D200 &amp; ""</f>
        <v>Ryan</v>
      </c>
      <c r="C201" s="8" t="str">
        <f>Master!$M200 &amp; ""</f>
        <v/>
      </c>
      <c r="D201" s="7" t="str">
        <f>Master!$S200 &amp; ""</f>
        <v/>
      </c>
      <c r="E201" s="7" t="str">
        <f t="array" ref="E201">IF(A201&lt;&gt;"",IF(Master!$AB200="X","X","")&amp;IF(Master!$AC200="X","X",""), "" )</f>
        <v/>
      </c>
      <c r="F201" s="8"/>
    </row>
    <row r="202" spans="1:6" ht="15" hidden="1" customHeight="1" x14ac:dyDescent="0.25">
      <c r="A202" s="8" t="str">
        <f>Master!$C201 &amp; ""</f>
        <v>Aaryan</v>
      </c>
      <c r="B202" s="8" t="str">
        <f>Master!$D201 &amp; ""</f>
        <v>Sagvekar</v>
      </c>
      <c r="C202" s="8" t="str">
        <f>Master!$M201 &amp; ""</f>
        <v>Shooters</v>
      </c>
      <c r="D202" s="7" t="str">
        <f>Master!$S201 &amp; ""</f>
        <v>YM</v>
      </c>
      <c r="E202" s="7" t="str">
        <f t="array" ref="E202">IF(A202&lt;&gt;"",IF(Master!$AB201="X","X","")&amp;IF(Master!$AC201="X","X",""), "" )</f>
        <v>X</v>
      </c>
      <c r="F202" s="8"/>
    </row>
    <row r="203" spans="1:6" ht="15" customHeight="1" x14ac:dyDescent="0.25">
      <c r="A203" s="8" t="str">
        <f>Master!$C202 &amp; ""</f>
        <v>Vedansh</v>
      </c>
      <c r="B203" s="8" t="str">
        <f>Master!$D202 &amp; ""</f>
        <v>Sahay</v>
      </c>
      <c r="C203" s="8" t="str">
        <f>Master!$M202 &amp; ""</f>
        <v/>
      </c>
      <c r="D203" s="7" t="str">
        <f>Master!$S202 &amp; ""</f>
        <v>YS</v>
      </c>
      <c r="E203" s="7" t="str">
        <f t="array" ref="E203">IF(A203&lt;&gt;"",IF(Master!$AB202="X","X","")&amp;IF(Master!$AC202="X","X",""), "" )</f>
        <v/>
      </c>
      <c r="F203" s="8"/>
    </row>
    <row r="204" spans="1:6" ht="15" customHeight="1" x14ac:dyDescent="0.25">
      <c r="A204" s="8" t="str">
        <f>Master!$C203 &amp; ""</f>
        <v>Evan</v>
      </c>
      <c r="B204" s="8" t="str">
        <f>Master!$D203 &amp; ""</f>
        <v>Santiago</v>
      </c>
      <c r="C204" s="8" t="str">
        <f>Master!$M203 &amp; ""</f>
        <v/>
      </c>
      <c r="D204" s="7" t="str">
        <f>Master!$S203 &amp; ""</f>
        <v>AM</v>
      </c>
      <c r="E204" s="7" t="str">
        <f t="array" ref="E204">IF(A204&lt;&gt;"",IF(Master!$AB203="X","X","")&amp;IF(Master!$AC203="X","X",""), "" )</f>
        <v/>
      </c>
      <c r="F204" s="8"/>
    </row>
    <row r="205" spans="1:6" ht="15" customHeight="1" x14ac:dyDescent="0.25">
      <c r="A205" s="8" t="str">
        <f>Master!$C204 &amp; ""</f>
        <v>Aaryan</v>
      </c>
      <c r="B205" s="8" t="str">
        <f>Master!$D204 &amp; ""</f>
        <v>Satish</v>
      </c>
      <c r="C205" s="8" t="str">
        <f>Master!$M204 &amp; ""</f>
        <v>Shooters</v>
      </c>
      <c r="D205" s="7" t="str">
        <f>Master!$S204 &amp; ""</f>
        <v>YM</v>
      </c>
      <c r="E205" s="7" t="str">
        <f t="array" ref="E205">IF(A205&lt;&gt;"",IF(Master!$AB204="X","X","")&amp;IF(Master!$AC204="X","X",""), "" )</f>
        <v>X</v>
      </c>
      <c r="F205" s="8"/>
    </row>
    <row r="206" spans="1:6" ht="15" customHeight="1" x14ac:dyDescent="0.25">
      <c r="A206" s="8" t="str">
        <f>Master!$C205 &amp; ""</f>
        <v>David</v>
      </c>
      <c r="B206" s="8" t="str">
        <f>Master!$D205 &amp; ""</f>
        <v>Sauer</v>
      </c>
      <c r="C206" s="8" t="str">
        <f>Master!$M205 &amp; ""</f>
        <v>Hotwheels</v>
      </c>
      <c r="D206" s="7" t="str">
        <f>Master!$S205 &amp; ""</f>
        <v>AS</v>
      </c>
      <c r="E206" s="7" t="str">
        <f t="array" ref="E206">IF(A206&lt;&gt;"",IF(Master!$AB205="X","X","")&amp;IF(Master!$AC205="X","X",""), "" )</f>
        <v>X</v>
      </c>
      <c r="F206" s="8"/>
    </row>
    <row r="207" spans="1:6" ht="15" hidden="1" customHeight="1" x14ac:dyDescent="0.25">
      <c r="A207" s="8" t="str">
        <f>Master!$C206 &amp; ""</f>
        <v>Jessica</v>
      </c>
      <c r="B207" s="8" t="str">
        <f>Master!$D206 &amp; ""</f>
        <v>Savage</v>
      </c>
      <c r="C207" s="8" t="str">
        <f>Master!$M206 &amp; ""</f>
        <v>Hotwheels</v>
      </c>
      <c r="D207" s="7" t="str">
        <f>Master!$S206 &amp; ""</f>
        <v>YXL</v>
      </c>
      <c r="E207" s="7" t="str">
        <f t="array" ref="E207">IF(A207&lt;&gt;"",IF(Master!$AB206="X","X","")&amp;IF(Master!$AC206="X","X",""), "" )</f>
        <v>X</v>
      </c>
      <c r="F207" s="8"/>
    </row>
    <row r="208" spans="1:6" ht="15" customHeight="1" x14ac:dyDescent="0.25">
      <c r="A208" s="8" t="str">
        <f>Master!$C207 &amp; ""</f>
        <v>Crislyn</v>
      </c>
      <c r="B208" s="8" t="str">
        <f>Master!$D207 &amp; ""</f>
        <v>Sayger</v>
      </c>
      <c r="C208" s="8" t="str">
        <f>Master!$M207 &amp; ""</f>
        <v>Sweepers</v>
      </c>
      <c r="D208" s="7" t="str">
        <f>Master!$S207 &amp; ""</f>
        <v>A3XL</v>
      </c>
      <c r="E208" s="7" t="str">
        <f t="array" ref="E208">IF(A208&lt;&gt;"",IF(Master!$AB207="X","X","")&amp;IF(Master!$AC207="X","X",""), "" )</f>
        <v>X</v>
      </c>
      <c r="F208" s="8"/>
    </row>
    <row r="209" spans="1:6" ht="15" customHeight="1" x14ac:dyDescent="0.25">
      <c r="A209" s="8" t="str">
        <f>Master!$C208 &amp; ""</f>
        <v>Hoyt</v>
      </c>
      <c r="B209" s="8" t="str">
        <f>Master!$D208 &amp; ""</f>
        <v>Schaaf</v>
      </c>
      <c r="C209" s="8" t="str">
        <f>Master!$M208 &amp; ""</f>
        <v>Shooters</v>
      </c>
      <c r="D209" s="7" t="str">
        <f>Master!$S208 &amp; ""</f>
        <v>YM</v>
      </c>
      <c r="E209" s="7" t="str">
        <f t="array" ref="E209">IF(A209&lt;&gt;"",IF(Master!$AB208="X","X","")&amp;IF(Master!$AC208="X","X",""), "" )</f>
        <v>X</v>
      </c>
      <c r="F209" s="8"/>
    </row>
    <row r="210" spans="1:6" ht="15" customHeight="1" x14ac:dyDescent="0.25">
      <c r="A210" s="8" t="str">
        <f>Master!$C209 &amp; ""</f>
        <v>Calvin</v>
      </c>
      <c r="B210" s="8" t="str">
        <f>Master!$D209 &amp; ""</f>
        <v>Schneider</v>
      </c>
      <c r="C210" s="8" t="str">
        <f>Master!$M209 &amp; ""</f>
        <v>Passers</v>
      </c>
      <c r="D210" s="7" t="str">
        <f>Master!$S209 &amp; ""</f>
        <v>AL</v>
      </c>
      <c r="E210" s="7" t="str">
        <f t="array" ref="E210">IF(A210&lt;&gt;"",IF(Master!$AB209="X","X","")&amp;IF(Master!$AC209="X","X",""), "" )</f>
        <v>X</v>
      </c>
      <c r="F210" s="8"/>
    </row>
    <row r="211" spans="1:6" ht="15" customHeight="1" x14ac:dyDescent="0.25">
      <c r="A211" s="8" t="str">
        <f>Master!$C210 &amp; ""</f>
        <v>Nate</v>
      </c>
      <c r="B211" s="8" t="str">
        <f>Master!$D210 &amp; ""</f>
        <v>Schreck</v>
      </c>
      <c r="C211" s="8" t="str">
        <f>Master!$M210 &amp; ""</f>
        <v>Passers</v>
      </c>
      <c r="D211" s="7" t="str">
        <f>Master!$S210 &amp; ""</f>
        <v>A2XL</v>
      </c>
      <c r="E211" s="7" t="str">
        <f t="array" ref="E211">IF(A211&lt;&gt;"",IF(Master!$AB210="X","X","")&amp;IF(Master!$AC210="X","X",""), "" )</f>
        <v>X</v>
      </c>
      <c r="F211" s="8"/>
    </row>
    <row r="212" spans="1:6" ht="15" hidden="1" customHeight="1" x14ac:dyDescent="0.25">
      <c r="A212" s="8" t="str">
        <f>Master!$C211 &amp; ""</f>
        <v>Michael</v>
      </c>
      <c r="B212" s="8" t="str">
        <f>Master!$D211 &amp; ""</f>
        <v>Schutt</v>
      </c>
      <c r="C212" s="8" t="str">
        <f>Master!$M211 &amp; ""</f>
        <v/>
      </c>
      <c r="D212" s="7" t="str">
        <f>Master!$S211 &amp; ""</f>
        <v/>
      </c>
      <c r="E212" s="7" t="str">
        <f t="array" ref="E212">IF(A212&lt;&gt;"",IF(Master!$AB211="X","X","")&amp;IF(Master!$AC211="X","X",""), "" )</f>
        <v/>
      </c>
      <c r="F212" s="8"/>
    </row>
    <row r="213" spans="1:6" ht="15" customHeight="1" x14ac:dyDescent="0.25">
      <c r="A213" s="8" t="str">
        <f>Master!$C212 &amp; ""</f>
        <v>Elijah</v>
      </c>
      <c r="B213" s="8" t="str">
        <f>Master!$D212 &amp; ""</f>
        <v>Seguin</v>
      </c>
      <c r="C213" s="8" t="str">
        <f>Master!$M212 &amp; ""</f>
        <v/>
      </c>
      <c r="D213" s="7" t="str">
        <f>Master!$S212 &amp; ""</f>
        <v>YM</v>
      </c>
      <c r="E213" s="7" t="str">
        <f t="array" ref="E213">IF(A213&lt;&gt;"",IF(Master!$AB212="X","X","")&amp;IF(Master!$AC212="X","X",""), "" )</f>
        <v/>
      </c>
      <c r="F213" s="8"/>
    </row>
    <row r="214" spans="1:6" ht="15" customHeight="1" x14ac:dyDescent="0.25">
      <c r="A214" s="8" t="str">
        <f>Master!$C213 &amp; ""</f>
        <v>Yusuf</v>
      </c>
      <c r="B214" s="8" t="str">
        <f>Master!$D213 &amp; ""</f>
        <v>Shah</v>
      </c>
      <c r="C214" s="8" t="str">
        <f>Master!$M213 &amp; ""</f>
        <v/>
      </c>
      <c r="D214" s="7" t="str">
        <f>Master!$S213 &amp; ""</f>
        <v>AXL</v>
      </c>
      <c r="E214" s="7" t="str">
        <f t="array" ref="E214">IF(A214&lt;&gt;"",IF(Master!$AB213="X","X","")&amp;IF(Master!$AC213="X","X",""), "" )</f>
        <v/>
      </c>
      <c r="F214" s="8"/>
    </row>
    <row r="215" spans="1:6" ht="15" hidden="1" customHeight="1" x14ac:dyDescent="0.25">
      <c r="A215" s="8" t="str">
        <f>Master!$C214 &amp; ""</f>
        <v>Jin</v>
      </c>
      <c r="B215" s="8" t="str">
        <f>Master!$D214 &amp; ""</f>
        <v>Sherman</v>
      </c>
      <c r="C215" s="8" t="str">
        <f>Master!$M214 &amp; ""</f>
        <v/>
      </c>
      <c r="D215" s="7" t="str">
        <f>Master!$S214 &amp; ""</f>
        <v>AS</v>
      </c>
      <c r="E215" s="7" t="str">
        <f t="array" ref="E215">IF(A215&lt;&gt;"",IF(Master!$AB214="X","X","")&amp;IF(Master!$AC214="X","X",""), "" )</f>
        <v/>
      </c>
      <c r="F215" s="8"/>
    </row>
    <row r="216" spans="1:6" ht="15" customHeight="1" x14ac:dyDescent="0.25">
      <c r="A216" s="8" t="str">
        <f>Master!$C215 &amp; ""</f>
        <v xml:space="preserve">Ryan </v>
      </c>
      <c r="B216" s="8" t="str">
        <f>Master!$D215 &amp; ""</f>
        <v>Shockley</v>
      </c>
      <c r="C216" s="8" t="str">
        <f>Master!$M215 &amp; ""</f>
        <v>Hotwheels</v>
      </c>
      <c r="D216" s="7" t="str">
        <f>Master!$S215 &amp; ""</f>
        <v>AL</v>
      </c>
      <c r="E216" s="7" t="str">
        <f t="array" ref="E216">IF(A216&lt;&gt;"",IF(Master!$AB215="X","X","")&amp;IF(Master!$AC215="X","X",""), "" )</f>
        <v>X</v>
      </c>
      <c r="F216" s="8"/>
    </row>
    <row r="217" spans="1:6" ht="15" hidden="1" customHeight="1" x14ac:dyDescent="0.25">
      <c r="A217" s="8" t="str">
        <f>Master!$C216 &amp; ""</f>
        <v>Anna</v>
      </c>
      <c r="B217" s="8" t="str">
        <f>Master!$D216 &amp; ""</f>
        <v>Shonle</v>
      </c>
      <c r="C217" s="8" t="str">
        <f>Master!$M216 &amp; ""</f>
        <v>Strikers</v>
      </c>
      <c r="D217" s="7" t="str">
        <f>Master!$S216 &amp; ""</f>
        <v>AXL</v>
      </c>
      <c r="E217" s="7" t="str">
        <f t="array" ref="E217">IF(A217&lt;&gt;"",IF(Master!$AB216="X","X","")&amp;IF(Master!$AC216="X","X",""), "" )</f>
        <v>X</v>
      </c>
      <c r="F217" s="8"/>
    </row>
    <row r="218" spans="1:6" ht="15" hidden="1" customHeight="1" x14ac:dyDescent="0.25">
      <c r="A218" s="8" t="str">
        <f>Master!$C217 &amp; ""</f>
        <v>Jonathan</v>
      </c>
      <c r="B218" s="8" t="str">
        <f>Master!$D217 &amp; ""</f>
        <v>Sibole</v>
      </c>
      <c r="C218" s="8" t="str">
        <f>Master!$M217 &amp; ""</f>
        <v>Dribblers</v>
      </c>
      <c r="D218" s="7" t="str">
        <f>Master!$S217 &amp; ""</f>
        <v>YL</v>
      </c>
      <c r="E218" s="7" t="str">
        <f t="array" ref="E218">IF(A218&lt;&gt;"",IF(Master!$AB217="X","X","")&amp;IF(Master!$AC217="X","X",""), "" )</f>
        <v>X</v>
      </c>
      <c r="F218" s="8"/>
    </row>
    <row r="219" spans="1:6" ht="15" customHeight="1" x14ac:dyDescent="0.25">
      <c r="A219" s="8" t="str">
        <f>Master!$C218 &amp; ""</f>
        <v>Erik</v>
      </c>
      <c r="B219" s="8" t="str">
        <f>Master!$D218 &amp; ""</f>
        <v>Sink</v>
      </c>
      <c r="C219" s="8" t="str">
        <f>Master!$M218 &amp; ""</f>
        <v>Sweepers</v>
      </c>
      <c r="D219" s="7" t="str">
        <f>Master!$S218 &amp; ""</f>
        <v>AL</v>
      </c>
      <c r="E219" s="7" t="str">
        <f t="array" ref="E219">IF(A219&lt;&gt;"",IF(Master!$AB218="X","X","")&amp;IF(Master!$AC218="X","X",""), "" )</f>
        <v>X</v>
      </c>
      <c r="F219" s="8"/>
    </row>
    <row r="220" spans="1:6" ht="15" hidden="1" customHeight="1" x14ac:dyDescent="0.25">
      <c r="A220" s="8" t="str">
        <f>Master!$C219 &amp; ""</f>
        <v>Marley</v>
      </c>
      <c r="B220" s="8" t="str">
        <f>Master!$D219 &amp; ""</f>
        <v>Slone</v>
      </c>
      <c r="C220" s="8" t="str">
        <f>Master!$M219 &amp; ""</f>
        <v/>
      </c>
      <c r="D220" s="7" t="str">
        <f>Master!$S219 &amp; ""</f>
        <v/>
      </c>
      <c r="E220" s="7" t="str">
        <f t="array" ref="E220">IF(A220&lt;&gt;"",IF(Master!$AB219="X","X","")&amp;IF(Master!$AC219="X","X",""), "" )</f>
        <v/>
      </c>
      <c r="F220" s="8"/>
    </row>
    <row r="221" spans="1:6" ht="15" customHeight="1" x14ac:dyDescent="0.25">
      <c r="A221" s="8" t="str">
        <f>Master!$C220 &amp; ""</f>
        <v>Brianne</v>
      </c>
      <c r="B221" s="8" t="str">
        <f>Master!$D220 &amp; ""</f>
        <v>Slusher</v>
      </c>
      <c r="C221" s="8" t="str">
        <f>Master!$M220 &amp; ""</f>
        <v>Sweepers</v>
      </c>
      <c r="D221" s="7" t="str">
        <f>Master!$S220 &amp; ""</f>
        <v>AXL</v>
      </c>
      <c r="E221" s="7" t="str">
        <f t="array" ref="E221">IF(A221&lt;&gt;"",IF(Master!$AB220="X","X","")&amp;IF(Master!$AC220="X","X",""), "" )</f>
        <v>X</v>
      </c>
      <c r="F221" s="8"/>
    </row>
    <row r="222" spans="1:6" ht="15" customHeight="1" x14ac:dyDescent="0.25">
      <c r="A222" s="8" t="str">
        <f>Master!$C221 &amp; ""</f>
        <v>Ava</v>
      </c>
      <c r="B222" s="8" t="str">
        <f>Master!$D221 &amp; ""</f>
        <v>Smith</v>
      </c>
      <c r="C222" s="8" t="str">
        <f>Master!$M221 &amp; ""</f>
        <v>Wings</v>
      </c>
      <c r="D222" s="7" t="str">
        <f>Master!$S221 &amp; ""</f>
        <v>AL</v>
      </c>
      <c r="E222" s="7" t="str">
        <f t="array" ref="E222">IF(A222&lt;&gt;"",IF(Master!$AB221="X","X","")&amp;IF(Master!$AC221="X","X",""), "" )</f>
        <v>X</v>
      </c>
      <c r="F222" s="8"/>
    </row>
    <row r="223" spans="1:6" ht="15" hidden="1" customHeight="1" x14ac:dyDescent="0.25">
      <c r="A223" s="8" t="str">
        <f>Master!$C222 &amp; ""</f>
        <v>Aylissa</v>
      </c>
      <c r="B223" s="8" t="str">
        <f>Master!$D222 &amp; ""</f>
        <v>Smith</v>
      </c>
      <c r="C223" s="8" t="str">
        <f>Master!$M222 &amp; ""</f>
        <v/>
      </c>
      <c r="D223" s="7" t="str">
        <f>Master!$S222 &amp; ""</f>
        <v/>
      </c>
      <c r="E223" s="7" t="str">
        <f t="array" ref="E223">IF(A223&lt;&gt;"",IF(Master!$AB222="X","X","")&amp;IF(Master!$AC222="X","X",""), "" )</f>
        <v/>
      </c>
      <c r="F223" s="8"/>
    </row>
    <row r="224" spans="1:6" ht="15" customHeight="1" x14ac:dyDescent="0.25">
      <c r="A224" s="8" t="str">
        <f>Master!$C223 &amp; ""</f>
        <v>John</v>
      </c>
      <c r="B224" s="8" t="str">
        <f>Master!$D223 &amp; ""</f>
        <v>Smith</v>
      </c>
      <c r="C224" s="8" t="str">
        <f>Master!$M223 &amp; ""</f>
        <v>Strikers</v>
      </c>
      <c r="D224" s="7" t="str">
        <f>Master!$S223 &amp; ""</f>
        <v>AXL</v>
      </c>
      <c r="E224" s="7" t="str">
        <f t="array" ref="E224">IF(A224&lt;&gt;"",IF(Master!$AB223="X","X","")&amp;IF(Master!$AC223="X","X",""), "" )</f>
        <v>X</v>
      </c>
      <c r="F224" s="8"/>
    </row>
    <row r="225" spans="1:6" ht="15" hidden="1" customHeight="1" x14ac:dyDescent="0.25">
      <c r="A225" s="8" t="str">
        <f>Master!$C224 &amp; ""</f>
        <v>Stormie</v>
      </c>
      <c r="B225" s="8" t="str">
        <f>Master!$D224 &amp; ""</f>
        <v>Smith</v>
      </c>
      <c r="C225" s="8" t="str">
        <f>Master!$M224 &amp; ""</f>
        <v>Hotwheels</v>
      </c>
      <c r="D225" s="7" t="str">
        <f>Master!$S224 &amp; ""</f>
        <v>AL</v>
      </c>
      <c r="E225" s="7" t="str">
        <f t="array" ref="E225">IF(A225&lt;&gt;"",IF(Master!$AB224="X","X","")&amp;IF(Master!$AC224="X","X",""), "" )</f>
        <v>X</v>
      </c>
      <c r="F225" s="8"/>
    </row>
    <row r="226" spans="1:6" ht="15" hidden="1" customHeight="1" x14ac:dyDescent="0.25">
      <c r="A226" s="8" t="str">
        <f>Master!$C225 &amp; ""</f>
        <v>Zac</v>
      </c>
      <c r="B226" s="8" t="str">
        <f>Master!$D225 &amp; ""</f>
        <v>Sparks</v>
      </c>
      <c r="C226" s="8" t="str">
        <f>Master!$M225 &amp; ""</f>
        <v>Kickers</v>
      </c>
      <c r="D226" s="7" t="str">
        <f>Master!$S225 &amp; ""</f>
        <v>AL</v>
      </c>
      <c r="E226" s="7" t="str">
        <f t="array" ref="E226">IF(A226&lt;&gt;"",IF(Master!$AB225="X","X","")&amp;IF(Master!$AC225="X","X",""), "" )</f>
        <v>X</v>
      </c>
      <c r="F226" s="8"/>
    </row>
    <row r="227" spans="1:6" ht="15" hidden="1" customHeight="1" x14ac:dyDescent="0.25">
      <c r="A227" s="8" t="str">
        <f>Master!$C226 &amp; ""</f>
        <v>Leondo</v>
      </c>
      <c r="B227" s="8" t="str">
        <f>Master!$D226 &amp; ""</f>
        <v>Stanziano</v>
      </c>
      <c r="C227" s="8" t="str">
        <f>Master!$M226 &amp; ""</f>
        <v>Hotwheels</v>
      </c>
      <c r="D227" s="7" t="str">
        <f>Master!$S226 &amp; ""</f>
        <v>AM</v>
      </c>
      <c r="E227" s="7" t="str">
        <f t="array" ref="E227">IF(A227&lt;&gt;"",IF(Master!$AB226="X","X","")&amp;IF(Master!$AC226="X","X",""), "" )</f>
        <v>X</v>
      </c>
      <c r="F227" s="8"/>
    </row>
    <row r="228" spans="1:6" ht="15" customHeight="1" x14ac:dyDescent="0.25">
      <c r="A228" s="8" t="str">
        <f>Master!$C227 &amp; ""</f>
        <v>Jacob</v>
      </c>
      <c r="B228" s="8" t="str">
        <f>Master!$D227 &amp; ""</f>
        <v>Steffee</v>
      </c>
      <c r="C228" s="8" t="str">
        <f>Master!$M227 &amp; ""</f>
        <v/>
      </c>
      <c r="D228" s="7" t="str">
        <f>Master!$S227 &amp; ""</f>
        <v/>
      </c>
      <c r="E228" s="7" t="str">
        <f t="array" ref="E228">IF(A228&lt;&gt;"",IF(Master!$AB227="X","X","")&amp;IF(Master!$AC227="X","X",""), "" )</f>
        <v/>
      </c>
      <c r="F228" s="8"/>
    </row>
    <row r="229" spans="1:6" ht="15" customHeight="1" x14ac:dyDescent="0.25">
      <c r="A229" s="8" t="str">
        <f>Master!$C228 &amp; ""</f>
        <v>Otto</v>
      </c>
      <c r="B229" s="8" t="str">
        <f>Master!$D228 &amp; ""</f>
        <v>Stieger</v>
      </c>
      <c r="C229" s="8" t="str">
        <f>Master!$M228 &amp; ""</f>
        <v>Shooters</v>
      </c>
      <c r="D229" s="7" t="str">
        <f>Master!$S228 &amp; ""</f>
        <v>AM</v>
      </c>
      <c r="E229" s="7" t="str">
        <f t="array" ref="E229">IF(A229&lt;&gt;"",IF(Master!$AB228="X","X","")&amp;IF(Master!$AC228="X","X",""), "" )</f>
        <v>X</v>
      </c>
      <c r="F229" s="8"/>
    </row>
    <row r="230" spans="1:6" ht="15" customHeight="1" x14ac:dyDescent="0.25">
      <c r="A230" s="8" t="str">
        <f>Master!$C229 &amp; ""</f>
        <v>Luke</v>
      </c>
      <c r="B230" s="8" t="str">
        <f>Master!$D229 &amp; ""</f>
        <v>Stingley</v>
      </c>
      <c r="C230" s="8" t="str">
        <f>Master!$M229 &amp; ""</f>
        <v>Shooters</v>
      </c>
      <c r="D230" s="7" t="str">
        <f>Master!$S229 &amp; ""</f>
        <v>YL</v>
      </c>
      <c r="E230" s="7" t="str">
        <f t="array" ref="E230">IF(A230&lt;&gt;"",IF(Master!$AB229="X","X","")&amp;IF(Master!$AC229="X","X",""), "" )</f>
        <v>X</v>
      </c>
      <c r="F230" s="8"/>
    </row>
    <row r="231" spans="1:6" ht="15" hidden="1" customHeight="1" x14ac:dyDescent="0.25">
      <c r="A231" s="8" t="str">
        <f>Master!$C230 &amp; ""</f>
        <v>Luke</v>
      </c>
      <c r="B231" s="8" t="str">
        <f>Master!$D230 &amp; ""</f>
        <v>Struble</v>
      </c>
      <c r="C231" s="8" t="str">
        <f>Master!$M230 &amp; ""</f>
        <v>Passers</v>
      </c>
      <c r="D231" s="7" t="str">
        <f>Master!$S230 &amp; ""</f>
        <v>AL</v>
      </c>
      <c r="E231" s="7" t="str">
        <f t="array" ref="E231">IF(A231&lt;&gt;"",IF(Master!$AB230="X","X","")&amp;IF(Master!$AC230="X","X",""), "" )</f>
        <v>X</v>
      </c>
      <c r="F231" s="8"/>
    </row>
    <row r="232" spans="1:6" ht="15" hidden="1" customHeight="1" x14ac:dyDescent="0.25">
      <c r="A232" s="8" t="str">
        <f>Master!$C231 &amp; ""</f>
        <v>Xavier</v>
      </c>
      <c r="B232" s="8" t="str">
        <f>Master!$D231 &amp; ""</f>
        <v>Telemaque</v>
      </c>
      <c r="C232" s="8" t="str">
        <f>Master!$M231 &amp; ""</f>
        <v/>
      </c>
      <c r="D232" s="7" t="str">
        <f>Master!$S231 &amp; ""</f>
        <v>YS</v>
      </c>
      <c r="E232" s="7" t="str">
        <f t="array" ref="E232">IF(A232&lt;&gt;"",IF(Master!$AB231="X","X","")&amp;IF(Master!$AC231="X","X",""), "" )</f>
        <v/>
      </c>
      <c r="F232" s="8"/>
    </row>
    <row r="233" spans="1:6" ht="15" customHeight="1" x14ac:dyDescent="0.25">
      <c r="A233" s="8" t="str">
        <f>Master!$C232 &amp; ""</f>
        <v>Payton</v>
      </c>
      <c r="B233" s="8" t="str">
        <f>Master!$D232 &amp; ""</f>
        <v>Thomas</v>
      </c>
      <c r="C233" s="8" t="str">
        <f>Master!$M232 &amp; ""</f>
        <v>Hotwheels</v>
      </c>
      <c r="D233" s="7" t="str">
        <f>Master!$S232 &amp; ""</f>
        <v>YL</v>
      </c>
      <c r="E233" s="7" t="str">
        <f t="array" ref="E233">IF(A233&lt;&gt;"",IF(Master!$AB232="X","X","")&amp;IF(Master!$AC232="X","X",""), "" )</f>
        <v>X</v>
      </c>
      <c r="F233" s="8"/>
    </row>
    <row r="234" spans="1:6" ht="15" customHeight="1" x14ac:dyDescent="0.25">
      <c r="A234" s="8" t="str">
        <f>Master!$C233 &amp; ""</f>
        <v>Scott</v>
      </c>
      <c r="B234" s="8" t="str">
        <f>Master!$D233 &amp; ""</f>
        <v>Thorner</v>
      </c>
      <c r="C234" s="8" t="str">
        <f>Master!$M233 &amp; ""</f>
        <v>Sweepers</v>
      </c>
      <c r="D234" s="7" t="str">
        <f>Master!$S233 &amp; ""</f>
        <v>AM</v>
      </c>
      <c r="E234" s="7" t="str">
        <f t="array" ref="E234">IF(A234&lt;&gt;"",IF(Master!$AB233="X","X","")&amp;IF(Master!$AC233="X","X",""), "" )</f>
        <v>X</v>
      </c>
      <c r="F234" s="8"/>
    </row>
    <row r="235" spans="1:6" ht="15" customHeight="1" x14ac:dyDescent="0.25">
      <c r="A235" s="8" t="str">
        <f>Master!$C234 &amp; ""</f>
        <v>Jack</v>
      </c>
      <c r="B235" s="8" t="str">
        <f>Master!$D234 &amp; ""</f>
        <v>Tittle</v>
      </c>
      <c r="C235" s="8" t="str">
        <f>Master!$M234 &amp; ""</f>
        <v>Kickers</v>
      </c>
      <c r="D235" s="7" t="str">
        <f>Master!$S234 &amp; ""</f>
        <v>YXL</v>
      </c>
      <c r="E235" s="7" t="str">
        <f t="array" ref="E235">IF(A235&lt;&gt;"",IF(Master!$AB234="X","X","")&amp;IF(Master!$AC234="X","X",""), "" )</f>
        <v>X</v>
      </c>
      <c r="F235" s="8"/>
    </row>
    <row r="236" spans="1:6" ht="15" customHeight="1" x14ac:dyDescent="0.25">
      <c r="A236" s="8" t="str">
        <f>Master!$C235 &amp; ""</f>
        <v>Avery</v>
      </c>
      <c r="B236" s="8" t="str">
        <f>Master!$D235 &amp; ""</f>
        <v>Tompkins</v>
      </c>
      <c r="C236" s="8" t="str">
        <f>Master!$M235 &amp; ""</f>
        <v/>
      </c>
      <c r="D236" s="7" t="str">
        <f>Master!$S235 &amp; ""</f>
        <v>YS</v>
      </c>
      <c r="E236" s="7" t="str">
        <f t="array" ref="E236">IF(A236&lt;&gt;"",IF(Master!$AB235="X","X","")&amp;IF(Master!$AC235="X","X",""), "" )</f>
        <v/>
      </c>
      <c r="F236" s="8"/>
    </row>
    <row r="237" spans="1:6" ht="15" customHeight="1" x14ac:dyDescent="0.25">
      <c r="A237" s="8" t="str">
        <f>Master!$C236 &amp; ""</f>
        <v>Andy</v>
      </c>
      <c r="B237" s="8" t="str">
        <f>Master!$D236 &amp; ""</f>
        <v>Turner</v>
      </c>
      <c r="C237" s="8" t="str">
        <f>Master!$M236 &amp; ""</f>
        <v/>
      </c>
      <c r="D237" s="7" t="str">
        <f>Master!$S236 &amp; ""</f>
        <v>AL</v>
      </c>
      <c r="E237" s="7" t="str">
        <f t="array" ref="E237">IF(A237&lt;&gt;"",IF(Master!$AB236="X","X","")&amp;IF(Master!$AC236="X","X",""), "" )</f>
        <v/>
      </c>
      <c r="F237" s="8"/>
    </row>
    <row r="238" spans="1:6" ht="15" hidden="1" customHeight="1" x14ac:dyDescent="0.25">
      <c r="A238" s="8" t="str">
        <f>Master!$C237 &amp; ""</f>
        <v>Katie</v>
      </c>
      <c r="B238" s="8" t="str">
        <f>Master!$D237 &amp; ""</f>
        <v>Turner</v>
      </c>
      <c r="C238" s="8" t="str">
        <f>Master!$M237 &amp; ""</f>
        <v>Strikers</v>
      </c>
      <c r="D238" s="7" t="str">
        <f>Master!$S237 &amp; ""</f>
        <v>AL</v>
      </c>
      <c r="E238" s="7" t="str">
        <f t="array" ref="E238">IF(A238&lt;&gt;"",IF(Master!$AB237="X","X","")&amp;IF(Master!$AC237="X","X",""), "" )</f>
        <v>X</v>
      </c>
      <c r="F238" s="8"/>
    </row>
    <row r="239" spans="1:6" ht="15" hidden="1" customHeight="1" x14ac:dyDescent="0.25">
      <c r="A239" s="8" t="str">
        <f>Master!$C238 &amp; ""</f>
        <v>Joshua</v>
      </c>
      <c r="B239" s="8" t="str">
        <f>Master!$D238 &amp; ""</f>
        <v>Uphouse</v>
      </c>
      <c r="C239" s="8" t="str">
        <f>Master!$M238 &amp; ""</f>
        <v/>
      </c>
      <c r="D239" s="7" t="str">
        <f>Master!$S238 &amp; ""</f>
        <v>AL</v>
      </c>
      <c r="E239" s="7" t="str">
        <f t="array" ref="E239">IF(A239&lt;&gt;"",IF(Master!$AB238="X","X","")&amp;IF(Master!$AC238="X","X",""), "" )</f>
        <v/>
      </c>
      <c r="F239" s="8"/>
    </row>
    <row r="240" spans="1:6" ht="15" customHeight="1" x14ac:dyDescent="0.25">
      <c r="A240" s="8" t="str">
        <f>Master!$C239 &amp; ""</f>
        <v>Vikram</v>
      </c>
      <c r="B240" s="8" t="str">
        <f>Master!$D239 &amp; ""</f>
        <v>Vaidyaram</v>
      </c>
      <c r="C240" s="8" t="str">
        <f>Master!$M239 &amp; ""</f>
        <v/>
      </c>
      <c r="D240" s="7" t="str">
        <f>Master!$S239 &amp; ""</f>
        <v xml:space="preserve">YL </v>
      </c>
      <c r="E240" s="7" t="str">
        <f t="array" ref="E240">IF(A240&lt;&gt;"",IF(Master!$AB239="X","X","")&amp;IF(Master!$AC239="X","X",""), "" )</f>
        <v/>
      </c>
      <c r="F240" s="8"/>
    </row>
    <row r="241" spans="1:6" ht="15" customHeight="1" x14ac:dyDescent="0.25">
      <c r="A241" s="8" t="str">
        <f>Master!$C240 &amp; ""</f>
        <v>Vincent</v>
      </c>
      <c r="B241" s="8" t="str">
        <f>Master!$D240 &amp; ""</f>
        <v>Van Zant</v>
      </c>
      <c r="C241" s="8" t="str">
        <f>Master!$M240 &amp; ""</f>
        <v>Kickers</v>
      </c>
      <c r="D241" s="7" t="str">
        <f>Master!$S240 &amp; ""</f>
        <v>AM</v>
      </c>
      <c r="E241" s="7" t="str">
        <f t="array" ref="E241">IF(A241&lt;&gt;"",IF(Master!$AB240="X","X","")&amp;IF(Master!$AC240="X","X",""), "" )</f>
        <v>X</v>
      </c>
      <c r="F241" s="8"/>
    </row>
    <row r="242" spans="1:6" ht="15" customHeight="1" x14ac:dyDescent="0.25">
      <c r="A242" s="8" t="str">
        <f>Master!$C241 &amp; ""</f>
        <v>Gabriel</v>
      </c>
      <c r="B242" s="8" t="str">
        <f>Master!$D241 &amp; ""</f>
        <v>Vaughn</v>
      </c>
      <c r="C242" s="8" t="str">
        <f>Master!$M241 &amp; ""</f>
        <v/>
      </c>
      <c r="D242" s="7" t="str">
        <f>Master!$S241 &amp; ""</f>
        <v/>
      </c>
      <c r="E242" s="7" t="str">
        <f t="array" ref="E242">IF(A242&lt;&gt;"",IF(Master!$AB241="X","X","")&amp;IF(Master!$AC241="X","X",""), "" )</f>
        <v/>
      </c>
      <c r="F242" s="8"/>
    </row>
    <row r="243" spans="1:6" ht="15" customHeight="1" x14ac:dyDescent="0.25">
      <c r="A243" s="8" t="str">
        <f>Master!$C242 &amp; ""</f>
        <v>Lyra</v>
      </c>
      <c r="B243" s="8" t="str">
        <f>Master!$D242 &amp; ""</f>
        <v>Vinande</v>
      </c>
      <c r="C243" s="8" t="str">
        <f>Master!$M242 &amp; ""</f>
        <v>Wings</v>
      </c>
      <c r="D243" s="7" t="str">
        <f>Master!$S242 &amp; ""</f>
        <v>YXL</v>
      </c>
      <c r="E243" s="7" t="str">
        <f t="array" ref="E243">IF(A243&lt;&gt;"",IF(Master!$AB242="X","X","")&amp;IF(Master!$AC242="X","X",""), "" )</f>
        <v>X</v>
      </c>
      <c r="F243" s="8"/>
    </row>
    <row r="244" spans="1:6" ht="15" customHeight="1" x14ac:dyDescent="0.25">
      <c r="A244" s="8" t="str">
        <f>Master!$C243 &amp; ""</f>
        <v>Dominic</v>
      </c>
      <c r="B244" s="8" t="str">
        <f>Master!$D243 &amp; ""</f>
        <v>Vorrasi</v>
      </c>
      <c r="C244" s="8" t="str">
        <f>Master!$M243 &amp; ""</f>
        <v>Passers</v>
      </c>
      <c r="D244" s="7" t="str">
        <f>Master!$S243 &amp; ""</f>
        <v>AXL</v>
      </c>
      <c r="E244" s="7" t="str">
        <f t="array" ref="E244">IF(A244&lt;&gt;"",IF(Master!$AB243="X","X","")&amp;IF(Master!$AC243="X","X",""), "" )</f>
        <v>X</v>
      </c>
      <c r="F244" s="8"/>
    </row>
    <row r="245" spans="1:6" ht="15" hidden="1" customHeight="1" x14ac:dyDescent="0.25">
      <c r="A245" s="8" t="str">
        <f>Master!$C244 &amp; ""</f>
        <v>Joseph</v>
      </c>
      <c r="B245" s="8" t="str">
        <f>Master!$D244 &amp; ""</f>
        <v>Vorsteg Jr</v>
      </c>
      <c r="C245" s="8" t="str">
        <f>Master!$M244 &amp; ""</f>
        <v>Sweepers</v>
      </c>
      <c r="D245" s="7" t="str">
        <f>Master!$S244 &amp; ""</f>
        <v>AL</v>
      </c>
      <c r="E245" s="7" t="str">
        <f t="array" ref="E245">IF(A245&lt;&gt;"",IF(Master!$AB244="X","X","")&amp;IF(Master!$AC244="X","X",""), "" )</f>
        <v>X</v>
      </c>
      <c r="F245" s="8"/>
    </row>
    <row r="246" spans="1:6" ht="15" hidden="1" customHeight="1" x14ac:dyDescent="0.25">
      <c r="A246" s="8" t="str">
        <f>Master!$C245 &amp; ""</f>
        <v>Jacob</v>
      </c>
      <c r="B246" s="8" t="str">
        <f>Master!$D245 &amp; ""</f>
        <v>Wagenbach</v>
      </c>
      <c r="C246" s="8" t="str">
        <f>Master!$M245 &amp; ""</f>
        <v>Strikers</v>
      </c>
      <c r="D246" s="7" t="str">
        <f>Master!$S245 &amp; ""</f>
        <v>AXL</v>
      </c>
      <c r="E246" s="7" t="str">
        <f t="array" ref="E246">IF(A246&lt;&gt;"",IF(Master!$AB245="X","X","")&amp;IF(Master!$AC245="X","X",""), "" )</f>
        <v>X</v>
      </c>
      <c r="F246" s="8"/>
    </row>
    <row r="247" spans="1:6" ht="15" hidden="1" customHeight="1" x14ac:dyDescent="0.25">
      <c r="A247" s="8" t="str">
        <f>Master!$C246 &amp; ""</f>
        <v>Ethan</v>
      </c>
      <c r="B247" s="8" t="str">
        <f>Master!$D246 &amp; ""</f>
        <v>Warburton</v>
      </c>
      <c r="C247" s="8" t="str">
        <f>Master!$M246 &amp; ""</f>
        <v/>
      </c>
      <c r="D247" s="7" t="str">
        <f>Master!$S246 &amp; ""</f>
        <v/>
      </c>
      <c r="E247" s="7" t="str">
        <f t="array" ref="E247">IF(A247&lt;&gt;"",IF(Master!$AB246="X","X","")&amp;IF(Master!$AC246="X","X",""), "" )</f>
        <v/>
      </c>
      <c r="F247" s="8"/>
    </row>
    <row r="248" spans="1:6" ht="15" hidden="1" customHeight="1" x14ac:dyDescent="0.25">
      <c r="A248" s="8" t="str">
        <f>Master!$C247 &amp; ""</f>
        <v>Terry</v>
      </c>
      <c r="B248" s="8" t="str">
        <f>Master!$D247 &amp; ""</f>
        <v>Washington</v>
      </c>
      <c r="C248" s="8" t="str">
        <f>Master!$M247 &amp; ""</f>
        <v/>
      </c>
      <c r="D248" s="7" t="str">
        <f>Master!$S247 &amp; ""</f>
        <v/>
      </c>
      <c r="E248" s="7" t="str">
        <f t="array" ref="E248">IF(A248&lt;&gt;"",IF(Master!$AB247="X","X","")&amp;IF(Master!$AC247="X","X",""), "" )</f>
        <v/>
      </c>
      <c r="F248" s="8"/>
    </row>
    <row r="249" spans="1:6" ht="15" hidden="1" customHeight="1" x14ac:dyDescent="0.25">
      <c r="A249" s="8" t="str">
        <f>Master!$C248 &amp; ""</f>
        <v>Howard</v>
      </c>
      <c r="B249" s="8" t="str">
        <f>Master!$D248 &amp; ""</f>
        <v>Webb</v>
      </c>
      <c r="C249" s="8" t="str">
        <f>Master!$M248 &amp; ""</f>
        <v/>
      </c>
      <c r="D249" s="7" t="str">
        <f>Master!$S248 &amp; ""</f>
        <v>A3XL</v>
      </c>
      <c r="E249" s="7" t="str">
        <f t="array" ref="E249">IF(A249&lt;&gt;"",IF(Master!$AB248="X","X","")&amp;IF(Master!$AC248="X","X",""), "" )</f>
        <v/>
      </c>
      <c r="F249" s="8"/>
    </row>
    <row r="250" spans="1:6" ht="15" hidden="1" customHeight="1" x14ac:dyDescent="0.25">
      <c r="A250" s="8" t="str">
        <f>Master!$C249 &amp; ""</f>
        <v>Noah</v>
      </c>
      <c r="B250" s="8" t="str">
        <f>Master!$D249 &amp; ""</f>
        <v>Webb</v>
      </c>
      <c r="C250" s="8" t="str">
        <f>Master!$M249 &amp; ""</f>
        <v>Shooters</v>
      </c>
      <c r="D250" s="7" t="str">
        <f>Master!$S249 &amp; ""</f>
        <v>YS</v>
      </c>
      <c r="E250" s="7" t="str">
        <f t="array" ref="E250">IF(A250&lt;&gt;"",IF(Master!$AB249="X","X","")&amp;IF(Master!$AC249="X","X",""), "" )</f>
        <v>X</v>
      </c>
      <c r="F250" s="8"/>
    </row>
    <row r="251" spans="1:6" ht="15" hidden="1" customHeight="1" x14ac:dyDescent="0.25">
      <c r="A251" s="8" t="str">
        <f>Master!$C250 &amp; ""</f>
        <v>Gigi</v>
      </c>
      <c r="B251" s="8" t="str">
        <f>Master!$D250 &amp; ""</f>
        <v xml:space="preserve">West </v>
      </c>
      <c r="C251" s="8" t="str">
        <f>Master!$M250 &amp; ""</f>
        <v>Wings</v>
      </c>
      <c r="D251" s="7" t="str">
        <f>Master!$S250 &amp; ""</f>
        <v>YL</v>
      </c>
      <c r="E251" s="7" t="str">
        <f t="array" ref="E251">IF(A251&lt;&gt;"",IF(Master!$AB250="X","X","")&amp;IF(Master!$AC250="X","X",""), "" )</f>
        <v>X</v>
      </c>
      <c r="F251" s="8"/>
    </row>
    <row r="252" spans="1:6" ht="15" hidden="1" customHeight="1" x14ac:dyDescent="0.25">
      <c r="A252" s="8" t="str">
        <f>Master!$C251 &amp; ""</f>
        <v>Anthony</v>
      </c>
      <c r="B252" s="8" t="str">
        <f>Master!$D251 &amp; ""</f>
        <v>Whitaker</v>
      </c>
      <c r="C252" s="8" t="str">
        <f>Master!$M251 &amp; ""</f>
        <v>Strikers</v>
      </c>
      <c r="D252" s="7" t="str">
        <f>Master!$S251 &amp; ""</f>
        <v>AXL</v>
      </c>
      <c r="E252" s="7" t="str">
        <f t="array" ref="E252">IF(A252&lt;&gt;"",IF(Master!$AB251="X","X","")&amp;IF(Master!$AC251="X","X",""), "" )</f>
        <v>X</v>
      </c>
      <c r="F252" s="8"/>
    </row>
    <row r="253" spans="1:6" ht="15" hidden="1" customHeight="1" x14ac:dyDescent="0.25">
      <c r="A253" s="8" t="str">
        <f>Master!$C252 &amp; ""</f>
        <v>Jerry</v>
      </c>
      <c r="B253" s="8" t="str">
        <f>Master!$D252 &amp; ""</f>
        <v>Williams</v>
      </c>
      <c r="C253" s="8" t="str">
        <f>Master!$M252 &amp; ""</f>
        <v/>
      </c>
      <c r="D253" s="7" t="str">
        <f>Master!$S252 &amp; ""</f>
        <v>AS</v>
      </c>
      <c r="E253" s="7" t="str">
        <f t="array" ref="E253">IF(A253&lt;&gt;"",IF(Master!$AB252="X","X","")&amp;IF(Master!$AC252="X","X",""), "" )</f>
        <v/>
      </c>
      <c r="F253" s="8"/>
    </row>
    <row r="254" spans="1:6" ht="15" hidden="1" customHeight="1" x14ac:dyDescent="0.25">
      <c r="A254" s="8" t="str">
        <f>Master!$C253 &amp; ""</f>
        <v>Grayson</v>
      </c>
      <c r="B254" s="8" t="str">
        <f>Master!$D253 &amp; ""</f>
        <v>Willis</v>
      </c>
      <c r="C254" s="8" t="str">
        <f>Master!$M253 &amp; ""</f>
        <v>Passers</v>
      </c>
      <c r="D254" s="7" t="str">
        <f>Master!$S253 &amp; ""</f>
        <v>AM</v>
      </c>
      <c r="E254" s="7" t="str">
        <f t="array" ref="E254">IF(A254&lt;&gt;"",IF(Master!$AB253="X","X","")&amp;IF(Master!$AC253="X","X",""), "" )</f>
        <v>X</v>
      </c>
      <c r="F254" s="8"/>
    </row>
    <row r="255" spans="1:6" ht="15" hidden="1" customHeight="1" x14ac:dyDescent="0.25">
      <c r="A255" s="8" t="str">
        <f>Master!$C254 &amp; ""</f>
        <v>Blaze</v>
      </c>
      <c r="B255" s="8" t="str">
        <f>Master!$D254 &amp; ""</f>
        <v>Wilson</v>
      </c>
      <c r="C255" s="8" t="str">
        <f>Master!$M254 &amp; ""</f>
        <v/>
      </c>
      <c r="D255" s="7" t="str">
        <f>Master!$S254 &amp; ""</f>
        <v>YM</v>
      </c>
      <c r="E255" s="7" t="str">
        <f t="array" ref="E255">IF(A255&lt;&gt;"",IF(Master!$AB254="X","X","")&amp;IF(Master!$AC254="X","X",""), "" )</f>
        <v/>
      </c>
      <c r="F255" s="8"/>
    </row>
    <row r="256" spans="1:6" ht="15" hidden="1" customHeight="1" x14ac:dyDescent="0.25">
      <c r="A256" s="8" t="str">
        <f>Master!$C255 &amp; ""</f>
        <v>Charlie</v>
      </c>
      <c r="B256" s="8" t="str">
        <f>Master!$D255 &amp; ""</f>
        <v>Wilson</v>
      </c>
      <c r="C256" s="8" t="str">
        <f>Master!$M255 &amp; ""</f>
        <v/>
      </c>
      <c r="D256" s="7" t="str">
        <f>Master!$S255 &amp; ""</f>
        <v>YL</v>
      </c>
      <c r="E256" s="7" t="str">
        <f t="array" ref="E256">IF(A256&lt;&gt;"",IF(Master!$AB255="X","X","")&amp;IF(Master!$AC255="X","X",""), "" )</f>
        <v/>
      </c>
      <c r="F256" s="8"/>
    </row>
    <row r="257" spans="1:6" ht="15" hidden="1" customHeight="1" x14ac:dyDescent="0.25">
      <c r="A257" s="8" t="str">
        <f>Master!$C256 &amp; ""</f>
        <v>Tommy</v>
      </c>
      <c r="B257" s="8" t="str">
        <f>Master!$D256 &amp; ""</f>
        <v>Winslow</v>
      </c>
      <c r="C257" s="8" t="str">
        <f>Master!$M256 &amp; ""</f>
        <v/>
      </c>
      <c r="D257" s="7" t="str">
        <f>Master!$S256 &amp; ""</f>
        <v>YXL</v>
      </c>
      <c r="E257" s="7" t="str">
        <f t="array" ref="E257">IF(A257&lt;&gt;"",IF(Master!$AB256="X","X","")&amp;IF(Master!$AC256="X","X",""), "" )</f>
        <v/>
      </c>
      <c r="F257" s="8"/>
    </row>
    <row r="258" spans="1:6" ht="15" hidden="1" customHeight="1" x14ac:dyDescent="0.25">
      <c r="A258" s="8" t="str">
        <f>Master!$C257 &amp; ""</f>
        <v>Paul</v>
      </c>
      <c r="B258" s="8" t="str">
        <f>Master!$D257 &amp; ""</f>
        <v>Wittberg</v>
      </c>
      <c r="C258" s="8" t="str">
        <f>Master!$M257 &amp; ""</f>
        <v>Sweepers</v>
      </c>
      <c r="D258" s="7" t="str">
        <f>Master!$S257 &amp; ""</f>
        <v>AM</v>
      </c>
      <c r="E258" s="7" t="str">
        <f t="array" ref="E258">IF(A258&lt;&gt;"",IF(Master!$AB257="X","X","")&amp;IF(Master!$AC257="X","X",""), "" )</f>
        <v>X</v>
      </c>
      <c r="F258" s="8"/>
    </row>
    <row r="259" spans="1:6" ht="15" hidden="1" customHeight="1" x14ac:dyDescent="0.25">
      <c r="A259" s="8" t="str">
        <f>Master!$C258 &amp; ""</f>
        <v>Ian</v>
      </c>
      <c r="B259" s="8" t="str">
        <f>Master!$D258 &amp; ""</f>
        <v>Witucky</v>
      </c>
      <c r="C259" s="8" t="str">
        <f>Master!$M258 &amp; ""</f>
        <v>Dribblers</v>
      </c>
      <c r="D259" s="7" t="str">
        <f>Master!$S258 &amp; ""</f>
        <v>YS</v>
      </c>
      <c r="E259" s="7" t="str">
        <f t="array" ref="E259">IF(A259&lt;&gt;"",IF(Master!$AB258="X","X","")&amp;IF(Master!$AC258="X","X",""), "" )</f>
        <v>X</v>
      </c>
      <c r="F259" s="8"/>
    </row>
    <row r="260" spans="1:6" ht="15" hidden="1" customHeight="1" x14ac:dyDescent="0.25">
      <c r="A260" s="8" t="str">
        <f>Master!$C259 &amp; ""</f>
        <v>Nick</v>
      </c>
      <c r="B260" s="8" t="str">
        <f>Master!$D259 &amp; ""</f>
        <v>Woeste</v>
      </c>
      <c r="C260" s="8" t="str">
        <f>Master!$M259 &amp; ""</f>
        <v>Sweepers</v>
      </c>
      <c r="D260" s="7" t="str">
        <f>Master!$S259 &amp; ""</f>
        <v>AL</v>
      </c>
      <c r="E260" s="7" t="e">
        <f t="array" ref="E260">IF(A260&lt;&gt;"",IF(Master!$AC259="X","X","")&amp;IF(Master!#REF!="X","X",""), "" )</f>
        <v>#REF!</v>
      </c>
      <c r="F260" s="8"/>
    </row>
    <row r="261" spans="1:6" ht="15" hidden="1" customHeight="1" x14ac:dyDescent="0.25">
      <c r="A261" s="8" t="str">
        <f>Master!$C260 &amp; ""</f>
        <v>Parker</v>
      </c>
      <c r="B261" s="8" t="str">
        <f>Master!$D260 &amp; ""</f>
        <v>Wright</v>
      </c>
      <c r="C261" s="8" t="str">
        <f>Master!$M260 &amp; ""</f>
        <v/>
      </c>
      <c r="D261" s="7" t="str">
        <f>Master!$S260 &amp; ""</f>
        <v>YS</v>
      </c>
      <c r="E261" s="7" t="str">
        <f t="array" ref="E261">IF(A261&lt;&gt;"",IF(Master!$AB260="X","X","")&amp;IF(Master!$AC260="X","X",""), "" )</f>
        <v/>
      </c>
      <c r="F261" s="8"/>
    </row>
    <row r="262" spans="1:6" ht="15" hidden="1" customHeight="1" x14ac:dyDescent="0.25">
      <c r="A262" s="8" t="str">
        <f>Master!$C261 &amp; ""</f>
        <v>Ben</v>
      </c>
      <c r="B262" s="8" t="str">
        <f>Master!$D261 &amp; ""</f>
        <v>Wyers</v>
      </c>
      <c r="C262" s="8" t="str">
        <f>Master!$M261 &amp; ""</f>
        <v/>
      </c>
      <c r="D262" s="7" t="str">
        <f>Master!$S261 &amp; ""</f>
        <v/>
      </c>
      <c r="E262" s="7" t="str">
        <f t="array" ref="E262">IF(A262&lt;&gt;"",IF(Master!$AB261="X","X","")&amp;IF(Master!$AC261="X","X",""), "" )</f>
        <v/>
      </c>
      <c r="F262" s="8"/>
    </row>
    <row r="263" spans="1:6" ht="15" hidden="1" customHeight="1" x14ac:dyDescent="0.25">
      <c r="A263" s="8" t="str">
        <f>Master!$C262 &amp; ""</f>
        <v>Jeremy</v>
      </c>
      <c r="B263" s="8" t="str">
        <f>Master!$D262 &amp; ""</f>
        <v>Wysong</v>
      </c>
      <c r="C263" s="8" t="str">
        <f>Master!$M262 &amp; ""</f>
        <v>Sweepers</v>
      </c>
      <c r="D263" s="7" t="str">
        <f>Master!$S262 &amp; ""</f>
        <v>AXL</v>
      </c>
      <c r="E263" s="7" t="str">
        <f t="array" ref="E263">IF(A263&lt;&gt;"",IF(Master!$AB262="X","X","")&amp;IF(Master!$AC262="X","X",""), "" )</f>
        <v>X</v>
      </c>
      <c r="F263" s="8"/>
    </row>
    <row r="264" spans="1:6" ht="15" hidden="1" customHeight="1" x14ac:dyDescent="0.25">
      <c r="A264" s="8" t="str">
        <f>Master!$C263 &amp; ""</f>
        <v>Javon</v>
      </c>
      <c r="B264" s="8" t="str">
        <f>Master!$D263 &amp; ""</f>
        <v>Yoakum</v>
      </c>
      <c r="C264" s="8" t="str">
        <f>Master!$M263 &amp; ""</f>
        <v>Sweepers</v>
      </c>
      <c r="D264" s="7" t="str">
        <f>Master!$S263 &amp; ""</f>
        <v>AXL</v>
      </c>
      <c r="E264" s="7" t="str">
        <f t="array" ref="E264">IF(A264&lt;&gt;"",IF(Master!$AB263="X","X","")&amp;IF(Master!$AC263="X","X",""), "" )</f>
        <v>X</v>
      </c>
      <c r="F264" s="8"/>
    </row>
    <row r="265" spans="1:6" ht="15" hidden="1" customHeight="1" x14ac:dyDescent="0.25">
      <c r="A265" s="8" t="str">
        <f>Master!$C264 &amp; ""</f>
        <v>Karron</v>
      </c>
      <c r="B265" s="8" t="str">
        <f>Master!$D264 &amp; ""</f>
        <v>Yoakum</v>
      </c>
      <c r="C265" s="8" t="str">
        <f>Master!$M264 &amp; ""</f>
        <v>Strikers</v>
      </c>
      <c r="D265" s="7" t="str">
        <f>Master!$S264 &amp; ""</f>
        <v>A2XL</v>
      </c>
      <c r="E265" s="7" t="str">
        <f t="array" ref="E265">IF(A265&lt;&gt;"",IF(Master!$AB264="X","X","")&amp;IF(Master!$AC264="X","X",""), "" )</f>
        <v>X</v>
      </c>
      <c r="F265" s="8"/>
    </row>
    <row r="266" spans="1:6" ht="15" hidden="1" customHeight="1" x14ac:dyDescent="0.25">
      <c r="A266" s="8" t="str">
        <f>Master!$C265 &amp; ""</f>
        <v>Andrew</v>
      </c>
      <c r="B266" s="8" t="str">
        <f>Master!$D265 &amp; ""</f>
        <v>Zecchini</v>
      </c>
      <c r="C266" s="8" t="str">
        <f>Master!$M265 &amp; ""</f>
        <v>Kickers</v>
      </c>
      <c r="D266" s="7" t="str">
        <f>Master!$S265 &amp; ""</f>
        <v>AM</v>
      </c>
      <c r="E266" s="7" t="str">
        <f t="array" ref="E266">IF(A266&lt;&gt;"",IF(Master!$AB265="X","X","")&amp;IF(Master!$AC265="X","X",""), "" )</f>
        <v>X</v>
      </c>
      <c r="F266" s="8"/>
    </row>
    <row r="267" spans="1:6" ht="15" hidden="1" customHeight="1" x14ac:dyDescent="0.25">
      <c r="A267" s="8" t="str">
        <f>Master!$C266 &amp; ""</f>
        <v>Jessica</v>
      </c>
      <c r="B267" s="8" t="str">
        <f>Master!$D266 &amp; ""</f>
        <v>Zimmerman</v>
      </c>
      <c r="C267" s="8" t="str">
        <f>Master!$M266 &amp; ""</f>
        <v>Sweepers</v>
      </c>
      <c r="D267" s="7" t="str">
        <f>Master!$S266 &amp; ""</f>
        <v>AM</v>
      </c>
      <c r="E267" s="7" t="str">
        <f t="array" ref="E267">IF(A267&lt;&gt;"",IF(Master!$AB266="X","X","")&amp;IF(Master!$AC266="X","X",""), "" )</f>
        <v>X</v>
      </c>
      <c r="F267" s="8"/>
    </row>
    <row r="268" spans="1:6" ht="15" hidden="1" customHeight="1" x14ac:dyDescent="0.25">
      <c r="A268" s="8" t="str">
        <f>Master!$C267 &amp; ""</f>
        <v>Lucas</v>
      </c>
      <c r="B268" s="8" t="str">
        <f>Master!$D267 &amp; ""</f>
        <v>Zwiers</v>
      </c>
      <c r="C268" s="8" t="str">
        <f>Master!$M267 &amp; ""</f>
        <v>Dribblers</v>
      </c>
      <c r="D268" s="7" t="str">
        <f>Master!$S267 &amp; ""</f>
        <v>YS</v>
      </c>
      <c r="E268" s="7" t="str">
        <f t="array" ref="E268">IF(A268&lt;&gt;"",IF(Master!$AB267="X","X","")&amp;IF(Master!$AC267="X","X",""), "" )</f>
        <v>X</v>
      </c>
      <c r="F268" s="8"/>
    </row>
    <row r="269" spans="1:6" ht="15" hidden="1" customHeight="1" x14ac:dyDescent="0.25">
      <c r="A269" s="8" t="str">
        <f>Master!$C268 &amp; ""</f>
        <v/>
      </c>
      <c r="B269" s="8" t="str">
        <f>Master!$D268 &amp; ""</f>
        <v/>
      </c>
      <c r="C269" s="8" t="str">
        <f>Master!$M268 &amp; ""</f>
        <v/>
      </c>
      <c r="D269" s="7" t="str">
        <f>Master!$S268 &amp; ""</f>
        <v/>
      </c>
      <c r="E269" s="7" t="str">
        <f t="array" ref="E269">IF(A269&lt;&gt;"",IF(Master!$AB268="X","X","")&amp;IF(Master!$AC268="X","X",""), "" )</f>
        <v/>
      </c>
      <c r="F269" s="8"/>
    </row>
    <row r="270" spans="1:6" ht="15" hidden="1" customHeight="1" x14ac:dyDescent="0.25">
      <c r="A270" s="8" t="str">
        <f>Master!$C269 &amp; ""</f>
        <v/>
      </c>
      <c r="B270" s="8" t="str">
        <f>Master!$D269 &amp; ""</f>
        <v/>
      </c>
      <c r="C270" s="8" t="str">
        <f>Master!$M269 &amp; ""</f>
        <v/>
      </c>
      <c r="D270" s="7" t="str">
        <f>Master!$S269 &amp; ""</f>
        <v/>
      </c>
      <c r="E270" s="7" t="str">
        <f t="array" ref="E270">IF(A270&lt;&gt;"",IF(Master!$AB269="X","X","")&amp;IF(Master!$AC269="X","X",""), "" )</f>
        <v/>
      </c>
      <c r="F270" s="8"/>
    </row>
    <row r="271" spans="1:6" ht="15" hidden="1" customHeight="1" x14ac:dyDescent="0.25">
      <c r="A271" s="8" t="str">
        <f>Master!$C270 &amp; ""</f>
        <v/>
      </c>
      <c r="B271" s="8" t="str">
        <f>Master!$D270 &amp; ""</f>
        <v/>
      </c>
      <c r="C271" s="8" t="str">
        <f>Master!$M270 &amp; ""</f>
        <v/>
      </c>
      <c r="D271" s="7" t="str">
        <f>Master!$S270 &amp; ""</f>
        <v/>
      </c>
      <c r="E271" s="7" t="str">
        <f t="array" ref="E271">IF(A271&lt;&gt;"",IF(Master!$AB270="X","X","")&amp;IF(Master!$AC270="X","X",""), "" )</f>
        <v/>
      </c>
      <c r="F271" s="8"/>
    </row>
  </sheetData>
  <sheetProtection algorithmName="SHA-512" hashValue="fd87ThrQuH+istDHHQlI6MI53Y/bTNzAAepFU355DKVfmQTnZg4rVaMJx3cNkC18NW1RHf0SZPigfX9aUJMgmQ==" saltValue="CiUV4bWF/Qi2plRzbnLJcQ==" spinCount="100000" sheet="1" objects="1" scenarios="1"/>
  <autoFilter ref="A1:F271" xr:uid="{00000000-0009-0000-0000-000008000000}">
    <filterColumn colId="2">
      <customFilters>
        <customFilter operator="notEqual" val=" "/>
      </customFilters>
    </filterColumn>
  </autoFilter>
  <pageMargins left="1" right="0.25" top="0.75" bottom="0.75" header="0.3" footer="0.3"/>
  <pageSetup orientation="landscape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F24"/>
  <sheetViews>
    <sheetView topLeftCell="A4" workbookViewId="0">
      <selection activeCell="I20" sqref="I20"/>
    </sheetView>
  </sheetViews>
  <sheetFormatPr defaultRowHeight="15" x14ac:dyDescent="0.25"/>
  <cols>
    <col min="1" max="1" width="9" customWidth="1"/>
  </cols>
  <sheetData>
    <row r="1" spans="1:6" ht="27.75" customHeight="1" x14ac:dyDescent="0.25">
      <c r="A1" s="88" t="s">
        <v>1182</v>
      </c>
    </row>
    <row r="3" spans="1:6" ht="18.75" x14ac:dyDescent="0.3">
      <c r="A3" s="69" t="s">
        <v>1361</v>
      </c>
    </row>
    <row r="5" spans="1:6" ht="18.75" x14ac:dyDescent="0.3">
      <c r="A5" t="s">
        <v>1271</v>
      </c>
    </row>
    <row r="7" spans="1:6" ht="15.75" x14ac:dyDescent="0.25">
      <c r="A7" t="s">
        <v>1360</v>
      </c>
    </row>
    <row r="9" spans="1:6" x14ac:dyDescent="0.25">
      <c r="A9" t="s">
        <v>1224</v>
      </c>
    </row>
    <row r="14" spans="1:6" x14ac:dyDescent="0.25">
      <c r="A14" s="34" t="s">
        <v>1225</v>
      </c>
      <c r="B14" s="34"/>
      <c r="C14" s="34"/>
      <c r="D14" s="34" t="s">
        <v>1226</v>
      </c>
    </row>
    <row r="15" spans="1:6" x14ac:dyDescent="0.25">
      <c r="A15" s="34"/>
      <c r="B15" s="34"/>
      <c r="C15" s="34"/>
      <c r="D15" s="34" t="s">
        <v>1227</v>
      </c>
    </row>
    <row r="16" spans="1:6" x14ac:dyDescent="0.25">
      <c r="A16" s="34"/>
      <c r="B16" s="34"/>
      <c r="C16" s="34"/>
      <c r="D16" s="34"/>
      <c r="E16" s="34"/>
      <c r="F16" s="34"/>
    </row>
    <row r="17" spans="1:6" x14ac:dyDescent="0.25">
      <c r="A17" s="34"/>
      <c r="B17" s="34"/>
      <c r="C17" s="34"/>
      <c r="D17" s="34"/>
      <c r="E17" s="34"/>
      <c r="F17" s="34"/>
    </row>
    <row r="18" spans="1:6" x14ac:dyDescent="0.25">
      <c r="A18" s="34"/>
      <c r="B18" s="34"/>
      <c r="C18" s="34"/>
      <c r="D18" s="34"/>
      <c r="E18" s="34"/>
      <c r="F18" s="34"/>
    </row>
    <row r="19" spans="1:6" x14ac:dyDescent="0.25">
      <c r="A19" s="34"/>
      <c r="B19" s="34"/>
      <c r="C19" s="34"/>
      <c r="D19" s="34"/>
      <c r="E19" s="34"/>
      <c r="F19" s="34"/>
    </row>
    <row r="20" spans="1:6" x14ac:dyDescent="0.25">
      <c r="A20" s="34"/>
      <c r="B20" s="34"/>
      <c r="C20" s="34"/>
      <c r="D20" s="34"/>
      <c r="E20" s="34"/>
      <c r="F20" s="34"/>
    </row>
    <row r="21" spans="1:6" x14ac:dyDescent="0.25">
      <c r="A21" s="34"/>
      <c r="B21" s="34"/>
      <c r="C21" s="34"/>
      <c r="D21" s="34"/>
      <c r="E21" s="34"/>
      <c r="F21" s="34"/>
    </row>
    <row r="22" spans="1:6" x14ac:dyDescent="0.25">
      <c r="A22" s="34"/>
      <c r="B22" s="34"/>
      <c r="C22" s="34"/>
      <c r="D22" s="34"/>
      <c r="E22" s="34"/>
      <c r="F22" s="34"/>
    </row>
    <row r="23" spans="1:6" x14ac:dyDescent="0.25">
      <c r="A23" s="34"/>
      <c r="B23" s="34"/>
      <c r="C23" s="34"/>
      <c r="D23" s="34"/>
      <c r="E23" s="34"/>
      <c r="F23" s="34"/>
    </row>
    <row r="24" spans="1:6" x14ac:dyDescent="0.25">
      <c r="A24" s="34"/>
      <c r="B24" s="34"/>
      <c r="C24" s="34"/>
    </row>
  </sheetData>
  <sheetProtection algorithmName="SHA-512" hashValue="TdE3K3KP1TVVS/eniL44E+Tz/49+wtTYTYpc8cFb2Nh2UP0btDn4CsmUXbbH0SAEr+gQZGNQ2pJEUC1xrst9aQ==" saltValue="fbX+Pz+UKkpgOAKuLDtn3Q==" spinCount="100000" sheet="1" objects="1" scenarios="1"/>
  <pageMargins left="0.7" right="0.7" top="0.75" bottom="0.75" header="0.3" footer="0.3"/>
  <pageSetup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432F9E2F5EE6E41979702579AF23EB8" ma:contentTypeVersion="14" ma:contentTypeDescription="Create a new document." ma:contentTypeScope="" ma:versionID="befa65c8b63efd015eaaeb051d966eb9">
  <xsd:schema xmlns:xsd="http://www.w3.org/2001/XMLSchema" xmlns:xs="http://www.w3.org/2001/XMLSchema" xmlns:p="http://schemas.microsoft.com/office/2006/metadata/properties" xmlns:ns3="2fe8866d-1781-4eec-b185-30e49343907c" xmlns:ns4="b7efa950-feaf-40ca-9531-2d999f8f6e8b" targetNamespace="http://schemas.microsoft.com/office/2006/metadata/properties" ma:root="true" ma:fieldsID="970a429c75d5e4b9bce094badf22509d" ns3:_="" ns4:_="">
    <xsd:import namespace="2fe8866d-1781-4eec-b185-30e49343907c"/>
    <xsd:import namespace="b7efa950-feaf-40ca-9531-2d999f8f6e8b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Location" minOccurs="0"/>
                <xsd:element ref="ns4:MediaServiceAutoKeyPoints" minOccurs="0"/>
                <xsd:element ref="ns4:MediaServiceKeyPoints" minOccurs="0"/>
                <xsd:element ref="ns4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fe8866d-1781-4eec-b185-30e49343907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description="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7efa950-feaf-40ca-9531-2d999f8f6e8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2AD866BE-9A36-49AE-A019-59FCC9B8FF9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fe8866d-1781-4eec-b185-30e49343907c"/>
    <ds:schemaRef ds:uri="b7efa950-feaf-40ca-9531-2d999f8f6e8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FD370C2-BF48-4050-AB35-C79B7A6D8E5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2131D3F-BA0D-4237-B14E-0254F8C0B8C2}">
  <ds:schemaRefs>
    <ds:schemaRef ds:uri="http://schemas.openxmlformats.org/package/2006/metadata/core-properties"/>
    <ds:schemaRef ds:uri="http://purl.org/dc/terms/"/>
    <ds:schemaRef ds:uri="http://schemas.microsoft.com/office/infopath/2007/PartnerControls"/>
    <ds:schemaRef ds:uri="http://purl.org/dc/dcmitype/"/>
    <ds:schemaRef ds:uri="2fe8866d-1781-4eec-b185-30e49343907c"/>
    <ds:schemaRef ds:uri="http://schemas.microsoft.com/office/2006/documentManagement/types"/>
    <ds:schemaRef ds:uri="http://schemas.microsoft.com/office/2006/metadata/properties"/>
    <ds:schemaRef ds:uri="b7efa950-feaf-40ca-9531-2d999f8f6e8b"/>
    <ds:schemaRef ds:uri="http://www.w3.org/XML/1998/namespace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Master</vt:lpstr>
      <vt:lpstr>Coaches</vt:lpstr>
      <vt:lpstr>Rosters</vt:lpstr>
      <vt:lpstr>Name Tags</vt:lpstr>
      <vt:lpstr>Address Labels - All</vt:lpstr>
      <vt:lpstr>Address Labels - This Year</vt:lpstr>
      <vt:lpstr>Address Labels - Last Year</vt:lpstr>
      <vt:lpstr>Uniforms</vt:lpstr>
      <vt:lpstr>Team Assignments</vt:lpstr>
      <vt:lpstr>Notes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Nancy</dc:creator>
  <cp:lastModifiedBy>Jessica Rose</cp:lastModifiedBy>
  <cp:lastPrinted>2025-09-17T21:27:13Z</cp:lastPrinted>
  <dcterms:created xsi:type="dcterms:W3CDTF">2016-08-31T00:22:35Z</dcterms:created>
  <dcterms:modified xsi:type="dcterms:W3CDTF">2026-06-22T21:59:09Z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0x010100D432F9E2F5EE6E41979702579AF23EB8</vt:lpwstr>
  </property>
</Properties>
</file>